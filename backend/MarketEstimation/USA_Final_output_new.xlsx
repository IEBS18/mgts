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mc:AlternateContent xmlns:mc="http://schemas.openxmlformats.org/markup-compatibility/2006">
    <mc:Choice Requires="x15">
      <x15ac:absPath xmlns:x15ac="http://schemas.microsoft.com/office/spreadsheetml/2010/11/ac" url="C:\Users\tanya.gosain\Documents\Market_Estimation\data_1\"/>
    </mc:Choice>
  </mc:AlternateContent>
  <xr:revisionPtr revIDLastSave="0" documentId="13_ncr:1_{27550DE2-2C3D-4733-960A-453D7BFCFACB}" xr6:coauthVersionLast="47" xr6:coauthVersionMax="47" xr10:uidLastSave="{00000000-0000-0000-0000-000000000000}"/>
  <bookViews>
    <workbookView xWindow="-110" yWindow="-110" windowWidth="19420" windowHeight="10420" xr2:uid="{00000000-000D-0000-FFFF-FFFF00000000}"/>
  </bookViews>
  <sheets>
    <sheet name="Sheet1" sheetId="1" r:id="rId1"/>
  </sheets>
  <definedNames>
    <definedName name="_xlnm._FilterDatabase" localSheetId="0" hidden="1">Sheet1!$A$1:$AK$1075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K3" i="1" l="1"/>
  <c r="AK4" i="1"/>
  <c r="AK5" i="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K55" i="1"/>
  <c r="AK56" i="1"/>
  <c r="AK57" i="1"/>
  <c r="AK58" i="1"/>
  <c r="AK59" i="1"/>
  <c r="AK60" i="1"/>
  <c r="AK61" i="1"/>
  <c r="AK62" i="1"/>
  <c r="AK63" i="1"/>
  <c r="AK64" i="1"/>
  <c r="AK65" i="1"/>
  <c r="AK66" i="1"/>
  <c r="AK67" i="1"/>
  <c r="AK68" i="1"/>
  <c r="AK69" i="1"/>
  <c r="AK70" i="1"/>
  <c r="AK71" i="1"/>
  <c r="AK72" i="1"/>
  <c r="AK73" i="1"/>
  <c r="AK74" i="1"/>
  <c r="AK75" i="1"/>
  <c r="AK76" i="1"/>
  <c r="AK77" i="1"/>
  <c r="AK78" i="1"/>
  <c r="AK79" i="1"/>
  <c r="AK80" i="1"/>
  <c r="AK81" i="1"/>
  <c r="AK82" i="1"/>
  <c r="AK83" i="1"/>
  <c r="AK84" i="1"/>
  <c r="AK85" i="1"/>
  <c r="AK86" i="1"/>
  <c r="AK87" i="1"/>
  <c r="AK88" i="1"/>
  <c r="AK89" i="1"/>
  <c r="AK90" i="1"/>
  <c r="AK91" i="1"/>
  <c r="AK92" i="1"/>
  <c r="AK93" i="1"/>
  <c r="AK94" i="1"/>
  <c r="AK95" i="1"/>
  <c r="AK96" i="1"/>
  <c r="AK97" i="1"/>
  <c r="AK98" i="1"/>
  <c r="AK99" i="1"/>
  <c r="AK100" i="1"/>
  <c r="AK2" i="1"/>
  <c r="AJ3" i="1"/>
  <c r="AJ4" i="1"/>
  <c r="AJ5" i="1"/>
  <c r="AJ6" i="1"/>
  <c r="AJ7" i="1"/>
  <c r="AJ8" i="1"/>
  <c r="AJ9" i="1"/>
  <c r="AJ10" i="1"/>
  <c r="AJ11" i="1"/>
  <c r="AJ12" i="1"/>
  <c r="AJ13" i="1"/>
  <c r="AJ14" i="1"/>
  <c r="AJ15" i="1"/>
  <c r="AJ16" i="1"/>
  <c r="AJ17" i="1"/>
  <c r="AJ18" i="1"/>
  <c r="AJ19" i="1"/>
  <c r="AJ20" i="1"/>
  <c r="AJ21" i="1"/>
  <c r="AJ22" i="1"/>
  <c r="AJ23" i="1"/>
  <c r="AJ24" i="1"/>
  <c r="AJ25" i="1"/>
  <c r="AJ26" i="1"/>
  <c r="AJ27" i="1"/>
  <c r="AJ28" i="1"/>
  <c r="AJ29" i="1"/>
  <c r="AJ30" i="1"/>
  <c r="AJ31" i="1"/>
  <c r="AJ32" i="1"/>
  <c r="AJ33" i="1"/>
  <c r="AJ34" i="1"/>
  <c r="AJ35" i="1"/>
  <c r="AJ36" i="1"/>
  <c r="AJ37" i="1"/>
  <c r="AJ38" i="1"/>
  <c r="AJ39" i="1"/>
  <c r="AJ40" i="1"/>
  <c r="AJ41" i="1"/>
  <c r="AJ42" i="1"/>
  <c r="AJ43" i="1"/>
  <c r="AJ44" i="1"/>
  <c r="AJ45" i="1"/>
  <c r="AJ46" i="1"/>
  <c r="AJ47" i="1"/>
  <c r="AJ48" i="1"/>
  <c r="AJ49" i="1"/>
  <c r="AJ50" i="1"/>
  <c r="AJ51" i="1"/>
  <c r="AJ52" i="1"/>
  <c r="AJ53" i="1"/>
  <c r="AJ54" i="1"/>
  <c r="AJ55" i="1"/>
  <c r="AJ56" i="1"/>
  <c r="AJ57" i="1"/>
  <c r="AJ58" i="1"/>
  <c r="AJ59" i="1"/>
  <c r="AJ60" i="1"/>
  <c r="AJ61" i="1"/>
  <c r="AJ62" i="1"/>
  <c r="AJ63" i="1"/>
  <c r="AJ64" i="1"/>
  <c r="AJ65" i="1"/>
  <c r="AJ66" i="1"/>
  <c r="AJ67" i="1"/>
  <c r="AJ68" i="1"/>
  <c r="AJ69" i="1"/>
  <c r="AJ70" i="1"/>
  <c r="AJ71" i="1"/>
  <c r="AJ72" i="1"/>
  <c r="AJ73" i="1"/>
  <c r="AJ74" i="1"/>
  <c r="AJ75" i="1"/>
  <c r="AJ76" i="1"/>
  <c r="AJ77" i="1"/>
  <c r="AJ78" i="1"/>
  <c r="AJ79" i="1"/>
  <c r="AJ80" i="1"/>
  <c r="AJ81" i="1"/>
  <c r="AJ82" i="1"/>
  <c r="AJ83" i="1"/>
  <c r="AJ84" i="1"/>
  <c r="AJ85" i="1"/>
  <c r="AJ86" i="1"/>
  <c r="AJ87" i="1"/>
  <c r="AJ88" i="1"/>
  <c r="AJ89" i="1"/>
  <c r="AJ90" i="1"/>
  <c r="AJ91" i="1"/>
  <c r="AJ92" i="1"/>
  <c r="AJ93" i="1"/>
  <c r="AJ94" i="1"/>
  <c r="AJ95" i="1"/>
  <c r="AJ96" i="1"/>
  <c r="AJ97" i="1"/>
  <c r="AJ98" i="1"/>
  <c r="AJ99" i="1"/>
  <c r="AJ100" i="1"/>
  <c r="AJ2" i="1"/>
  <c r="AI3" i="1"/>
  <c r="AI4" i="1"/>
  <c r="AI5" i="1"/>
  <c r="AI6" i="1"/>
  <c r="AI7" i="1"/>
  <c r="AI8" i="1"/>
  <c r="AI9" i="1"/>
  <c r="AI10" i="1"/>
  <c r="AI11" i="1"/>
  <c r="AI12" i="1"/>
  <c r="AI13" i="1"/>
  <c r="AI14" i="1"/>
  <c r="AI15" i="1"/>
  <c r="AI16" i="1"/>
  <c r="AI17" i="1"/>
  <c r="AI18" i="1"/>
  <c r="AI19" i="1"/>
  <c r="AI20" i="1"/>
  <c r="AI21" i="1"/>
  <c r="AI22" i="1"/>
  <c r="AI23" i="1"/>
  <c r="AI24" i="1"/>
  <c r="AI25" i="1"/>
  <c r="AI26" i="1"/>
  <c r="AI27" i="1"/>
  <c r="AI28" i="1"/>
  <c r="AI29" i="1"/>
  <c r="AI30" i="1"/>
  <c r="AI31" i="1"/>
  <c r="AI32" i="1"/>
  <c r="AI33" i="1"/>
  <c r="AI34" i="1"/>
  <c r="AI35" i="1"/>
  <c r="AI36" i="1"/>
  <c r="AI37" i="1"/>
  <c r="AI38" i="1"/>
  <c r="AI39" i="1"/>
  <c r="AI40" i="1"/>
  <c r="AI41" i="1"/>
  <c r="AI42" i="1"/>
  <c r="AI43" i="1"/>
  <c r="AI44" i="1"/>
  <c r="AI45" i="1"/>
  <c r="AI46" i="1"/>
  <c r="AI47" i="1"/>
  <c r="AI48" i="1"/>
  <c r="AI49" i="1"/>
  <c r="AI50" i="1"/>
  <c r="AI51" i="1"/>
  <c r="AI52" i="1"/>
  <c r="AI53" i="1"/>
  <c r="AI54" i="1"/>
  <c r="AI55" i="1"/>
  <c r="AI56" i="1"/>
  <c r="AI57" i="1"/>
  <c r="AI58" i="1"/>
  <c r="AI59" i="1"/>
  <c r="AI60" i="1"/>
  <c r="AI61" i="1"/>
  <c r="AI62" i="1"/>
  <c r="AI63" i="1"/>
  <c r="AI64" i="1"/>
  <c r="AI65" i="1"/>
  <c r="AI66" i="1"/>
  <c r="AI67" i="1"/>
  <c r="AI68" i="1"/>
  <c r="AI69" i="1"/>
  <c r="AI70" i="1"/>
  <c r="AI71" i="1"/>
  <c r="AI72" i="1"/>
  <c r="AI73" i="1"/>
  <c r="AI74" i="1"/>
  <c r="AI75" i="1"/>
  <c r="AI76" i="1"/>
  <c r="AI77" i="1"/>
  <c r="AI78" i="1"/>
  <c r="AI79" i="1"/>
  <c r="AI80" i="1"/>
  <c r="AI81" i="1"/>
  <c r="AI82" i="1"/>
  <c r="AI83" i="1"/>
  <c r="AI84" i="1"/>
  <c r="AI85" i="1"/>
  <c r="AI86" i="1"/>
  <c r="AI87" i="1"/>
  <c r="AI88" i="1"/>
  <c r="AI89" i="1"/>
  <c r="AI90" i="1"/>
  <c r="AI91" i="1"/>
  <c r="AI92" i="1"/>
  <c r="AI93" i="1"/>
  <c r="AI94" i="1"/>
  <c r="AI95" i="1"/>
  <c r="AI96" i="1"/>
  <c r="AI97" i="1"/>
  <c r="AI98" i="1"/>
  <c r="AI99" i="1"/>
  <c r="AI100" i="1"/>
  <c r="AI2" i="1"/>
  <c r="AH3" i="1"/>
  <c r="AH4" i="1"/>
  <c r="AH5" i="1"/>
  <c r="AH6" i="1"/>
  <c r="AH7" i="1"/>
  <c r="AH8" i="1"/>
  <c r="AH9" i="1"/>
  <c r="AH10" i="1"/>
  <c r="AH11" i="1"/>
  <c r="AH12" i="1"/>
  <c r="AH13" i="1"/>
  <c r="AH14" i="1"/>
  <c r="AH15" i="1"/>
  <c r="AH16" i="1"/>
  <c r="AH17" i="1"/>
  <c r="AH18" i="1"/>
  <c r="AH19" i="1"/>
  <c r="AH20" i="1"/>
  <c r="AH21" i="1"/>
  <c r="AH22" i="1"/>
  <c r="AH23" i="1"/>
  <c r="AH24" i="1"/>
  <c r="AH25" i="1"/>
  <c r="AH26" i="1"/>
  <c r="AH27" i="1"/>
  <c r="AH28" i="1"/>
  <c r="AH29" i="1"/>
  <c r="AH30" i="1"/>
  <c r="AH31" i="1"/>
  <c r="AH32" i="1"/>
  <c r="AH33" i="1"/>
  <c r="AH34" i="1"/>
  <c r="AH35" i="1"/>
  <c r="AH36" i="1"/>
  <c r="AH37" i="1"/>
  <c r="AH38" i="1"/>
  <c r="AH39" i="1"/>
  <c r="AH40" i="1"/>
  <c r="AH41" i="1"/>
  <c r="AH42" i="1"/>
  <c r="AH43" i="1"/>
  <c r="AH44" i="1"/>
  <c r="AH45" i="1"/>
  <c r="AH46" i="1"/>
  <c r="AH47" i="1"/>
  <c r="AH48" i="1"/>
  <c r="AH49" i="1"/>
  <c r="AH50" i="1"/>
  <c r="AH51" i="1"/>
  <c r="AH52" i="1"/>
  <c r="AH53" i="1"/>
  <c r="AH54" i="1"/>
  <c r="AH55" i="1"/>
  <c r="AH56" i="1"/>
  <c r="AH57" i="1"/>
  <c r="AH58" i="1"/>
  <c r="AH59" i="1"/>
  <c r="AH60" i="1"/>
  <c r="AH61" i="1"/>
  <c r="AH62" i="1"/>
  <c r="AH63" i="1"/>
  <c r="AH64" i="1"/>
  <c r="AH65" i="1"/>
  <c r="AH66" i="1"/>
  <c r="AH67" i="1"/>
  <c r="AH68" i="1"/>
  <c r="AH69" i="1"/>
  <c r="AH70" i="1"/>
  <c r="AH71" i="1"/>
  <c r="AH72" i="1"/>
  <c r="AH73" i="1"/>
  <c r="AH74" i="1"/>
  <c r="AH75" i="1"/>
  <c r="AH76" i="1"/>
  <c r="AH77" i="1"/>
  <c r="AH78" i="1"/>
  <c r="AH79" i="1"/>
  <c r="AH80" i="1"/>
  <c r="AH81" i="1"/>
  <c r="AH82" i="1"/>
  <c r="AH83" i="1"/>
  <c r="AH84" i="1"/>
  <c r="AH85" i="1"/>
  <c r="AH86" i="1"/>
  <c r="AH87" i="1"/>
  <c r="AH88" i="1"/>
  <c r="AH89" i="1"/>
  <c r="AH90" i="1"/>
  <c r="AH91" i="1"/>
  <c r="AH92" i="1"/>
  <c r="AH93" i="1"/>
  <c r="AH94" i="1"/>
  <c r="AH95" i="1"/>
  <c r="AH96" i="1"/>
  <c r="AH97" i="1"/>
  <c r="AH98" i="1"/>
  <c r="AH99" i="1"/>
  <c r="AH100" i="1"/>
  <c r="AH2" i="1"/>
  <c r="AG3" i="1"/>
  <c r="AG4" i="1"/>
  <c r="AG5" i="1"/>
  <c r="AG6" i="1"/>
  <c r="AG7" i="1"/>
  <c r="AG8" i="1"/>
  <c r="AG9" i="1"/>
  <c r="AG10" i="1"/>
  <c r="AG11" i="1"/>
  <c r="AG12" i="1"/>
  <c r="AG13" i="1"/>
  <c r="AG14" i="1"/>
  <c r="AG15" i="1"/>
  <c r="AG16" i="1"/>
  <c r="AG17" i="1"/>
  <c r="AG18" i="1"/>
  <c r="AG19" i="1"/>
  <c r="AG20" i="1"/>
  <c r="AG21" i="1"/>
  <c r="AG22" i="1"/>
  <c r="AG23" i="1"/>
  <c r="AG24" i="1"/>
  <c r="AG25" i="1"/>
  <c r="AG26" i="1"/>
  <c r="AG27" i="1"/>
  <c r="AG28" i="1"/>
  <c r="AG29" i="1"/>
  <c r="AG30" i="1"/>
  <c r="AG31" i="1"/>
  <c r="AG32" i="1"/>
  <c r="AG33" i="1"/>
  <c r="AG34" i="1"/>
  <c r="AG35" i="1"/>
  <c r="AG36" i="1"/>
  <c r="AG37" i="1"/>
  <c r="AG38" i="1"/>
  <c r="AG39" i="1"/>
  <c r="AG40" i="1"/>
  <c r="AG41" i="1"/>
  <c r="AG42" i="1"/>
  <c r="AG43" i="1"/>
  <c r="AG44" i="1"/>
  <c r="AG45" i="1"/>
  <c r="AG46" i="1"/>
  <c r="AG47" i="1"/>
  <c r="AG48" i="1"/>
  <c r="AG49" i="1"/>
  <c r="AG50" i="1"/>
  <c r="AG51" i="1"/>
  <c r="AG52" i="1"/>
  <c r="AG53" i="1"/>
  <c r="AG54" i="1"/>
  <c r="AG55" i="1"/>
  <c r="AG56" i="1"/>
  <c r="AG57" i="1"/>
  <c r="AG58" i="1"/>
  <c r="AG59" i="1"/>
  <c r="AG60" i="1"/>
  <c r="AG61" i="1"/>
  <c r="AG62" i="1"/>
  <c r="AG63" i="1"/>
  <c r="AG64" i="1"/>
  <c r="AG65" i="1"/>
  <c r="AG66" i="1"/>
  <c r="AG67" i="1"/>
  <c r="AG68" i="1"/>
  <c r="AG69" i="1"/>
  <c r="AG70" i="1"/>
  <c r="AG71" i="1"/>
  <c r="AG72" i="1"/>
  <c r="AG73" i="1"/>
  <c r="AG74" i="1"/>
  <c r="AG75" i="1"/>
  <c r="AG76" i="1"/>
  <c r="AG77" i="1"/>
  <c r="AG78" i="1"/>
  <c r="AG79" i="1"/>
  <c r="AG80" i="1"/>
  <c r="AG81" i="1"/>
  <c r="AG82" i="1"/>
  <c r="AG83" i="1"/>
  <c r="AG84" i="1"/>
  <c r="AG85" i="1"/>
  <c r="AG86" i="1"/>
  <c r="AG87" i="1"/>
  <c r="AG88" i="1"/>
  <c r="AG89" i="1"/>
  <c r="AG90" i="1"/>
  <c r="AG91" i="1"/>
  <c r="AG92" i="1"/>
  <c r="AG93" i="1"/>
  <c r="AG94" i="1"/>
  <c r="AG95" i="1"/>
  <c r="AG96" i="1"/>
  <c r="AG97" i="1"/>
  <c r="AG98" i="1"/>
  <c r="AG99" i="1"/>
  <c r="AG100" i="1"/>
  <c r="AG2" i="1"/>
  <c r="AF3" i="1"/>
  <c r="AF4" i="1"/>
  <c r="AF5" i="1"/>
  <c r="AF6" i="1"/>
  <c r="AF7" i="1"/>
  <c r="AF8" i="1"/>
  <c r="AF9" i="1"/>
  <c r="AF10" i="1"/>
  <c r="AF11" i="1"/>
  <c r="AF12" i="1"/>
  <c r="AF13" i="1"/>
  <c r="AF14" i="1"/>
  <c r="AF15" i="1"/>
  <c r="AF16" i="1"/>
  <c r="AF17" i="1"/>
  <c r="AF18" i="1"/>
  <c r="AF19" i="1"/>
  <c r="AF20" i="1"/>
  <c r="AF21" i="1"/>
  <c r="AF22" i="1"/>
  <c r="AF23" i="1"/>
  <c r="AF24" i="1"/>
  <c r="AF25" i="1"/>
  <c r="AF26" i="1"/>
  <c r="AF27" i="1"/>
  <c r="AF28" i="1"/>
  <c r="AF29" i="1"/>
  <c r="AF30" i="1"/>
  <c r="AF31" i="1"/>
  <c r="AF32" i="1"/>
  <c r="AF33" i="1"/>
  <c r="AF34" i="1"/>
  <c r="AF35" i="1"/>
  <c r="AF36" i="1"/>
  <c r="AF37" i="1"/>
  <c r="AF38" i="1"/>
  <c r="AF39" i="1"/>
  <c r="AF40" i="1"/>
  <c r="AF41" i="1"/>
  <c r="AF42" i="1"/>
  <c r="AF43" i="1"/>
  <c r="AF44" i="1"/>
  <c r="AF45" i="1"/>
  <c r="AF46" i="1"/>
  <c r="AF47" i="1"/>
  <c r="AF48" i="1"/>
  <c r="AF49" i="1"/>
  <c r="AF50" i="1"/>
  <c r="AF51" i="1"/>
  <c r="AF52" i="1"/>
  <c r="AF53" i="1"/>
  <c r="AF54" i="1"/>
  <c r="AF55" i="1"/>
  <c r="AF56" i="1"/>
  <c r="AF57" i="1"/>
  <c r="AF58" i="1"/>
  <c r="AF59" i="1"/>
  <c r="AF60" i="1"/>
  <c r="AF61" i="1"/>
  <c r="AF62" i="1"/>
  <c r="AF63" i="1"/>
  <c r="AF64" i="1"/>
  <c r="AF65" i="1"/>
  <c r="AF66" i="1"/>
  <c r="AF67" i="1"/>
  <c r="AF68" i="1"/>
  <c r="AF69" i="1"/>
  <c r="AF70" i="1"/>
  <c r="AF71" i="1"/>
  <c r="AF72" i="1"/>
  <c r="AF73" i="1"/>
  <c r="AF74" i="1"/>
  <c r="AF75" i="1"/>
  <c r="AF76" i="1"/>
  <c r="AF77" i="1"/>
  <c r="AF78" i="1"/>
  <c r="AF79" i="1"/>
  <c r="AF80" i="1"/>
  <c r="AF81" i="1"/>
  <c r="AF82" i="1"/>
  <c r="AF83" i="1"/>
  <c r="AF84" i="1"/>
  <c r="AF85" i="1"/>
  <c r="AF86" i="1"/>
  <c r="AF87" i="1"/>
  <c r="AF88" i="1"/>
  <c r="AF89" i="1"/>
  <c r="AF90" i="1"/>
  <c r="AF91" i="1"/>
  <c r="AF92" i="1"/>
  <c r="AF93" i="1"/>
  <c r="AF94" i="1"/>
  <c r="AF95" i="1"/>
  <c r="AF96" i="1"/>
  <c r="AF97" i="1"/>
  <c r="AF98" i="1"/>
  <c r="AF99" i="1"/>
  <c r="AF100" i="1"/>
  <c r="AF2" i="1"/>
  <c r="AE3" i="1"/>
  <c r="AE4" i="1"/>
  <c r="AE5" i="1"/>
  <c r="AE6" i="1"/>
  <c r="AE7" i="1"/>
  <c r="AE8" i="1"/>
  <c r="AE9" i="1"/>
  <c r="AE10" i="1"/>
  <c r="AE11" i="1"/>
  <c r="AE12" i="1"/>
  <c r="AE13" i="1"/>
  <c r="AE14" i="1"/>
  <c r="AE15" i="1"/>
  <c r="AE16" i="1"/>
  <c r="AE17" i="1"/>
  <c r="AE18" i="1"/>
  <c r="AE19" i="1"/>
  <c r="AE20" i="1"/>
  <c r="AE21" i="1"/>
  <c r="AE22" i="1"/>
  <c r="AE23" i="1"/>
  <c r="AE24" i="1"/>
  <c r="AE25" i="1"/>
  <c r="AE26" i="1"/>
  <c r="AE27" i="1"/>
  <c r="AE28" i="1"/>
  <c r="AE29" i="1"/>
  <c r="AE30" i="1"/>
  <c r="AE31" i="1"/>
  <c r="AE32" i="1"/>
  <c r="AE33" i="1"/>
  <c r="AE34" i="1"/>
  <c r="AE35" i="1"/>
  <c r="AE36" i="1"/>
  <c r="AE37" i="1"/>
  <c r="AE38" i="1"/>
  <c r="AE39" i="1"/>
  <c r="AE40" i="1"/>
  <c r="AE41" i="1"/>
  <c r="AE42" i="1"/>
  <c r="AE43" i="1"/>
  <c r="AE44" i="1"/>
  <c r="AE45" i="1"/>
  <c r="AE46" i="1"/>
  <c r="AE47" i="1"/>
  <c r="AE48" i="1"/>
  <c r="AE49" i="1"/>
  <c r="AE50" i="1"/>
  <c r="AE51" i="1"/>
  <c r="AE52" i="1"/>
  <c r="AE53" i="1"/>
  <c r="AE54" i="1"/>
  <c r="AE55" i="1"/>
  <c r="AE56" i="1"/>
  <c r="AE57" i="1"/>
  <c r="AE58" i="1"/>
  <c r="AE59" i="1"/>
  <c r="AE60" i="1"/>
  <c r="AE61" i="1"/>
  <c r="AE62" i="1"/>
  <c r="AE63" i="1"/>
  <c r="AE64" i="1"/>
  <c r="AE65" i="1"/>
  <c r="AE66" i="1"/>
  <c r="AE67" i="1"/>
  <c r="AE68" i="1"/>
  <c r="AE69" i="1"/>
  <c r="AE70" i="1"/>
  <c r="AE71" i="1"/>
  <c r="AE72" i="1"/>
  <c r="AE73" i="1"/>
  <c r="AE74" i="1"/>
  <c r="AE75" i="1"/>
  <c r="AE76" i="1"/>
  <c r="AE77" i="1"/>
  <c r="AE78" i="1"/>
  <c r="AE79" i="1"/>
  <c r="AE80" i="1"/>
  <c r="AE81" i="1"/>
  <c r="AE82" i="1"/>
  <c r="AE83" i="1"/>
  <c r="AE84" i="1"/>
  <c r="AE85" i="1"/>
  <c r="AE86" i="1"/>
  <c r="AE87" i="1"/>
  <c r="AE88" i="1"/>
  <c r="AE89" i="1"/>
  <c r="AE90" i="1"/>
  <c r="AE91" i="1"/>
  <c r="AE92" i="1"/>
  <c r="AE93" i="1"/>
  <c r="AE94" i="1"/>
  <c r="AE95" i="1"/>
  <c r="AE96" i="1"/>
  <c r="AE97" i="1"/>
  <c r="AE98" i="1"/>
  <c r="AE99" i="1"/>
  <c r="AE100" i="1"/>
  <c r="AE2" i="1"/>
  <c r="AD3" i="1"/>
  <c r="AD4" i="1"/>
  <c r="AD5" i="1"/>
  <c r="AD6" i="1"/>
  <c r="AD7" i="1"/>
  <c r="AD8" i="1"/>
  <c r="AD9" i="1"/>
  <c r="AD10" i="1"/>
  <c r="AD11" i="1"/>
  <c r="AD12" i="1"/>
  <c r="AD13" i="1"/>
  <c r="AD14" i="1"/>
  <c r="AD15" i="1"/>
  <c r="AD16" i="1"/>
  <c r="AD17" i="1"/>
  <c r="AD18" i="1"/>
  <c r="AD19" i="1"/>
  <c r="AD20" i="1"/>
  <c r="AD21" i="1"/>
  <c r="AD22" i="1"/>
  <c r="AD23" i="1"/>
  <c r="AD24" i="1"/>
  <c r="AD25" i="1"/>
  <c r="AD26" i="1"/>
  <c r="AD27" i="1"/>
  <c r="AD28" i="1"/>
  <c r="AD29" i="1"/>
  <c r="AD30" i="1"/>
  <c r="AD31" i="1"/>
  <c r="AD32" i="1"/>
  <c r="AD33" i="1"/>
  <c r="AD34" i="1"/>
  <c r="AD35" i="1"/>
  <c r="AD36" i="1"/>
  <c r="AD37" i="1"/>
  <c r="AD38" i="1"/>
  <c r="AD39" i="1"/>
  <c r="AD40" i="1"/>
  <c r="AD41" i="1"/>
  <c r="AD42" i="1"/>
  <c r="AD43" i="1"/>
  <c r="AD44" i="1"/>
  <c r="AD45" i="1"/>
  <c r="AD46" i="1"/>
  <c r="AD47" i="1"/>
  <c r="AD48" i="1"/>
  <c r="AD49" i="1"/>
  <c r="AD50" i="1"/>
  <c r="AD51" i="1"/>
  <c r="AD52" i="1"/>
  <c r="AD53" i="1"/>
  <c r="AD54" i="1"/>
  <c r="AD55" i="1"/>
  <c r="AD56" i="1"/>
  <c r="AD57" i="1"/>
  <c r="AD58" i="1"/>
  <c r="AD59" i="1"/>
  <c r="AD60" i="1"/>
  <c r="AD61" i="1"/>
  <c r="AD62" i="1"/>
  <c r="AD63" i="1"/>
  <c r="AD64" i="1"/>
  <c r="AD65" i="1"/>
  <c r="AD66" i="1"/>
  <c r="AD67" i="1"/>
  <c r="AD68" i="1"/>
  <c r="AD69" i="1"/>
  <c r="AD70" i="1"/>
  <c r="AD71" i="1"/>
  <c r="AD72" i="1"/>
  <c r="AD73" i="1"/>
  <c r="AD74" i="1"/>
  <c r="AD75" i="1"/>
  <c r="AD76" i="1"/>
  <c r="AD77" i="1"/>
  <c r="AD78" i="1"/>
  <c r="AD79" i="1"/>
  <c r="AD80" i="1"/>
  <c r="AD81" i="1"/>
  <c r="AD82" i="1"/>
  <c r="AD83" i="1"/>
  <c r="AD84" i="1"/>
  <c r="AD85" i="1"/>
  <c r="AD86" i="1"/>
  <c r="AD87" i="1"/>
  <c r="AD88" i="1"/>
  <c r="AD89" i="1"/>
  <c r="AD90" i="1"/>
  <c r="AD91" i="1"/>
  <c r="AD92" i="1"/>
  <c r="AD93" i="1"/>
  <c r="AD94" i="1"/>
  <c r="AD95" i="1"/>
  <c r="AD96" i="1"/>
  <c r="AD97" i="1"/>
  <c r="AD98" i="1"/>
  <c r="AD99" i="1"/>
  <c r="AD100" i="1"/>
  <c r="AD2" i="1"/>
  <c r="AC31" i="1"/>
  <c r="AC32" i="1"/>
  <c r="AC33" i="1"/>
  <c r="AC34" i="1"/>
  <c r="AC35" i="1"/>
  <c r="AC36" i="1"/>
  <c r="AC37" i="1"/>
  <c r="AC38" i="1"/>
  <c r="AC39" i="1"/>
  <c r="AC40" i="1"/>
  <c r="AC41" i="1"/>
  <c r="AC42" i="1"/>
  <c r="AC43" i="1"/>
  <c r="AC44" i="1"/>
  <c r="AC45" i="1"/>
  <c r="AC46" i="1"/>
  <c r="AC47" i="1"/>
  <c r="AC48" i="1"/>
  <c r="AC49" i="1"/>
  <c r="AC50" i="1"/>
  <c r="AC51" i="1"/>
  <c r="AC52" i="1"/>
  <c r="AC53" i="1"/>
  <c r="AC54" i="1"/>
  <c r="AC55" i="1"/>
  <c r="AC56" i="1"/>
  <c r="AC57" i="1"/>
  <c r="AC58" i="1"/>
  <c r="AC59" i="1"/>
  <c r="AC60" i="1"/>
  <c r="AC61" i="1"/>
  <c r="AC62" i="1"/>
  <c r="AC63" i="1"/>
  <c r="AC64" i="1"/>
  <c r="AC65" i="1"/>
  <c r="AC66" i="1"/>
  <c r="AC67" i="1"/>
  <c r="AC68" i="1"/>
  <c r="AC69" i="1"/>
  <c r="AC70" i="1"/>
  <c r="AC71" i="1"/>
  <c r="AC72" i="1"/>
  <c r="AC73" i="1"/>
  <c r="AC74" i="1"/>
  <c r="AC75" i="1"/>
  <c r="AC76" i="1"/>
  <c r="AC77" i="1"/>
  <c r="AC78" i="1"/>
  <c r="AC79" i="1"/>
  <c r="AC80" i="1"/>
  <c r="AC81" i="1"/>
  <c r="AC82" i="1"/>
  <c r="AC83" i="1"/>
  <c r="AC84" i="1"/>
  <c r="AC85" i="1"/>
  <c r="AC86" i="1"/>
  <c r="AC87" i="1"/>
  <c r="AC88" i="1"/>
  <c r="AC89" i="1"/>
  <c r="AC90" i="1"/>
  <c r="AC91" i="1"/>
  <c r="AC92" i="1"/>
  <c r="AC93" i="1"/>
  <c r="AC94" i="1"/>
  <c r="AC95" i="1"/>
  <c r="AC96" i="1"/>
  <c r="AC97" i="1"/>
  <c r="AC98" i="1"/>
  <c r="AC99" i="1"/>
  <c r="AC100" i="1"/>
  <c r="AC3" i="1"/>
  <c r="AC4" i="1"/>
  <c r="AC5" i="1"/>
  <c r="AC6" i="1"/>
  <c r="AC7" i="1"/>
  <c r="AC8" i="1"/>
  <c r="AC9" i="1"/>
  <c r="AC10" i="1"/>
  <c r="AC11" i="1"/>
  <c r="AC12" i="1"/>
  <c r="AC13" i="1"/>
  <c r="AC14" i="1"/>
  <c r="AC15" i="1"/>
  <c r="AC16" i="1"/>
  <c r="AC17" i="1"/>
  <c r="AC18" i="1"/>
  <c r="AC19" i="1"/>
  <c r="AC20" i="1"/>
  <c r="AC21" i="1"/>
  <c r="AC22" i="1"/>
  <c r="AC23" i="1"/>
  <c r="AC24" i="1"/>
  <c r="AC25" i="1"/>
  <c r="AC26" i="1"/>
  <c r="AC27" i="1"/>
  <c r="AC28" i="1"/>
  <c r="AC29" i="1"/>
  <c r="AC30" i="1"/>
  <c r="AC2" i="1"/>
  <c r="AB3" i="1"/>
  <c r="AB4" i="1"/>
  <c r="AB5" i="1"/>
  <c r="AB6" i="1"/>
  <c r="AB7" i="1"/>
  <c r="AB8" i="1"/>
  <c r="AB9" i="1"/>
  <c r="AB10" i="1"/>
  <c r="AB11" i="1"/>
  <c r="AB12" i="1"/>
  <c r="AB13" i="1"/>
  <c r="AB14" i="1"/>
  <c r="AB15" i="1"/>
  <c r="AB16" i="1"/>
  <c r="AB17" i="1"/>
  <c r="AB18" i="1"/>
  <c r="AB19" i="1"/>
  <c r="AB20" i="1"/>
  <c r="AB21" i="1"/>
  <c r="AB22" i="1"/>
  <c r="AB23" i="1"/>
  <c r="AB24" i="1"/>
  <c r="AB25" i="1"/>
  <c r="AB26" i="1"/>
  <c r="AB27" i="1"/>
  <c r="AB28" i="1"/>
  <c r="AB29" i="1"/>
  <c r="AB30" i="1"/>
  <c r="AB32" i="1"/>
  <c r="AB33" i="1"/>
  <c r="AB34" i="1"/>
  <c r="AB35" i="1"/>
  <c r="AB36" i="1"/>
  <c r="AB38" i="1"/>
  <c r="AB39" i="1"/>
  <c r="AB40" i="1"/>
  <c r="AB41" i="1"/>
  <c r="AB42" i="1"/>
  <c r="AB43" i="1"/>
  <c r="AB44" i="1"/>
  <c r="AB45" i="1"/>
  <c r="AB46" i="1"/>
  <c r="AB47" i="1"/>
  <c r="AB48" i="1"/>
  <c r="AB49" i="1"/>
  <c r="AB50" i="1"/>
  <c r="AB51" i="1"/>
  <c r="AB52" i="1"/>
  <c r="AB53" i="1"/>
  <c r="AB54" i="1"/>
  <c r="AB55" i="1"/>
  <c r="AB56" i="1"/>
  <c r="AB57" i="1"/>
  <c r="AB58" i="1"/>
  <c r="AB59" i="1"/>
  <c r="AB60" i="1"/>
  <c r="AB61" i="1"/>
  <c r="AB62" i="1"/>
  <c r="AB63" i="1"/>
  <c r="AB64" i="1"/>
  <c r="AB65" i="1"/>
  <c r="AB66" i="1"/>
  <c r="AB67" i="1"/>
  <c r="AB68" i="1"/>
  <c r="AB69" i="1"/>
  <c r="AB70" i="1"/>
  <c r="AB71" i="1"/>
  <c r="AB72" i="1"/>
  <c r="AB73" i="1"/>
  <c r="AB74" i="1"/>
  <c r="AB75" i="1"/>
  <c r="AB76" i="1"/>
  <c r="AB77" i="1"/>
  <c r="AB78" i="1"/>
  <c r="AB79" i="1"/>
  <c r="AB80" i="1"/>
  <c r="AB81" i="1"/>
  <c r="AB82" i="1"/>
  <c r="AB83" i="1"/>
  <c r="AB84" i="1"/>
  <c r="AB85" i="1"/>
  <c r="AB86" i="1"/>
  <c r="AB87" i="1"/>
  <c r="AB88" i="1"/>
  <c r="AB89" i="1"/>
  <c r="AB90" i="1"/>
  <c r="AB91" i="1"/>
  <c r="AB92" i="1"/>
  <c r="AB93" i="1"/>
  <c r="AB94" i="1"/>
  <c r="AB95" i="1"/>
  <c r="AB96" i="1"/>
  <c r="AB97" i="1"/>
  <c r="AB98" i="1"/>
  <c r="AB99" i="1"/>
  <c r="AB100" i="1"/>
  <c r="AB2" i="1"/>
</calcChain>
</file>

<file path=xl/sharedStrings.xml><?xml version="1.0" encoding="utf-8"?>
<sst xmlns="http://schemas.openxmlformats.org/spreadsheetml/2006/main" count="13998" uniqueCount="11518">
  <si>
    <t>TradeName</t>
  </si>
  <si>
    <t>Price (in USD)</t>
  </si>
  <si>
    <t>Disease</t>
  </si>
  <si>
    <t>Symptoms</t>
  </si>
  <si>
    <t>Prevalence</t>
  </si>
  <si>
    <t>Prevalence_Decimal</t>
  </si>
  <si>
    <t>Quality_of_Life</t>
  </si>
  <si>
    <t>Morbidity</t>
  </si>
  <si>
    <t>Mortality</t>
  </si>
  <si>
    <t>Efficacy</t>
  </si>
  <si>
    <t>Safety</t>
  </si>
  <si>
    <t>Adverse_Events</t>
  </si>
  <si>
    <t>Annual_Therapy_Costs</t>
  </si>
  <si>
    <t>Average_therapy_cost_2019</t>
  </si>
  <si>
    <t>Average_therapy_cost_2020</t>
  </si>
  <si>
    <t>Average_therapy_cost_2021</t>
  </si>
  <si>
    <t>Average_therapy_cost_2022</t>
  </si>
  <si>
    <t>Average_therapy_cost_2023</t>
  </si>
  <si>
    <t>Age_Group</t>
  </si>
  <si>
    <t>Gender</t>
  </si>
  <si>
    <t>Type_of_Drug</t>
  </si>
  <si>
    <t>Age_Group_Range</t>
  </si>
  <si>
    <t>Target Population 2019</t>
  </si>
  <si>
    <t>Target Population 2020</t>
  </si>
  <si>
    <t>Target Population 2021</t>
  </si>
  <si>
    <t>Target Population 2022</t>
  </si>
  <si>
    <t>Target Population 2023</t>
  </si>
  <si>
    <t>Market_Size_2019</t>
  </si>
  <si>
    <t>Patient_Pool_2019</t>
  </si>
  <si>
    <t>Market_Size_2020</t>
  </si>
  <si>
    <t>Patient_Pool_2020</t>
  </si>
  <si>
    <t>Market_Size_2021</t>
  </si>
  <si>
    <t>Patient_Pool_2021</t>
  </si>
  <si>
    <t>Market_Size_2022</t>
  </si>
  <si>
    <t>Patient_Pool_2022</t>
  </si>
  <si>
    <t>Market_Size_2023</t>
  </si>
  <si>
    <t>Patient_Pool_2023</t>
  </si>
  <si>
    <t>STRENSIQ 18MG/0.45ML</t>
  </si>
  <si>
    <t>Hypophosphatemia</t>
  </si>
  <si>
    <t>Characterized by weak bones, skeletal deformities, dental problems, muscle weakness, and in severe cases, respiratory failure.</t>
  </si>
  <si>
    <t>Estimated to affect approximately 1 in 300,000 births in the USA.</t>
  </si>
  <si>
    <t>Patients may experience significant challenges due to bone fragility and dental issues, affecting daily activities and overall well-being.</t>
  </si>
  <si>
    <t>Clinical trials have shown that Strensiq improves bone mineralization, reduces fractures, and improves overall physical function in patients with this condition.</t>
  </si>
  <si>
    <t>Generally well-tolerated; safety profile has been established through clinical studies.</t>
  </si>
  <si>
    <t>Common adverse events include injection site reactions, headache, pyrexia, and gastrointestinal issues.</t>
  </si>
  <si>
    <t>Approximately $300,000 - $400,000 per patient per year.</t>
  </si>
  <si>
    <t>Indicated for patients of all ages, from infants to adults.</t>
  </si>
  <si>
    <t>Affects both genders equally.</t>
  </si>
  <si>
    <t>Enzyme replacement therapy (recombinant human tissue-nonspecific alkaline phosphatase).</t>
  </si>
  <si>
    <t>0 and older</t>
  </si>
  <si>
    <t>STRENSIQ 28MG/0.7ML</t>
  </si>
  <si>
    <t>Bone fragility, skeletal abnormalities, dental problems, muscle weakness, respiratory issues, and pain.</t>
  </si>
  <si>
    <t>Approximately 1 in 100,000 to 1 in 500,000 live births in the USA.</t>
  </si>
  <si>
    <t>Can be significantly impacted due to physical limitations and frequent medical interventions; quality of life may improve with early treatment.</t>
  </si>
  <si>
    <t>Clinical studies show significant improvements in bone mineralization and reduction in fracture rates with treatment.</t>
  </si>
  <si>
    <t>Generally well-tolerated; however, safety profile continues to be assessed in ongoing studies.</t>
  </si>
  <si>
    <t>Common adverse events include injection site reactions, elevated liver enzymes, and hypersensitivity reactions.</t>
  </si>
  <si>
    <t>Approximately $200,000 to $400,000 per year, depending on the specific treatment regimen and patient needs.</t>
  </si>
  <si>
    <t>All age groups; particularly significant in infants and children.</t>
  </si>
  <si>
    <t>Affects both genders equally, though prevalence may vary among different demographics.</t>
  </si>
  <si>
    <t>Monoclonal antibody-based enzyme replacement therapy.</t>
  </si>
  <si>
    <t>STRENSIQ 40MG/1ML</t>
  </si>
  <si>
    <t>Weakness in bones and muscles, frequent fractures, dental issues, respiratory problems, abnormal bone development.</t>
  </si>
  <si>
    <t>Rare, estimated at 1 in 100,000 live births in the USA.</t>
  </si>
  <si>
    <t>Significantly impacted; patients experience chronic pain, mobility issues, and dental complications, affecting daily activities and mental health.</t>
  </si>
  <si>
    <t>Clinical trials have shown an efficacy rate of about 80% in improving bone mineralization and reducing fractures.</t>
  </si>
  <si>
    <t>Generally considered safe; however, caution is advised in patients with a history of hypersensitivity to the product or its components.</t>
  </si>
  <si>
    <t>Common adverse events include nausea, headache, and infusion-related reactions; rare but serious events can include hypersensitivity reactions.</t>
  </si>
  <si>
    <t>Approximately $300,000 to $400,000 per year depending on individual healthcare plans and dosage requirements.</t>
  </si>
  <si>
    <t>Primarily affects infants and children, but can also be diagnosed in adults; most patients are diagnosed by age 5.</t>
  </si>
  <si>
    <t>Equally affects males and females.</t>
  </si>
  <si>
    <t>Enzyme replacement therapy (small molecule).</t>
  </si>
  <si>
    <t>STRENSIQ 80MG/0.8ML</t>
  </si>
  <si>
    <t>Bone pain, fractures, difficulty weight-bearing, dental problems, muscle weakness, respiratory issues, and abnormal bone development.</t>
  </si>
  <si>
    <t>Approximately 1 in 100,000 births; rare disease.</t>
  </si>
  <si>
    <t>Significantly affected; individuals may experience chronic pain, mobility issues, and social limitations due to physical impairments.</t>
  </si>
  <si>
    <t>Clinical trials have shown that STRENSIQ can improve bone mineralization and reduce fractures, with efficacy reported to be favorable among patients treated.</t>
  </si>
  <si>
    <t>Generally well-tolerated; monitoring for injection site reactions and metabolic changes is advised.</t>
  </si>
  <si>
    <t>Common adverse events include injection site reactions, headache, nausea, abdominal pain, and hypersensitivity reactions.</t>
  </si>
  <si>
    <t>Approx. $200,000 to $300,000 depending on dosing and patient-specific factors.</t>
  </si>
  <si>
    <t>Approved for patients of all ages, including infants.</t>
  </si>
  <si>
    <t>Enzyme replacement therapy (biologic).</t>
  </si>
  <si>
    <t>LEVOTHYROXINE NA 13MCG CAP</t>
  </si>
  <si>
    <t>Hyperthyroidism</t>
  </si>
  <si>
    <t>Fatigue, weight gain, cold intolerance, dry skin, hair loss, muscle weakness, constipation, depression, slowed heart rate</t>
  </si>
  <si>
    <t>Approximately 4.6% of adults in the USA have hypothyroidism, with higher rates observed in women and older adults.</t>
  </si>
  <si>
    <t>Improved significantly with proper treatment; many patients experience a return to normal functioning and well-being.</t>
  </si>
  <si>
    <t>Levothyroxine is over 95% effective in reversing symptoms of hypothyroidism when dosed appropriately.</t>
  </si>
  <si>
    <t>Generally regarded as safe; routine monitoring is essential to avoid overtreatment or undertreatment.</t>
  </si>
  <si>
    <t>Rare; may include heart palpitations, unintentional weight loss, anxiety, and insomnia.</t>
  </si>
  <si>
    <t>Average costs range from $30 to $100 per year, depending on insurance coverage and pharmacy choices.</t>
  </si>
  <si>
    <t>Most common in adults, especially those over the age of 60.</t>
  </si>
  <si>
    <t>More prevalent in females (approximately 5-8 times more likely than males).</t>
  </si>
  <si>
    <t>Small molecules (synthetic thyroid hormone).</t>
  </si>
  <si>
    <t>18 and older</t>
  </si>
  <si>
    <t>LEVOTHYROXINE NA 25MCG CAP</t>
  </si>
  <si>
    <t>Approximately 4.6% of the US population have hypothyroidism, which equates to about 5.6 million people.</t>
  </si>
  <si>
    <t>Patients with well-managed hypothyroidism generally report an improved quality of life; untreated hypothyroidism significantly affects daily living.</t>
  </si>
  <si>
    <t>Levothyroxine is highly effective in normalizing thyroid hormone levels; studies show that 80-90% of patients achieve desired TSH levels within the first 6 months of therapy.</t>
  </si>
  <si>
    <t>Generally well-tolerated; long-term use is considered safe when dosed appropriately.</t>
  </si>
  <si>
    <t>Common adverse events include hyperthyroidism signs (if overdosed), weight loss, insomnia, increased heart rate, and anxiety. Rarely, severe reactions such as allergic reactions can occur.</t>
  </si>
  <si>
    <t>Approximately $60 to $150 annually, depending on the insurance plan and dosage.</t>
  </si>
  <si>
    <t>All age groups, most commonly diagnosed in adults over 30, but can occur at any age.</t>
  </si>
  <si>
    <t>More prevalent in females (about 7-10 times more common than in males).</t>
  </si>
  <si>
    <t>Small molecule (thyroid hormone replacement therapy).</t>
  </si>
  <si>
    <t>LEVOTHYROXINE NA 50MCG CAP</t>
  </si>
  <si>
    <t>Fatigue, weight gain, cold intolerance, dry skin, hair loss, constipation, depression, muscle weakness, slowed heart rate, and changes in menstrual cycles.</t>
  </si>
  <si>
    <t>Approximately 4.6% of the US population have hypothyroidism, with higher rates in women and older adults.</t>
  </si>
  <si>
    <t>Patients often experience a significant improvement in quality of life with effective treatment, as symptoms are alleviated.</t>
  </si>
  <si>
    <t>Levothyroxine is highly effective, with approximately 80% of patients achieving normal thyroid function within 6-8 weeks of therapy.</t>
  </si>
  <si>
    <t>Generally considered safe with a wide therapeutic range, but requires regular monitoring of thyroid hormone levels.</t>
  </si>
  <si>
    <t>Common adverse events include palpitations, anxiety, sleeping difficulties, and weight loss; serious adverse events are rare but can include atrial fibrillation and osteoporosis at high doses.</t>
  </si>
  <si>
    <t>The average annual cost of levothyroxine therapy is approximately $100 to $200.</t>
  </si>
  <si>
    <t>Most commonly prescribed for adults, particularly women aged 30 and older, but can be used in children as well.</t>
  </si>
  <si>
    <t>More common in females; approximately 5-8 times more prevalent in women than in men.</t>
  </si>
  <si>
    <t>Small molecule (synthetic thyroid hormone).</t>
  </si>
  <si>
    <t>LEVOTHYROXINE NA 75MCG CAP</t>
  </si>
  <si>
    <t>Fatigue, weight gain, cold intolerance, dry skin, hair loss, muscle weakness, depression, constipation, and slowed heart rate.</t>
  </si>
  <si>
    <t>Approximately 4.6% of the U.S. population has hypothyroidism.</t>
  </si>
  <si>
    <t>Patients typically experience a significant improvement in quality of life with proper treatment, but untreated hypothyroidism can lead to prolonged symptoms affecting daily activities.</t>
  </si>
  <si>
    <t>Levothyroxine is highly effective in restoring normal thyroid hormone levels, with a response rate of 95% in appropriately treated patients.</t>
  </si>
  <si>
    <t>Generally safe when dosed correctly; requires monitoring due to the potential for over-treatment.</t>
  </si>
  <si>
    <t>Potential adverse events include palpitations, anxiety, sleep disturbances, and rare cases of arrhythmias or osteoporosis with over-treatment.</t>
  </si>
  <si>
    <t>Approximately $30 to $200, depending on insurance coverage and pharmacy pricing.</t>
  </si>
  <si>
    <t>Primarily adults (most commonly in individuals over 60 years old).</t>
  </si>
  <si>
    <t>More prevalent in women (7-8 times more common than in men).</t>
  </si>
  <si>
    <t>Small molecules (synthetic thyroid hormone replacement).</t>
  </si>
  <si>
    <t>LEVOTHYROXINE NA 88MCG CAP</t>
  </si>
  <si>
    <t>Fatigue, weight gain, cold intolerance, dry skin, hair loss, constipation, depression, muscle weakness, slow heart rate, and heavy or irregular menstrual periods.</t>
  </si>
  <si>
    <t>Approximately 4.6% of the U.S. population has hypothyroidism, with a higher prevalence in women and older adults.</t>
  </si>
  <si>
    <t>Patients often see significant improvement in quality of life with appropriate treatment, including restored energy levels and improved mood.</t>
  </si>
  <si>
    <t>Levothyroxine is highly effective in normalizing thyroid hormone levels, with about 80-90% of patients achieving euthyroid status after proper dosing adjustments.</t>
  </si>
  <si>
    <t>Generally considered safe when dosed appropriately; monitoring is essential to prevent over-therapy.</t>
  </si>
  <si>
    <t>Side effects may include palpitations, anxiety, insomnia, tremors, weight loss, and increased appetite. Rarely, it can cause osteoporosis or atrial fibrillation in older patients if overdosed.</t>
  </si>
  <si>
    <t>Approximately $30 to $200, depending on the pharmacy and insurance coverage.</t>
  </si>
  <si>
    <t>Primarily adults, but can occur in all age groups; more common in older adults.</t>
  </si>
  <si>
    <t>More prevalent in women than men, with a ratio of approximately 7:1.</t>
  </si>
  <si>
    <t>Small molecules (synthetic thyroid hormone replacement therapy).</t>
  </si>
  <si>
    <t>LEVOTHYROXINE NA 100MCG CAP</t>
  </si>
  <si>
    <t>Fatigue, weight gain, sensitivity to cold, constipation, dry skin, hair loss, muscle weakness, joint pain, depression, impaired memory.</t>
  </si>
  <si>
    <t>Approximately 4.6% of the US population (about 5 million people).</t>
  </si>
  <si>
    <t>Quality of life can significantly improve with appropriate treatment; patients may experience increased energy levels, better mood, and improved overall functioning.</t>
  </si>
  <si>
    <t>Levothyroxine is considered highly effective, with about 70-80% of patients achieving normalization of thyroid hormones with proper dosing.</t>
  </si>
  <si>
    <t>Generally safe when used appropriately; the most common issue relates to dosage adjustments.</t>
  </si>
  <si>
    <t>Common adverse events include palpitations, anxiety, insomnia, heat intolerance, and weight loss if overdosed.</t>
  </si>
  <si>
    <t>Approximately $30 to $120 per year, depending on the pharmacy and insurance factors.</t>
  </si>
  <si>
    <t>Primarily adults, but can occur in any age group, including children.</t>
  </si>
  <si>
    <t>More common in females (5-8 times more prevalent than in males).</t>
  </si>
  <si>
    <t>LEVOTHYROXINE NA 112MCG CAP</t>
  </si>
  <si>
    <t>Fatigue, weight gain, cold intolerance, dry skin, hair loss, constipation, muscle weakness, depression, and slowed heart rate.</t>
  </si>
  <si>
    <t>Approximately 4.6% of the U.S. population; higher in women and older adults.</t>
  </si>
  <si>
    <t>Generally improves significantly with proper treatment, with many patients returning to typical activities and functioning.</t>
  </si>
  <si>
    <t>Highly effective in managing symptoms of hypothyroidism, with appropriate dosage leading to normalization of thyroid hormones in most patients (80-90% effective).</t>
  </si>
  <si>
    <t>Generally considered safe; requires monitoring of thyroid hormone levels to avoid overtreatment.</t>
  </si>
  <si>
    <t>Common adverse events include palpitations, weight loss, increased appetite, insomnia, and excessive sweating; rare but serious events include atrial fibrillation and osteoporosis.</t>
  </si>
  <si>
    <t>Approximately $150–$300 per year, depending on dosage and pharmacy.</t>
  </si>
  <si>
    <t>All age groups, with increased prevalence in older adults (often diagnosed in middle-aged individuals).</t>
  </si>
  <si>
    <t>More prevalent in women (up to 8 times more likely than men).</t>
  </si>
  <si>
    <t>LEVOTHYROXINE NA 125MCG CAP</t>
  </si>
  <si>
    <t>Fatigue, weight gain, cold intolerance, dry skin, hair loss, constipation, depression, and muscle weakness.</t>
  </si>
  <si>
    <t>Improved significantly with treatment; many patients report better energy levels and mood stability.</t>
  </si>
  <si>
    <t>Levothyroxine is usually 95-100% effective in normalizing thyroid hormone levels.</t>
  </si>
  <si>
    <t>Generally considered safe; long-term use is well tolerated in most patients.</t>
  </si>
  <si>
    <t>Common adverse events include palpitations, increased appetite, heat intolerance, and anxiety. Rare but serious events include osteoporosis and atrial fibrillation.</t>
  </si>
  <si>
    <t>Approximately $30-$100 per year, depending on insurance coverage and pharmacy choice.</t>
  </si>
  <si>
    <t>Most commonly prescribed for adults, particularly those over 30 years old.</t>
  </si>
  <si>
    <t>More prevalent in females than males, with a ratio of about 4:1.</t>
  </si>
  <si>
    <t>LEVOTHYROXINE NA 137MCG CAP</t>
  </si>
  <si>
    <t>Approximately 4.6% of the U.S. population; higher prevalence in women and older adults</t>
  </si>
  <si>
    <t>Generally improves with treatment, with most patients experiencing a significant return to normal levels of energy and well-being</t>
  </si>
  <si>
    <t>Highly effective in normalizing thyroid hormone levels and alleviating symptoms; typically achieves euthyroid state in 4-6 weeks</t>
  </si>
  <si>
    <t>Generally considered safe when dosing is appropriate; routine monitoring is recommended</t>
  </si>
  <si>
    <t>Commonly reported events include palpitations, anxiety, insomnia, and heat intolerance; serious events are rare</t>
  </si>
  <si>
    <t>Approximately $30 to $100 depending on insurance and pharmacy pricing</t>
  </si>
  <si>
    <t>Primarily adults, but also used in children when diagnosed with hypothyroidism</t>
  </si>
  <si>
    <t>More common in females (about 5-8 times more prevalent in women compared to men)</t>
  </si>
  <si>
    <t>Small molecules (Levothyroxine is a synthetic form of the thyroid hormone thyroxine)</t>
  </si>
  <si>
    <t>LEVOTHYROXINE NA 150MCG CAP</t>
  </si>
  <si>
    <t>Fatigue, weight gain, cold intolerance, dry skin, hair loss, constipation, depression, muscle weakness, slow heart rate, and mental fog.</t>
  </si>
  <si>
    <t>Approximately 4.6% of the population in the USA, with higher prevalence in women and older adults.</t>
  </si>
  <si>
    <t>With effective treatment, quality of life improves significantly, leading to a return to normal activities and functioning.</t>
  </si>
  <si>
    <t>High efficacy when taken as prescribed; generally achieves normalization of thyroid levels in 80-90% of patients.</t>
  </si>
  <si>
    <t>Considered safe when dosed appropriately; monitoring thyroid levels is essential to avoid over-treatment.</t>
  </si>
  <si>
    <t>Mild side effects may include palpitations, tremors, sleep disturbances, and increased appetite; serious side effects are rare but can occur if overdosed.</t>
  </si>
  <si>
    <t>Approx. $50 to $100 per year, depending on the pharmacy and insurance coverage.</t>
  </si>
  <si>
    <t>All ages; most commonly treated in adults, particularly those over 60.</t>
  </si>
  <si>
    <t>More prevalent in women, particularly during and after menopause than in men.</t>
  </si>
  <si>
    <t>LEVOTHYROXINE NA 175MCG CAP</t>
  </si>
  <si>
    <t>Fatigue, weight gain, cold intolerance, dry skin, hair loss, constipation, depression, muscle weakness, and slowed heart rate.</t>
  </si>
  <si>
    <t>Approximately 4.6% of the US population (about 1 in 20 adults) has some form of thyroid disease, with overt hypothyroidism affecting 0.3-0.4% of the population.</t>
  </si>
  <si>
    <t>Generally improved with treatment; levels of fatigue and mental health symptoms decrease significantly, leading to better social and occupational functioning.</t>
  </si>
  <si>
    <t>Levothyroxine is considered highly effective, with proper dosing leading to normal thyroid hormone levels in over 90% of patients.</t>
  </si>
  <si>
    <t>Generally safe when dosed properly, but must be monitored to avoid overtreatment.</t>
  </si>
  <si>
    <t>Palpitations, anxiety, insomnia, headache, weight loss, tremors, and increased sweating.</t>
  </si>
  <si>
    <t>Approximately $100 to $200 depending on insurance coverage and pharmacy pricing.</t>
  </si>
  <si>
    <t>Primarily adults, most commonly diagnosed in middle-aged women (ages 30-60).</t>
  </si>
  <si>
    <t>More prevalent in women (approximately 5-10 times more common than in men).</t>
  </si>
  <si>
    <t>LEVOTHYROXINE NA 200MCG CAP</t>
  </si>
  <si>
    <t>Fatigue, weight gain, cold intolerance, dry skin, hair loss, muscle weakness, constipation, depression, and slowed heart rate.</t>
  </si>
  <si>
    <t>Approximately 4.6% of the U.S. population (about 14.8 million people) has hypothyroidism.</t>
  </si>
  <si>
    <t>Generally improved with therapy; most patients experience an increase in energy levels, mood stabilization, and overall well-being upon achieving normal thyroid hormone levels.</t>
  </si>
  <si>
    <t>80-90% of patients achieve normal thyroid hormone levels with appropriate dosing of levothyroxine.</t>
  </si>
  <si>
    <t>Generally considered safe; most patients tolerate it well when dosed appropriately.</t>
  </si>
  <si>
    <t>Common adverse events include headache, insomnia, nervousness, weight loss, and palpitations; rare events may include severe allergic reactions and cardiovascular issues if overdosed.</t>
  </si>
  <si>
    <t>Approximately $60 - $150 depending on the formulation and source.</t>
  </si>
  <si>
    <t>All age groups; more prevalent in adults, particularly women over 60.</t>
  </si>
  <si>
    <t>More common in females (about 5-10 times more likely than males).</t>
  </si>
  <si>
    <t>OXAZEPAM 10MG CAP</t>
  </si>
  <si>
    <t>Generalized Anxiety Disorder (GAD)</t>
  </si>
  <si>
    <t>Excessive worry, restlessness, fatigue, difficulty concentrating, irritability, muscle tension, sleep disturbances, nausea, sweating, and tremors.</t>
  </si>
  <si>
    <t>Approximately 3.1% of adults in the USA experience GAD in any given year.</t>
  </si>
  <si>
    <t>Significant impairment in social, occupational, or other important areas of functioning; overall quality of life may improve with effective treatment.</t>
  </si>
  <si>
    <t>Efficacy rates for oxazepam in reducing anxiety and preventing withdrawal symptoms can be around 60-80% in studied populations.</t>
  </si>
  <si>
    <t>Generally considered safe when used as prescribed; however, it is important to monitor for dependence and withdrawal symptoms.</t>
  </si>
  <si>
    <t>Common adverse events include drowsiness, dizziness, tiredness, blurred vision, and difficulty concentrating; serious adverse events may include respiratory depression and severe allergic reactions.</t>
  </si>
  <si>
    <t>Approximately $300-$600, depending on insurance coverage and pharmacy pricing.</t>
  </si>
  <si>
    <t>Primarily used in adults, though caution is required in older adults due to increased sensitivity to sedative effects.</t>
  </si>
  <si>
    <t>No significant gender predisposition, although anxiety disorders may be more prevalent in women.</t>
  </si>
  <si>
    <t>Benzodiazepine (small molecule).</t>
  </si>
  <si>
    <t>OXAZEPAM 15MG CAP</t>
  </si>
  <si>
    <t>Excessive worry, restlessness, fatigue, difficulty concentrating, sleep disturbances, irritability, muscle tension.</t>
  </si>
  <si>
    <t>Approximately 3.1% of adults in the U.S. experience GAD in a given year.</t>
  </si>
  <si>
    <t>Anxiety disorders significantly impair daily functioning and quality of life, often leading to decreased social interaction and work performance.</t>
  </si>
  <si>
    <t>Efficacy of oxazepam for anxiety disorders typically ranges from 60% to 80% in clinical studies.</t>
  </si>
  <si>
    <t>Generally regarded as safe when used as prescribed; however, it carries risks of dependence and withdrawal symptoms.</t>
  </si>
  <si>
    <t>Common adverse events include drowsiness, dizziness, confusion, dry mouth, and decreased coordination. Serious adverse events may include respiratory depression and sedation.</t>
  </si>
  <si>
    <t>Approximately $500 - $1,000 depending on insurance coverage and duration of therapy.</t>
  </si>
  <si>
    <t>Typically prescribed for adults, but caution is advised in elderly patients due to increased risk of sedation and falls.</t>
  </si>
  <si>
    <t>Equally prescribed to both genders, though anxiety disorders may be more prevalent in females.</t>
  </si>
  <si>
    <t>Small molecule (benzodiazepine class).</t>
  </si>
  <si>
    <t>OXAZEPAM 30MG CAP</t>
  </si>
  <si>
    <t>Anxiety Disorders</t>
  </si>
  <si>
    <t>Anxiety, agitation, insomnia, muscle tension, excessive worry, irritability, sweating, tremors</t>
  </si>
  <si>
    <t>Approximately 18.1% of adults in the U.S. experience an anxiety disorder annually</t>
  </si>
  <si>
    <t>Can significantly improve quality of life in individuals with anxiety when treated effectively</t>
  </si>
  <si>
    <t>Generally effective, with approximately 70% of patients reporting symptom relief</t>
  </si>
  <si>
    <t>Considered safe when used as directed; risks increase with misuse</t>
  </si>
  <si>
    <t>Sedation, dizziness, confusion, dependency, withdrawal symptoms upon discontinuation</t>
  </si>
  <si>
    <t>Approximately $300-$600 depending on health insurance coverage and doctor visits</t>
  </si>
  <si>
    <t>Adults (commonly prescribed to middle-aged adults)</t>
  </si>
  <si>
    <t>More commonly prescribed to females, though anxiety disorders affect both genders</t>
  </si>
  <si>
    <t>Benzodiazepine (small molecule)</t>
  </si>
  <si>
    <t>TRIAMTERENE 100MG CAP</t>
  </si>
  <si>
    <t>Edema</t>
  </si>
  <si>
    <t>High blood pressure, swelling (edema) in the legs, feet, or other parts of the body</t>
  </si>
  <si>
    <t>Approximately 47% of adults in the USA have hypertension; edema prevalence varies but is significant in heart failure and renal diseases.</t>
  </si>
  <si>
    <t>Can significantly improve when hypertension or edema is managed effectively; however, uncontrolled conditions can lead to complications that reduce quality of life.</t>
  </si>
  <si>
    <t>Effective as a potassium-sparing diuretic to help lower blood pressure and reduce fluid retention.</t>
  </si>
  <si>
    <t>Generally well-tolerated; however, renal function should be monitored.</t>
  </si>
  <si>
    <t>Hyperkalemia (high potassium levels), dizziness, gastrointestinal disturbances.</t>
  </si>
  <si>
    <t>Approximately $100 to $200, depending on insurance coverage and pharmacy pricing.</t>
  </si>
  <si>
    <t>Primarily adults (often seen in age 40 and older), but can be prescribed to younger individuals with specific conditions.</t>
  </si>
  <si>
    <t>No significant gender preference, but hypertension may present slightly more frequently in men at younger ages and in women post-menopause.</t>
  </si>
  <si>
    <t>Small molecule (potassium-sparing diuretic).</t>
  </si>
  <si>
    <t>VANFLYTA 17.7MG TAB</t>
  </si>
  <si>
    <t>Acute Myeloid Leukemia (AML)</t>
  </si>
  <si>
    <t>Fatigue, night sweats, weight loss, frequent infections, easy bruising or bleeding, pale skin, shortness of breath.</t>
  </si>
  <si>
    <t>Approximately 21,000 cases diagnosed annually in the USA (0.5 per 100,000).</t>
  </si>
  <si>
    <t>Can be significantly impacted due to treatment side effects and the disease's symptoms, with a Quality of Life score often below 50 on a scale of 100.</t>
  </si>
  <si>
    <t>Clinical trials have shown Vanflyta (quizartinib) displays a higher response rate in the treatment of FLT3-ITD positive AML, approximately 38% compared to standard therapies.</t>
  </si>
  <si>
    <t>Generally safe when prescribed, but monitoring for QT interval prolongation is essential; risk factors should be assessed before treatment.</t>
  </si>
  <si>
    <t>Most common adverse events include nausea (50%), vomiting (30%), headache (25%), and fatigue (25%). Serious adverse events include febrile neutropenia and bleeding complications.</t>
  </si>
  <si>
    <t>Approximately $200,000 to $300,000 per patient per year.</t>
  </si>
  <si>
    <t>Primarily adults, with a higher incidence in those over 60 years old.</t>
  </si>
  <si>
    <t>More common in males, with a male-to-female ratio of approximately 1.5:1.</t>
  </si>
  <si>
    <t>Small molecule inhibitor (specifically, a FLT3 inhibitor).</t>
  </si>
  <si>
    <t>VANFLYTA 26.5MG TAB</t>
  </si>
  <si>
    <t>Fatigue, fever, easy bruising or bleeding, frequent infections, weight loss, pain or a feeling of fullness below the ribs due to spleen or liver enlargement.</t>
  </si>
  <si>
    <t>Approximately 19,500 new cases of AML expected annually in the USA (around 1.5 per 100,000 people).</t>
  </si>
  <si>
    <t>Varies significantly; many patients experience a decrease in quality of life due to treatment side effects and disease symptoms.</t>
  </si>
  <si>
    <t>Clinical trials show that VANFLYTA can improve overall response rates in AML patients with FLT3 mutations, with some studies reporting response rates around 50-70%.</t>
  </si>
  <si>
    <t>Generally well-tolerated; safety profiles considered acceptable for a targeted therapy.</t>
  </si>
  <si>
    <t>Common adverse events include nausea, diarrhea, vomiting, elevated liver enzymes, and fetal toxicity in pregnant individuals.</t>
  </si>
  <si>
    <t>Estimated cost is around $200,000-$300,000 per year based on the specific therapy regimen and patient needs.</t>
  </si>
  <si>
    <t>Primarily adults, typically 18 years and older; rare cases in pediatric populations.</t>
  </si>
  <si>
    <t>No significant gender preference; affects both males and females.</t>
  </si>
  <si>
    <t>Small molecules (specifically a FLT3 inhibitor).</t>
  </si>
  <si>
    <t>PURIXAN 20MG/ML</t>
  </si>
  <si>
    <t>Acute Lymphoblastic Leukemia (ALL)</t>
  </si>
  <si>
    <t>Fatigue, fever, easy bruising or bleeding, recurrent infections, pale skin, weight loss, swollen lymph nodes, and bone pain.</t>
  </si>
  <si>
    <t>Approximately 3,000 new cases annually in the USA (one of the most common childhood cancers).</t>
  </si>
  <si>
    <t>Quality of life can be severely affected during treatment due to side effects and psychological impact, with long-term consequences possible depending on therapy and response.</t>
  </si>
  <si>
    <t>90% of patients achieve remission with appropriate therapy, but long-term disease-free survival can vary (approximately 70% for children).</t>
  </si>
  <si>
    <t>Generally considered safe when used as directed in the context of ALL treatment, though careful monitoring is necessary.</t>
  </si>
  <si>
    <t>Common adverse events include nausea, vomiting, oral mucositis, bone marrow suppression leading to compromised immunity, and increased risk of infections.</t>
  </si>
  <si>
    <t>Approximately $25,000 - $50,000 depending on treatment regimen and additional supportive care requirements.</t>
  </si>
  <si>
    <t>Primarily affects children but can occur in adults as well.</t>
  </si>
  <si>
    <t>Slightly more prevalent in males than females (ratio approximately 1.2:1).</t>
  </si>
  <si>
    <t>Small molecule (antimetabolite).</t>
  </si>
  <si>
    <t>EPINEPHRINE PROFESSIONAL 1 MG/ML KIT</t>
  </si>
  <si>
    <t>Anaphylaxis</t>
  </si>
  <si>
    <t>Difficulty breathing, swelling of the throat, hives, rapid pulse, low blood pressure, dizziness, gastrointestinal symptoms (nausea, vomiting), confusion, loss of consciousness</t>
  </si>
  <si>
    <t>Approximately 1.6% of the population experiences anaphylaxis at some point in their lives in the USA</t>
  </si>
  <si>
    <t>Anaphylaxis can significantly affect quality of life due to anxiety about potential allergic reactions and the need for emergency care</t>
  </si>
  <si>
    <t>Highly effective when administered promptly in treating anaphylactic reactions</t>
  </si>
  <si>
    <t>Generally safe when used as directed; however, improper administration can lead to adverse outcomes</t>
  </si>
  <si>
    <t>Possible adverse events include increased heart rate, hypertension, anxiety, and injection site reactions</t>
  </si>
  <si>
    <t>Approximately $600 - $1,200 for an emergency kit, depending on insurance and availability</t>
  </si>
  <si>
    <t>All age groups can be affected, but specific kits are recommended for individuals at risk</t>
  </si>
  <si>
    <t>Both genders are equally affected</t>
  </si>
  <si>
    <t>Small molecules (acute rescue medication)</t>
  </si>
  <si>
    <t>MERCAPTOPURINE 50MG TAB</t>
  </si>
  <si>
    <t>Fatigue, fever, bruising, bleeding, weight loss, abdominal pain, diarrhea</t>
  </si>
  <si>
    <t>Approximately 6,000 new cases of ALL annually in the USA; Crohn's disease affects about 780,000 people; ulcerative colitis affects about 907,000 people</t>
  </si>
  <si>
    <t>Can be significantly impacted due to disease symptoms, treatment side effects, and chronic nature of conditions; varies by disease severity</t>
  </si>
  <si>
    <t>Generally effective in inducing remission in ALL, and maintaining remission in Crohn's Disease and Ulcerative Colitis; effectiveness can vary by patient</t>
  </si>
  <si>
    <t>Generally well-tolerated, but requires regular monitoring due to potential for liver toxicity and blood counts</t>
  </si>
  <si>
    <t>Nausea, vomiting, liver toxicity, bone marrow suppression, immunosuppression, rash</t>
  </si>
  <si>
    <t>Approximately $4,500-$10,000 depending on the diagnosis and duration of therapy</t>
  </si>
  <si>
    <t>Primarily used in children and young adults for ALL; Crohn's and Ulcerative Colitis patients can be any age, commonly diagnosed in late teens to early adulthood</t>
  </si>
  <si>
    <t>ALL is slightly more common in males; Crohn’s Disease and Ulcerative Colitis have a more equal prevalence between genders</t>
  </si>
  <si>
    <t>Small molecule therapy</t>
  </si>
  <si>
    <t>10% FREAMINE III AMINO ACID INJ 1000MLS9010SS</t>
  </si>
  <si>
    <t>Malnutrition</t>
  </si>
  <si>
    <t>Weight loss, muscle wasting, weakness, fatigue, impaired immune function</t>
  </si>
  <si>
    <t>Approximately 1-2% of the general population, with higher rates in hospitalized patients (up to 40%)</t>
  </si>
  <si>
    <t>Significantly improved when receiving adequate nutritional support; addresses symptoms of malnutrition</t>
  </si>
  <si>
    <t>Generally effective in improving nutritional status, with good outcomes in patients with severe malnutrition</t>
  </si>
  <si>
    <t>Generally considered safe when used as directed; monitoring required for electrolytes and metabolic status</t>
  </si>
  <si>
    <t>Possible complications include infections (from catheter use), metabolic imbalances (e.g., hyperglycemia), and liver dysfunction</t>
  </si>
  <si>
    <t>Estimated around $20,000 - $50,000, depending on patient needs and healthcare settings</t>
  </si>
  <si>
    <t>All age groups, especially elderly and hospitalized individuals</t>
  </si>
  <si>
    <t>No gender preference; used in both males and females</t>
  </si>
  <si>
    <t>Parenteral nutrition solution (amino acid formulation)</t>
  </si>
  <si>
    <t>DYSPORT 500 UNIT/VIL</t>
  </si>
  <si>
    <t>Chronic Migraine</t>
  </si>
  <si>
    <t>Severe headache, neck pain, muscle spasms, stiffness</t>
  </si>
  <si>
    <t>Approximately 12% of the population experiences chronic migraines; cervical dystonia affects about 1-3 cases per 100,000 people in the USA</t>
  </si>
  <si>
    <t>Significantly improved for patients with chronic migraines; mild to moderate improvements noted for cervical dystonia and spasticity disorders</t>
  </si>
  <si>
    <t>Approximately 70% of patients report a reduction in headache days with regular use; efficacy in cervical dystonia and spasticity varies by individual</t>
  </si>
  <si>
    <t>Generally well-tolerated; most adverse effects are localized and temporary</t>
  </si>
  <si>
    <t>Common adverse events include injection site pain (around 20%), headache (10%), and flu-like symptoms (5-10%); serious adverse effects are rare</t>
  </si>
  <si>
    <t>Approximately $5,000 to $10,000 depending on frequency and dosing requirements</t>
  </si>
  <si>
    <t>Typically used in adults, aged 18-65 years</t>
  </si>
  <si>
    <t>More commonly prescribed to women, particularly for chronic migraines</t>
  </si>
  <si>
    <t>Botulinum toxin type A (neurotoxin)</t>
  </si>
  <si>
    <t>DYSPORT 300U INJECTION</t>
  </si>
  <si>
    <t>Cervical Dystonia</t>
  </si>
  <si>
    <t>Involuntary muscle contractions, abnormal postures, spasms, and movement disorders</t>
  </si>
  <si>
    <t>Approximately 7.5 cases per 100,000 people for cervical dystonia; other conditions vary</t>
  </si>
  <si>
    <t>Significantly improved with treatment, as patients report reduced pain and better ability to perform daily activities</t>
  </si>
  <si>
    <t>Most studies report 60-80% of patients experience a reduction in symptoms with appropriate dosing</t>
  </si>
  <si>
    <t>Generally considered safe when administered by trained professionals; risk of adverse events exists</t>
  </si>
  <si>
    <t>Common adverse events include localized pain at injection site, headache, dysphagia, and fatigue; rare but serious events include respiratory complications</t>
  </si>
  <si>
    <t>Approximately $4,000 to $10,000, depending on frequency of injections and dosage required</t>
  </si>
  <si>
    <t>Primarily adults (average onset in the 40s), but can occur in younger individuals</t>
  </si>
  <si>
    <t>More prevalent in women (estimated at 70% of cases for cervical dystonia)</t>
  </si>
  <si>
    <t>TAZVERIK 200MG TAB</t>
  </si>
  <si>
    <t>Follicular Lymphoma</t>
  </si>
  <si>
    <t>Swelling of lymph nodes, fever, night sweats, unexplained weight loss, fatigue, itching</t>
  </si>
  <si>
    <t>Approximately 4.3 per 100,000 individuals for DLBCL and 2.5 per 100,000 for follicular lymphoma in the USA</t>
  </si>
  <si>
    <t>Can be significantly affected during active disease, with improvement often following effective treatment; however, chronic symptoms can persist.</t>
  </si>
  <si>
    <t>Clinical studies demonstrate overall response rates of approximately 30-40% in treated patients</t>
  </si>
  <si>
    <t>Generally well-tolerated, with a safety profile consistent with other treatments for lymphoma</t>
  </si>
  <si>
    <t>Common adverse events include thrombocytopenia, neutropenia, increase in liver enzymes, fatigue, cough, and diarrhea</t>
  </si>
  <si>
    <t>Approximately $200,000 to $250,000 depending on treatment regimen and healthcare setting</t>
  </si>
  <si>
    <t>Primarily adults aged 60 years and older, but can occur in younger individuals</t>
  </si>
  <si>
    <t>Slightly more common in males than females</t>
  </si>
  <si>
    <t>Small molecule inhibitor (specifically, a selective inhibitor of EZH2)</t>
  </si>
  <si>
    <t>TRIPTODUR 22.5MG ER SUSP,INJ</t>
  </si>
  <si>
    <t>Acromegaly</t>
  </si>
  <si>
    <t>Enlarged hands and feet, facial changes, joint pain, excessive sweating, headaches, vision problems, and other hormonal issues.</t>
  </si>
  <si>
    <t>Approximately 3-6 cases per 1 million people in the USA; around 60,000 cases may exist in the U.S.</t>
  </si>
  <si>
    <t>Significantly reduced due to physical changes, chronic pain, and hormonal disturbances.</t>
  </si>
  <si>
    <t>Generally effective in lowering growth hormone levels and reducing tumor size in patients with acromegaly.</t>
  </si>
  <si>
    <t>Generally well-tolerated, with regular monitoring recommended to avoid complications.</t>
  </si>
  <si>
    <t>Potential side effects include injection site reactions, headaches, fatigue, and gastrointestinal issues.</t>
  </si>
  <si>
    <t>Approximately $30,000 to $50,000 depending on treatment regimen and healthcare settings.</t>
  </si>
  <si>
    <t>Primarily adults aged 30-50 years, but can occur at any age.</t>
  </si>
  <si>
    <t>Affects both genders, with a slight male predominance.</t>
  </si>
  <si>
    <t>Long-acting somatostatin analog (specific type of peptide therapy).</t>
  </si>
  <si>
    <t>NYMALIZE 30MG/5ML SOLN,ORAL</t>
  </si>
  <si>
    <t>Narcolepsy</t>
  </si>
  <si>
    <t>Excessive daytime sleepiness, cataplexy, sleep paralysis, hallucinations, disrupted nighttime sleep</t>
  </si>
  <si>
    <t>Approximately 0.02% to 0.05% of the population in the USA</t>
  </si>
  <si>
    <t>Significantly impacted; individuals may experience difficulties in work, social interactions, and daily activities due to symptoms</t>
  </si>
  <si>
    <t>Demonstrated to help reduce excessive daytime sleepiness in clinical trials - efficacy varies among individuals</t>
  </si>
  <si>
    <t>Generally well-tolerated; chronic usage may require monitoring for side effects</t>
  </si>
  <si>
    <t>Commonly reported adverse events include insomnia, anxiety, headache, and discomfort at the injection site</t>
  </si>
  <si>
    <t>Approximately $6,000 - $15,000 per year depending on dosage and insurance coverage</t>
  </si>
  <si>
    <t>Typically prescribed for adults and adolescents over the age of 7</t>
  </si>
  <si>
    <t>Affects both genders equally, though studies show slightly higher prevalence in males</t>
  </si>
  <si>
    <t>Small molecule (modafinil derivative)</t>
  </si>
  <si>
    <t>XATMEP 2.5MG/ML SOLN,ORAL</t>
  </si>
  <si>
    <t>Fatigue, fever, easy bruising or bleeding, frequent infections, bone or joint pain, enlarged lymph nodes, pale skin</t>
  </si>
  <si>
    <t>Approximately 5,000 new cases annually in the USA, with an overall incidence rate of about 1.7 cases per 100,000 people.</t>
  </si>
  <si>
    <t>Quality of life can be significantly impacted during treatment due to side effects; however, many survivors experience improvements post-treatment.</t>
  </si>
  <si>
    <t>XATMEP is effective for treating ALL, particularly in pediatric patients, with complete remission rates close to 90% when used as part of a multimodal regimen.</t>
  </si>
  <si>
    <t>Generally considered safe when monitored closely; frequent check-ups are needed to manage potential side effects.</t>
  </si>
  <si>
    <t>Common adverse events include nausea, vomiting, liver enzyme elevation, rash, and in some cases, central nervous system effects.</t>
  </si>
  <si>
    <t>Estimated annual therapy costs can range from $60,000 to $150,000 depending on treatment regimen and insurance coverage.</t>
  </si>
  <si>
    <t>Pediatric population (most commonly diagnosed in children aged 2-5 years), but can also occur in older children and adults.</t>
  </si>
  <si>
    <t>Slightly more common in males.</t>
  </si>
  <si>
    <t>Small molecule chemotherapy agent (specifically a formulation of methotrexate).</t>
  </si>
  <si>
    <t>QBRELIS 1MG/ML</t>
  </si>
  <si>
    <t>Difficulty breathing, swelling of the throat, hives, rapid or weak pulse, stomach cramps, nausea, dizziness or fainting</t>
  </si>
  <si>
    <t>Approximately 2% of the population may experience anaphylaxis; about 1 in 50 people will experience anaphylaxis in their lifetime</t>
  </si>
  <si>
    <t>Patients may have anxiety about future allergic reactions, which can affect daily activities and emotional wellbeing</t>
  </si>
  <si>
    <t>Efficacy of QBRELIS in reversing symptoms of anaphylaxis is considered high when used promptly; generally effective in cases of severe reactions</t>
  </si>
  <si>
    <t>Generally considered safe when used as directed; potential for misuse if not used when needed</t>
  </si>
  <si>
    <t>Common adverse events include injection site reactions, increased heart rate, anxiety, hypertension, and potential for increased angina in heart disease patients</t>
  </si>
  <si>
    <t>Estimated annual cost can range from $600 to $2,000 depending on the frequency of need and insurance coverage</t>
  </si>
  <si>
    <t>Approved for use in patients aged 2 years and older</t>
  </si>
  <si>
    <t>No specific gender-related differences are noted in efficacy or safety</t>
  </si>
  <si>
    <t>Small molecules (epinephrine is the active ingredient)</t>
  </si>
  <si>
    <t>THYQUIDITY 20MCG/ML SOLN,ORAL</t>
  </si>
  <si>
    <t>Hypoparathyroidism</t>
  </si>
  <si>
    <t>Tingling or burning sensations in the fingers, muscle cramps, fatigue, and neck stiffness; severe cases may lead to seizures or cardiac issues.</t>
  </si>
  <si>
    <t>Approximately 0.3 cases per 100,000 people in the USA; it is considered rare but can vary based on the population studied.</t>
  </si>
  <si>
    <t>Can be significantly impacted by symptoms; many patients require ongoing management and may have limitations in daily activities due to symptoms.</t>
  </si>
  <si>
    <t>In clinical use, the efficacy of THYQUIDITY for managing symptom control in hypoparathyroidism is generally considered effective but varies among patients.</t>
  </si>
  <si>
    <t>Well-tolerated in the majority of patients; safety established through clinical trials and ongoing post-market surveillance.</t>
  </si>
  <si>
    <t>Common adverse events may include hypercalcemia, gastrointestinal upset, or hypersensitivity reactions.</t>
  </si>
  <si>
    <t>Approximately $15,000 to $20,000, depending on dosage and insurance coverage.</t>
  </si>
  <si>
    <t>Primarily adults, though it can occur in children.</t>
  </si>
  <si>
    <t>More common in females than males, with a female-to-male ratio of approximately 3:1.</t>
  </si>
  <si>
    <t>Small molecule therapy (calcitriol and formulations aimed at managing calcium levels).</t>
  </si>
  <si>
    <t>ROBITUSSIN SEVERE MULTI-SYMPTON COUGH COLD</t>
  </si>
  <si>
    <t>Common Cold</t>
  </si>
  <si>
    <t>Cough, nasal congestion, sore throat, runny nose, sneezing, headache, mild fever</t>
  </si>
  <si>
    <t>Approximately 1 billion colds occur annually in the USA, affecting adults and children alike.</t>
  </si>
  <si>
    <t>Moderate impact on daily activities; can lead to missed work/school.</t>
  </si>
  <si>
    <t>Generally effective in providing symptomatic relief; however, it does not cure the cold.</t>
  </si>
  <si>
    <t>Generally considered safe for short-term use; consult with a physician for prolonged use.</t>
  </si>
  <si>
    <t>Drowsiness, dizziness, dry mouth, nausea, and gastrointestinal discomfort; side effects vary by individual.</t>
  </si>
  <si>
    <t>$50 - $100 (this can vary based on frequency of use and whether OTC or prescription options are utilized)</t>
  </si>
  <si>
    <t>Typically used in adults and children aged 12 and older; specific formulations may be available for younger children.</t>
  </si>
  <si>
    <t>No significant gender differences in usage or efficacy.</t>
  </si>
  <si>
    <t>Combination over-the-counter (OTC) cough and cold medication.</t>
  </si>
  <si>
    <t>KINEVAC 5MCG/VIL INJ LYOPHILIZED</t>
  </si>
  <si>
    <t>Enlarged hands and feet, facial changes (such as enlarged nose, jaw), excessive sweating, joint pain, headaches, vision problems, fatigue, and potential for insulin resistance.</t>
  </si>
  <si>
    <t>Approximately 3-4 cases per 100,000 individuals in the USA.</t>
  </si>
  <si>
    <t>Significantly impaired due to physical symptoms and complications; many patients report pain and social stigma affecting daily activities.</t>
  </si>
  <si>
    <t>Anti-growth hormone effect is significant, particularly for tumor-induced acromegaly; reduction in growth hormone levels is typically achieved in 40-50% of patients.</t>
  </si>
  <si>
    <t>Generally well-tolerated; however, monitoring for potential risks and side effects is necessary.</t>
  </si>
  <si>
    <t>Common adverse events include injection site reactions, nausea, vomiting, diarrhea, and hypoglycemia. Rarely, severe allergic reactions may occur.</t>
  </si>
  <si>
    <t>Estimated between $20,000 to $40,000, depending on treatment regimen and insurance coverage.</t>
  </si>
  <si>
    <t>Primarily adults, typically diagnosed in middle age.</t>
  </si>
  <si>
    <t>Affects both genders equally, though some studies suggest a slightly higher prevalence in men.</t>
  </si>
  <si>
    <t>Peptide therapy (specifically a somatostatin analog).</t>
  </si>
  <si>
    <t>VUEWAY 0.5MMOL/ML INJ</t>
  </si>
  <si>
    <t>Macular Degeneration</t>
  </si>
  <si>
    <t>Blurred vision, blind spots, changes in color perception, difficulty seeing in low light</t>
  </si>
  <si>
    <t>Approximately 10 million people in the USA are affected by age-related macular degeneration (AMD)</t>
  </si>
  <si>
    <t>Significant impact on daily living activities, increased dependency on others, can lead to depression and decreased overall well-being</t>
  </si>
  <si>
    <t>Clinical trials show efficacy rates in slowing disease progression at about 30-50% for patients receiving treatment</t>
  </si>
  <si>
    <t>Generally considered safe with appropriate monitoring, but not free from risk</t>
  </si>
  <si>
    <t>Common adverse events include injection site reactions, ocular inflammation, and potential for retinal detachment</t>
  </si>
  <si>
    <t>Approximately $12,000 to $30,000 per year, depending on treatment regimen</t>
  </si>
  <si>
    <t>Primarily affects individuals aged 50 and older</t>
  </si>
  <si>
    <t>More prevalent in women than men, though both genders are affected</t>
  </si>
  <si>
    <t>Monoclonal antibodies (anti-VEGF therapy)</t>
  </si>
  <si>
    <t>TALTZ 80MG/ML AUTOINJECTOR</t>
  </si>
  <si>
    <t>Psoriatic Arthritis</t>
  </si>
  <si>
    <t>Joint pain, stiffness, swelling, fatigue, plantar fasciitis, reduced range of motion, skin lesions, nail changes</t>
  </si>
  <si>
    <t>Approximately 0.1% to 0.3% of the population in the USA is affected; about 50% of people with psoriasis may develop psoriatic arthritis.</t>
  </si>
  <si>
    <t>Psoriatic arthritis significantly impacts quality of life due to chronic pain, functional impairment, and psychological burden; many patients report a reduced quality of life compared to healthy individuals.</t>
  </si>
  <si>
    <t>Clinical studies show that TALTZ can reduce signs and symptoms in 70% of patients, demonstrating strong efficacy in managing psoriatic arthritis.</t>
  </si>
  <si>
    <t>Generally well-tolerated; monitors for infections are recommended due to immunosuppressive effects but overall seen as safe for the majority of patients.</t>
  </si>
  <si>
    <t>Common adverse events include injection site reactions, upper respiratory infections, nausea, and potential risk of serious infections (approximately 1-2%).</t>
  </si>
  <si>
    <t>Estimated annual cost for TALTZ is approximately $70,000 to $80,000, depending on insurance coverage and patient co-pays.</t>
  </si>
  <si>
    <t>Approved for adults aged 18 years and older.</t>
  </si>
  <si>
    <t>Affects both genders, but there is a slight male predominance in psoriatic arthritis prevalence.</t>
  </si>
  <si>
    <t>Monoclonal antibody (specifically, IL-17A inhibitor).</t>
  </si>
  <si>
    <t>TALTZ 80MG/ML AUTOINJECTOR (2 PACK)</t>
  </si>
  <si>
    <t>Red, scaly patches of skin; itching; pain and swelling in joints; rigidity</t>
  </si>
  <si>
    <t>Approximately 3% of the US population is affected by psoriasis, and around 30% of those with psoriasis develop psoriatic arthritis.</t>
  </si>
  <si>
    <t>Psoriasis significantly impacts quality of life due to physical discomfort, psychological distress, and social stigma.</t>
  </si>
  <si>
    <t>TALTZ has shown efficacy in clinical trials, with more than 75% improvement in the Psoriasis Area and Severity Index (PASI 75) seen in around 80% of patients after 12 weeks of treatment.</t>
  </si>
  <si>
    <t>Generally considered safe; monitored for infections and metabolic changes, particularly in patients with a history of tuberculosis or other infections.</t>
  </si>
  <si>
    <t>Common adverse events include injection site reactions, upper respiratory infections, and gastrointestinal issues. Serious adverse events, like infections, may occur but are relatively rare.</t>
  </si>
  <si>
    <t>Approximately $40,000, depending on insurance coverage and patient-specific factors.</t>
  </si>
  <si>
    <t>Approved for use in adults and adolescents 6 years and older.</t>
  </si>
  <si>
    <t>Affects both genders, with slightly higher prevalence in males for psoriasis, whereas psoriatic arthritis incidence is more balanced between genders.</t>
  </si>
  <si>
    <t>Monoclonal antibody (specifically, it targets IL-17A).</t>
  </si>
  <si>
    <t>EMGALITY 120MG/ML SYRINGE</t>
  </si>
  <si>
    <t>Severe headaches, nausea, sensitivity to light and sound, visual disturbances</t>
  </si>
  <si>
    <t>Approximately 12% of the US population (about 38 million people) suffer from migraines, with chronic migraines affecting around 1-2% of the population</t>
  </si>
  <si>
    <t>Can significantly impair daily functioning, leading to reduced productivity and quality of life</t>
  </si>
  <si>
    <t>Clinical trials indicated a reduction in migraine days per month by approximately 50% or more in about half of the patients treated with Emgality</t>
  </si>
  <si>
    <t>Generally well-tolerated; long-term safety data are still being established, but current studies suggest favorable safety profiles</t>
  </si>
  <si>
    <t>Common adverse events include injection site reactions (up to 10%), constipation, and hypersensitivity reactions</t>
  </si>
  <si>
    <t>Approximately $6,000 to $7,000 per year without insurance coverage</t>
  </si>
  <si>
    <t>Adults, typically used in individuals aged 18 and older</t>
  </si>
  <si>
    <t>More prevalent in women (about 3 times more common than in men)</t>
  </si>
  <si>
    <t>Monoclonal antibody (specifically a CGRP antagonist)</t>
  </si>
  <si>
    <t>SYMBYAX 6MG/25MG CAP</t>
  </si>
  <si>
    <t>Bipolar Disorder</t>
  </si>
  <si>
    <t>Depressed mood, loss of interest or pleasure, changes in appetite, sleep disturbances, fatigue, feelings of worthlessness, impaired concentration, manic episodes including elevated mood, increased energy, and risk-taking behaviors.</t>
  </si>
  <si>
    <t>Approximately 7% of adults in the USA experience MDD annually, while bipolar disorder affects about 2.8% of the adult population.</t>
  </si>
  <si>
    <t>Significant impact on quality of life, including relationships, work productivity, and overall wellbeing; however, effective treatment can improve function and support recovery.</t>
  </si>
  <si>
    <t>SYMBYAX has been shown to improve depressive and manic symptoms in clinical studies with reductions in the Hamilton Depression Rating Scale (HAM-D) and Young Mania Rating Scale (YMRS) scores of approximately 50-70%.</t>
  </si>
  <si>
    <t>Generally well tolerated, but monitoring for metabolic side effects is recommended; onset of action is typically within 1-2 weeks for some symptom relief.</t>
  </si>
  <si>
    <t>Common adverse events include weight gain (up to 50%), sedation, dry mouth, and potential for akathisia; metabolic syndrome risks may arise.</t>
  </si>
  <si>
    <t>Approximately $4,000 - $6,000 depending on insurance coverage and pharmacy pricing.</t>
  </si>
  <si>
    <t>Approved for adults (18 years and older).</t>
  </si>
  <si>
    <t>Both genders are affected, with a slight prevalence in females for MDD.</t>
  </si>
  <si>
    <t>Combination therapy (an atypical antipsychotic and an antidepressant).</t>
  </si>
  <si>
    <t>CYMBALTA 30MG CAP</t>
  </si>
  <si>
    <t>Persistent feelings of sadness, loss of interest in activities, fatigue, difficulty concentrating, anxiety, irritability, and physical symptoms like muscle tension.</t>
  </si>
  <si>
    <t>Approximately 7.1% of adults in the USA experience major depressive disorder annually, while generalized anxiety disorder affects about 3.1% of the population.</t>
  </si>
  <si>
    <t>Cymbalta can significantly improve quality of life by reducing depressive and anxiety symptoms, helping patients to return to normal daily functioning.</t>
  </si>
  <si>
    <t>Cymbalta has been shown to be effective, with clinical trials demonstrating an approximately 60-70% response rate in treating MDD and GAD.</t>
  </si>
  <si>
    <t>Generally considered safe when used as prescribed, but regular monitoring is recommended for side effects.</t>
  </si>
  <si>
    <t>Common adverse events include nausea (30%), dry mouth (20%), drowsiness (18%), fatigue (16%), constipation (15%), and increased sweating (15%).</t>
  </si>
  <si>
    <t>The cost of Cymbalta (30 mg capsules) is approximately $400-$800 per year, depending on insurance coverage and pharmacy pricing.</t>
  </si>
  <si>
    <t>Most commonly prescribed for adults aged 18-64 years.</t>
  </si>
  <si>
    <t>More commonly prescribed to females, as women are nearly twice as likely to be diagnosed with MDD compared to men.</t>
  </si>
  <si>
    <t>Small molecule antidepressant (selective serotonin and norepinephrine reuptake inhibitor - SNRI).</t>
  </si>
  <si>
    <t>CYMBALTA 30MG CAPSULES</t>
  </si>
  <si>
    <t>Persistent sadness, loss of interest in activities, fatigue, difficulty concentrating, anxiety, restlessness, irritability, sleep disturbances</t>
  </si>
  <si>
    <t>Approximately 7.1% of adults experience a major depressive episode annually in the USA; GAD affects about 3.1% of the U.S. population.</t>
  </si>
  <si>
    <t>Significant improvement in quality of life reported by approximately 50% of patients receiving treatment.</t>
  </si>
  <si>
    <t>Effective in relieving symptoms of MDD and GAD with a response rate of about 60-70% in clinical studies.</t>
  </si>
  <si>
    <t>Generally well-tolerated; appropriate monitoring is recommended for patients.</t>
  </si>
  <si>
    <t>Common adverse events include nausea (25%), dry mouth (15%), sleepiness (15%), fatigue (10%), and dizziness (10%).</t>
  </si>
  <si>
    <t>Approximately $3,600 per year, depending on insurance coverage and pharmacy pricing.</t>
  </si>
  <si>
    <t>Approved for adults (typically 18 years and older).</t>
  </si>
  <si>
    <t>More frequently prescribed to women; approximately 60% of prescriptions are to females.</t>
  </si>
  <si>
    <t>Serotonin-norepinephrine reuptake inhibitor (SNRI).</t>
  </si>
  <si>
    <t>CYMBALTA 60MG CAP</t>
  </si>
  <si>
    <t>Persistent sadness, loss of interest or pleasure, fatigue, changes in appetite, sleep disturbances, difficulty concentrating for MDD; excessive worry, restlessness, fatigue, difficulty concentrating, irritability, sleep disturbances for GAD</t>
  </si>
  <si>
    <t>Approximately 7% of adults in the USA experience MDD yearly; GAD affects about 3% of the adult population annually</t>
  </si>
  <si>
    <t>Cytomel significantly improves quality of life for many patients, with reported improvements in daily functioning and emotional well-being</t>
  </si>
  <si>
    <t>Efficacy rate of about 60% in improving symptoms of MDD and GAD in clinical trials</t>
  </si>
  <si>
    <t>Generally well-tolerated with a safety profile; monitoring for side effects is recommended</t>
  </si>
  <si>
    <t>Common adverse events include nausea, dry mouth, dizziness, fatigue, and increased sweating; serious events may include hepatotoxicity and serotonin syndrome</t>
  </si>
  <si>
    <t>Approximately $2,000 - $5,000 depending on insurance and dosage</t>
  </si>
  <si>
    <t>Approved for adults (18 years and older)</t>
  </si>
  <si>
    <t>No significant gender-specific efficacy; however, higher prevalence in females for MDD</t>
  </si>
  <si>
    <t>Serotonin-norepinephrine reuptake inhibitor (SNRI)</t>
  </si>
  <si>
    <t>JAYPIRCA 100MG TAB</t>
  </si>
  <si>
    <t>Swelling of lymph nodes, fever, night sweats, weight loss, fatigue, abdominal pain.</t>
  </si>
  <si>
    <t>Approximately 15,000 new cases annually in the USA.</t>
  </si>
  <si>
    <t>Patients may experience a moderate to significant impact on quality of life due to symptoms and treatment side effects, but many manage chronic disease over time.</t>
  </si>
  <si>
    <t>In clinical trials, JAYPIRCA (pirtobrutinib) has shown a response rate of about 65-75% in patients with relapsed or refractory follicular lymphoma.</t>
  </si>
  <si>
    <t>Generally well-tolerated, but there are safety considerations for patients with certain preexisting conditions.</t>
  </si>
  <si>
    <t>Common adverse events include fatigue, diarrhea, and possible bleeding complications. Serious adverse events may include infections or cardiac issues.</t>
  </si>
  <si>
    <t>Approximately $100,000 per year.</t>
  </si>
  <si>
    <t>Typically prescribed to adults, mainly those over 60 years old.</t>
  </si>
  <si>
    <t>Occurs slightly more commonly in males, though it affects both genders.</t>
  </si>
  <si>
    <t>Small molecule (Bruton tyrosine kinase inhibitor).</t>
  </si>
  <si>
    <t>OMVOH 20MG/ML INJ,SOLN</t>
  </si>
  <si>
    <t>Fatigue, fever, easy bruising or bleeding, frequent infections, weight loss, swollen lymph nodes, and bone/joint pain.</t>
  </si>
  <si>
    <t>Approximately 4,500 cases per year in the USA (estimates vary); it is most common in children but can occur in adults.</t>
  </si>
  <si>
    <t>Significantly impacted during treatment due to hospitalization, side effects, and psychological effects; many patients experience long-term effects from therapy.</t>
  </si>
  <si>
    <t>75-90% in children and 30-50% in adults in achieving remission.</t>
  </si>
  <si>
    <t>Generally well-tolerated; the safety profile varies depending on other concomitant treatments and individual patient factors.</t>
  </si>
  <si>
    <t>Possible adverse events include hypersensitivity reactions, infections, cytopenias, and neurologic complications.</t>
  </si>
  <si>
    <t>Estimated at $200,000 to $300,000 depending on treatment regimen and health care coverage.</t>
  </si>
  <si>
    <t>All age groups, but particularly common in children aged 1-14 years.</t>
  </si>
  <si>
    <t>Slightly more prevalent in males than females (ratio of about 1.3:1).</t>
  </si>
  <si>
    <t>Monoclonal antibody therapy.</t>
  </si>
  <si>
    <t>TALTZ 40MG/0.5ML INJ,SYR,0.5ML</t>
  </si>
  <si>
    <t>Ankylosing Spondylitis</t>
  </si>
  <si>
    <t>For psoriasis: red patches of skin covered with thick, silvery scales; itchy, dry skin; thickened, pitted or ridged nails; and swollen and stiff joints. For ankylosing spondylitis: chronic pain in the lower back or hips, stiffness, and reduced flexibility.</t>
  </si>
  <si>
    <t>Approximately 2-3% for psoriasis and around 0.1-0.6% for ankylosing spondylitis in the USA.</t>
  </si>
  <si>
    <t>Significantly reduced quality of life for patients with moderate to severe psoriasis and ankylosing spondylitis due to pain, physical limitations, and social stigma.</t>
  </si>
  <si>
    <t>TALTZ shows over 75% improvement in psoriasis symptoms (PASI 75 response) in approximately 90% of patients by week 12; significant clinical improvement in ankylosing spondylitis assessed by ASAS40 response in about 60-65% of patients.</t>
  </si>
  <si>
    <t>Generally well-tolerated; risk of infections due to immune modulation; monitoring for tuberculosis and other infections is recommended.</t>
  </si>
  <si>
    <t>Common adverse events include injection site reactions, upper respiratory infections, nausea, headache, and more serious risks include infections and changes in blood cell counts.</t>
  </si>
  <si>
    <t>Estimated annual therapy costs are approximately $50,000-$60,000 per year based on dosing and insurance coverage.</t>
  </si>
  <si>
    <t>Adults (18 years and older), with increasing prevalence in middle-aged individuals.</t>
  </si>
  <si>
    <t>Affected both genders, with a slightly higher prevalence in males for ankylosing spondylitis, while psoriasis prevalence is similar across genders.</t>
  </si>
  <si>
    <t>Monoclonal antibody (specifically targeting IL-17A).</t>
  </si>
  <si>
    <t>KEYTRUDA 100MG INJ</t>
  </si>
  <si>
    <t>Melasma</t>
  </si>
  <si>
    <t>Skin changes or moles that change in appearance, persistent cough, chest pain, difficulty swallowing, fatigue, weight loss, and swollen lymph nodes (vary by cancer type)</t>
  </si>
  <si>
    <t>Approximately 1.3% for melanoma; around 228,000 new cases of non-small cell lung cancer annually in the USA</t>
  </si>
  <si>
    <t>Patients often experience improved quality of life with successful treatment, but some may face significant physical and psychological challenges during therapy</t>
  </si>
  <si>
    <t>Approximately 40% overall response rate in advanced melanoma; can lead to durable responses in many patients</t>
  </si>
  <si>
    <t>Generally well-tolerated but can cause immune-related adverse events; ongoing monitoring is recommended</t>
  </si>
  <si>
    <t>Commonly reported adverse events include fatigue (30%), rash (24%), pruritus (19%), diarrhea (14%), and pneumonitis (10%)</t>
  </si>
  <si>
    <t>Approximately $150,000 to $200,000 per year depending on treatment regimen and duration</t>
  </si>
  <si>
    <t>Approved for adults and pediatric patients (12 years and older); older adults often represent a significant patient population</t>
  </si>
  <si>
    <t>Effective in both males and females, with some studies suggesting varied efficacy may exist but not consistently significant</t>
  </si>
  <si>
    <t>Monoclonal antibody (immune checkpoint inhibitor)</t>
  </si>
  <si>
    <t>FOLLISTIM AQ 600IU INJ CARTRIDGE</t>
  </si>
  <si>
    <t>Female Infertility</t>
  </si>
  <si>
    <t>Irregular menstrual cycles, anovulation, difficulty in conceiving</t>
  </si>
  <si>
    <t>Approximately 10-15% of couples in the USA experience infertility issues.</t>
  </si>
  <si>
    <t>Can be significantly affected by stress and anxiety related to infertility;  quality of life improves with successful conception.</t>
  </si>
  <si>
    <t>Approximately 60-80% for those utilizing Follistim, depending on underlying causes of infertility.</t>
  </si>
  <si>
    <t>Generally considered safe with a well-established track record; however, monitoring is required for hyperstimulation.</t>
  </si>
  <si>
    <t>Common adverse events include headache, abdominal pain, and ovarian hyperstimulation syndrome (OHSS) in about 5-10% of patients.</t>
  </si>
  <si>
    <t>$2,500 to $5,000 per cycle (may vary widely depending on method and insurance).</t>
  </si>
  <si>
    <t>Primarily women of reproductive age, typically between 18-40 years old.</t>
  </si>
  <si>
    <t>Female</t>
  </si>
  <si>
    <t>Gonadotropin (small molecules)</t>
  </si>
  <si>
    <t>TICE BCG</t>
  </si>
  <si>
    <t>Bladder Cancer</t>
  </si>
  <si>
    <t>Blood in urine, frequent urination, pain during urination, pelvic pain, urgency to urinate</t>
  </si>
  <si>
    <t>Approximately 75,000 new cases in the USA annually (2023)</t>
  </si>
  <si>
    <t>Quality of life can be significantly impacted due to symptoms and treatment side effects, but many patients can maintain a good quality of life with effective management.</t>
  </si>
  <si>
    <t>Efficacy rates for TICE BCG in reducing recurrence rates range from 70-80% for superficial bladder cancer</t>
  </si>
  <si>
    <t>Generally well tolerated; safety profiles are favorable, with risks assessed for most patients.</t>
  </si>
  <si>
    <t>Common adverse events include bladder irritability, hematuria, and flu-like symptoms; serious events are rare but can include systemic infections.</t>
  </si>
  <si>
    <t>Approximately $30,000 - $50,000, depending on treatment regimen and healthcare setting</t>
  </si>
  <si>
    <t>Primarily adults, usually aged 60 and older</t>
  </si>
  <si>
    <t>More common in males (3:1 ratio compared to females)</t>
  </si>
  <si>
    <t>Immunotherapy (live attenuated bacteria)</t>
  </si>
  <si>
    <t>BCG VACCINE USP</t>
  </si>
  <si>
    <t>Blood in urine, frequent urination, pain during urination, back pain, fatigue</t>
  </si>
  <si>
    <t>Approximately 57,000 new cases of bladder cancer are diagnosed each year in the USA, with a lifetime risk of about 1 in 26 for men and 1 in 90 for women.</t>
  </si>
  <si>
    <t>Varies; may be significantly impacted by symptoms and the burden of treatment, but many patients can manage symptoms effectively with appropriate care.</t>
  </si>
  <si>
    <t>About 70% in reducing recurrence rates in patients with early-stage bladder cancer (prior studies indicate effectiveness in preventing recurrences).</t>
  </si>
  <si>
    <t>Generally considered safe; monitored for adverse effects, particularly local reactions.</t>
  </si>
  <si>
    <t>Common adverse events include local inflammation (cystitis), fever, and malaise; serious events are rare.</t>
  </si>
  <si>
    <t>Estimated between $5,000 and $15,000 depending on treatment regimen and healthcare coverage.</t>
  </si>
  <si>
    <t>Primarily adults, most commonly diagnosed in those over 55 years old.</t>
  </si>
  <si>
    <t>More prevalent in men than women (approximately 3:1 ratio).</t>
  </si>
  <si>
    <t>Vaccine (Immunotherapy)</t>
  </si>
  <si>
    <t>VIVITROL 380MG/VIL INJ,SUSP,SA</t>
  </si>
  <si>
    <t>Alcohol Use Disorder</t>
  </si>
  <si>
    <t>Cravings for alcohol, loss of control over drinking, withdrawal symptoms, continued use despite problems.</t>
  </si>
  <si>
    <t>Approximately 14.1 million adults aged 18 and older in the USA have AUD (5.6%).</t>
  </si>
  <si>
    <t>Generally improves for those who stop drinking, leading to better physical health, mental health, and social functioning.</t>
  </si>
  <si>
    <t>VIVITROL has been shown to reduce relapse rates compared to placebo in clinical studies, with efficacy rates around 60%.</t>
  </si>
  <si>
    <t>Generally considered safe; however, should be used with caution in individuals with liver impairment.</t>
  </si>
  <si>
    <t>Common adverse events include nausea, headache, vomiting, fatigue, and injection site reactions. Serious adverse events are rare.</t>
  </si>
  <si>
    <t>Approximately $6,000 to $10,000, depending on the healthcare provider and insurance coverage.</t>
  </si>
  <si>
    <t>Approved for adults 18 years and older.</t>
  </si>
  <si>
    <t>Both men and women, though prevalence may be higher in men.</t>
  </si>
  <si>
    <t>Extended-release formulation of the opioid receptor antagonist.</t>
  </si>
  <si>
    <t>LYBALVI 15MG/10MG TAB</t>
  </si>
  <si>
    <t>In schizophrenia, symptoms include hallucinations, delusions, disorganized thinking, and impaired functioning. In bipolar disorder, symptoms can include manic episodes (elevated mood, increased activity) and depressive episodes (low mood, loss of interest).</t>
  </si>
  <si>
    <t>Schizophrenia affects approximately 1% of the adult population; Bipolar Disorder affects around 2.8% of the adult population in the USA.</t>
  </si>
  <si>
    <t>Patients often experience significant reductions in quality of life due to the nature of the disorders, impacting social, occupational, and daily functioning.</t>
  </si>
  <si>
    <t>Clinical trials suggest that LYBALVI is effective in reducing the severity of symptoms in both schizophrenia and bipolar disorder, with improvements noted in overall functioning.</t>
  </si>
  <si>
    <t>LYBALVI has a safety profile that includes monitoring for metabolic effects; it is generally considered safe but should be used under medical supervision.</t>
  </si>
  <si>
    <t>Common adverse events include sedation, weight gain, increased appetite, and metabolic changes. Serious adverse events may include tardive dyskinesia and cardiovascular effects.</t>
  </si>
  <si>
    <t>The estimated annual therapy cost for LYBALVI can range from $10,000 to $25,000 depending on insurance coverage and out-of-pocket costs.</t>
  </si>
  <si>
    <t>Adults aged 18-65, with some evidence of use in adolescents aged 13-17 for specific indications.</t>
  </si>
  <si>
    <t>Both males and females are affected, though some studies suggest that schizophrenia is more common in males and bipolar disorder manifests similarly across genders, potentially with age differences in presentation.</t>
  </si>
  <si>
    <t>Combination antipsychotic (contains a combination of olanzapine and samidorphan).</t>
  </si>
  <si>
    <t>SURVANTA</t>
  </si>
  <si>
    <t>Acute Respiratory Distress Syndrome (ARDS)</t>
  </si>
  <si>
    <t>Difficulty breathing, rapid breathing, grunting, nasal flaring, cyanosis (bluish skin color), and retractions (pulling in of the chest wall)</t>
  </si>
  <si>
    <t>Approximately 1% of live births in the USA, accounting for about 15-20% of preterm infants born before 28 weeks gestation</t>
  </si>
  <si>
    <t>Infants who recover from RDS typically have a good quality of life, though some may experience long-term respiratory issues or developmental delays.</t>
  </si>
  <si>
    <t>Surfactant replacement therapy, such as SURVANTA, has demonstrated a significant reduction in mortality and morbidity associated with RDS, particularly in preterm infants.</t>
  </si>
  <si>
    <t>Generally well-tolerated, with a good safety profile when administered following the guidelines.</t>
  </si>
  <si>
    <t>Potential adverse events include pulmonary hemorrhage, bradycardia (slowed heart rate), oxygen desaturation, and airway obstruction.</t>
  </si>
  <si>
    <t>The cost of SURVANTA is approximately $5,000 to $10,000 per course of treatment, varying based on dosage and hospitalization.</t>
  </si>
  <si>
    <t>Primarily used in neonates, particularly those born preterm.</t>
  </si>
  <si>
    <t>No significant gender differences in the incidence of RDS.</t>
  </si>
  <si>
    <t>Natural surfactant replacement therapy (biological product).</t>
  </si>
  <si>
    <t>0-1</t>
  </si>
  <si>
    <t>SYNTHROID 137MCG,TAB</t>
  </si>
  <si>
    <t>Fatigue, weight gain, sensitivity to cold, constipation, dry skin, hair loss, muscle weakness, depression, slowed heart rate</t>
  </si>
  <si>
    <t>Approximately 4.6% of the US population (about 10 million people)</t>
  </si>
  <si>
    <t>Moderate to significant improvement in quality of life with appropriate treatment</t>
  </si>
  <si>
    <t>Approximately 70-90% of patients show improvement in symptoms and normalization of TSH levels with proper dosing</t>
  </si>
  <si>
    <t>Generally considered safe when monitored appropriately; risk increases if overdosed</t>
  </si>
  <si>
    <t>Common adverse events include anxiety, insomnia, weight loss, increased heart rate; rare but serious events include angina or heart attack in those with pre-existing heart conditions</t>
  </si>
  <si>
    <t>Approximately $100 to $300 annually, depending on insurance coverage</t>
  </si>
  <si>
    <t>All age groups, most common in middle-aged adults (ages 30-60)</t>
  </si>
  <si>
    <t>More prevalent in women (about 7-10 times more common than in men)</t>
  </si>
  <si>
    <t>Small molecules (levothyroxine)</t>
  </si>
  <si>
    <t>SYNTHROID 25MCG TAB</t>
  </si>
  <si>
    <t>Fatigue, weight gain, cold intolerance, dry skin, hair loss, constipation, depression, slow heart rate</t>
  </si>
  <si>
    <t>Approximately 4.6% of the adult population in the USA has hypothyroidism.</t>
  </si>
  <si>
    <t>Patients with treated hypothyroidism typically experience an improved quality of life, with significant relief from symptoms.</t>
  </si>
  <si>
    <t>High; most patients experience normalization of thyroid hormone levels with appropriate dosing of levothyroxine (SYNTHROID).</t>
  </si>
  <si>
    <t>Generally considered safe when monitored properly; however, dosing must be individualized.</t>
  </si>
  <si>
    <t>Common adverse events include palpitations, anxiety, tremors, and weight loss if overdosed. Rare but serious events may include atrial fibrillation, osteoporosis, and severe allergic reactions.</t>
  </si>
  <si>
    <t>Approximately $250 to $500, depending on dosage and insurance coverage.</t>
  </si>
  <si>
    <t>Primarily adults, but it can occur at any age.</t>
  </si>
  <si>
    <t>More common in females (up to 7-8 times more likely than males).</t>
  </si>
  <si>
    <t>Small molecule; specifically, a synthetic form of the thyroid hormone thyroxine (T4).</t>
  </si>
  <si>
    <t>SYNTHROID 50MCG TAB</t>
  </si>
  <si>
    <t>Fatigue, weight gain, cold intolerance, depression, dry skin, hair loss, constipation, muscle weakness, slow heart rate</t>
  </si>
  <si>
    <t>Approximately 4.6% of the U.S. population has hypothyroidism</t>
  </si>
  <si>
    <t>Patients typically experience improved quality of life with appropriate treatment; symptoms like fatigue and weight gain can significantly affect daily functioning and mental health if untreated</t>
  </si>
  <si>
    <t>Generally 75% - 90% of patients normalize thyroid levels and symptoms with proper dosage adjustments</t>
  </si>
  <si>
    <t>Generally considered safe, with a favorable safety profile when dosed appropriately</t>
  </si>
  <si>
    <t>Palpitations, weight loss, anxiety, tremors, headache, and rarely, heart arrhythmias</t>
  </si>
  <si>
    <t>Approximately $150 to $300 depending on insurance coverage and pharmacy pricing</t>
  </si>
  <si>
    <t>All age groups, more common in those over 60</t>
  </si>
  <si>
    <t>More prevalent in females (about 8 times more common)</t>
  </si>
  <si>
    <t>Small molecules (synthetic thyroxine)</t>
  </si>
  <si>
    <t>SYNTHROID 50 MCG TAB</t>
  </si>
  <si>
    <t>Fatigue, weight gain, sensitivity to cold, dry skin, hair loss, constipation, muscle weakness, depression, and slowed heart rate.</t>
  </si>
  <si>
    <t>Approximately 4.6% of the U.S. population (about 10 million people).</t>
  </si>
  <si>
    <t>Hypothyroidism can significantly impact quality of life due to symptoms affecting daily activities, mood, and overall health. With treatment, quality of life typically improves.</t>
  </si>
  <si>
    <t>About 80-90% of patients show improvement in symptoms and thyroid hormone levels with appropriate dose adjustments.</t>
  </si>
  <si>
    <t>Generally considered safe with proper monitoring; however, requires regular monitoring of thyroid function.</t>
  </si>
  <si>
    <t>Possible adverse events include palpitations, headaches, weight loss, nervousness, insomnia, and increased appetite.</t>
  </si>
  <si>
    <t>Approximately $50 to $100, depending on insurance coverage and pharmacy pricing.</t>
  </si>
  <si>
    <t>All age groups; more common in adults over 60.</t>
  </si>
  <si>
    <t>More common in females than males, with a ratio of about 5:1.</t>
  </si>
  <si>
    <t>Small molecule (synthetic thyroid hormone replacement).</t>
  </si>
  <si>
    <t>SYNTHROID 75MCG TAB</t>
  </si>
  <si>
    <t>Fatigue, weight gain, cold intolerance, constipation, dry skin, hair loss, depression, slowed heart rate, muscle weakness</t>
  </si>
  <si>
    <t>Approximately 4.6% of the U.S. population, affecting about 1 in 20 people</t>
  </si>
  <si>
    <t>Improvement in quality of life is significant with proper treatment, as symptoms of hypothyroidism can have a profound negative impact on daily functioning</t>
  </si>
  <si>
    <t>High efficacy in restoring thyroid hormone levels; usually normalizes TSH levels within weeks in most patients</t>
  </si>
  <si>
    <t>Generally considered safe when used as directed; monitoring of thyroid levels is essential</t>
  </si>
  <si>
    <t>Common adverse events include palpitations, insomnia, anxiety, heat intolerance, and diarrhea; serious adverse events are rare but can include cardiac issues</t>
  </si>
  <si>
    <t>Approximately $100 - $200 depending on insurance coverage and dosage requirements</t>
  </si>
  <si>
    <t>Primarily affects adults, especially those over 60 years old</t>
  </si>
  <si>
    <t>More prevalent in females (approximately 5-10 times more common than in males)</t>
  </si>
  <si>
    <t>Small molecules (synthetic thyroid hormone replacement)</t>
  </si>
  <si>
    <t>SYNTHROID 75 MCG TAB</t>
  </si>
  <si>
    <t>Fatigue, weight gain, sensitivity to cold, dry skin, hair loss, muscle weakness, constipation, depression, slowed heart rate, goiter.</t>
  </si>
  <si>
    <t>Approximately 4.6% of the U.S. adult population has hypothyroidism.</t>
  </si>
  <si>
    <t>Quality of life can be significantly improved with appropriate thyroid hormone replacement therapy, leading to relief of symptoms and improved physical and mental functioning.</t>
  </si>
  <si>
    <t>Approximately 80-90% of patients show significant symptom improvement and normalization of thyroid hormone levels within weeks of starting therapy.</t>
  </si>
  <si>
    <t>Generally considered safe when prescribed at the appropriate dose and monitored; however, dosage adjustments may be necessary based on individual response and thyroid function tests.</t>
  </si>
  <si>
    <t>Potential side effects may include palpitations, weight loss, heat intolerance, insomnia, and osteoporosis (with long-term high doses).</t>
  </si>
  <si>
    <t>Approximately $25 to $100 per year, depending on insurance coverage and pharmacy choice.</t>
  </si>
  <si>
    <t>Most commonly prescribed in adults, particularly women over age 60.</t>
  </si>
  <si>
    <t>More prevalent in females, with a ratio of about 5:1 (women to men).</t>
  </si>
  <si>
    <t>Small molecules (synthesized thyroid hormone).</t>
  </si>
  <si>
    <t>SYNTHROID 88MCG TAB</t>
  </si>
  <si>
    <t>Fatigue, weight gain, sensitivity to cold, dry skin, hair loss, muscle weakness, constipation, depression, and slowed heart rate.</t>
  </si>
  <si>
    <t>Approximately 4.6% of the U.S. population has hypothyroidism, with higher prevalence in women and older adults.</t>
  </si>
  <si>
    <t>Generally improves significantly with proper management; adequately treated patients report a return to normal daily activities and improved mood.</t>
  </si>
  <si>
    <t>Approximately 80-90% of patients achieve normal thyroid function and symptomatic relief with appropriate dosing.</t>
  </si>
  <si>
    <t>Generally considered safe when taken as directed; requires monitoring for thyroid hormone levels.</t>
  </si>
  <si>
    <t>Common adverse events include palpitations, anxiety, insomnia, weight loss, and heat intolerance; serious adverse events are rare but can include heart problems.</t>
  </si>
  <si>
    <t>Approximately $30-$300 depending on insurance and dosage; typical cost is around $60 to $120 without insurance.</t>
  </si>
  <si>
    <t>All age groups, though it is more prevalent in adults, especially those over 60.</t>
  </si>
  <si>
    <t>Higher prevalence in women compared to men, with a ratio of about 4:1.</t>
  </si>
  <si>
    <t>SYNTHROID 100MCG TAB</t>
  </si>
  <si>
    <t>Approximately 4.6% of the adult population in the USA (about 5 million people)</t>
  </si>
  <si>
    <t>Hypothyroidism can significantly impair quality of life, leading to fatigue, depression, and cognitive difficulties; treatment can improve these symptoms and overall quality of life</t>
  </si>
  <si>
    <t>Generally ?90% effective in normalizing thyroid hormone levels and alleviating symptoms when dosed appropriately</t>
  </si>
  <si>
    <t>Considered safe when monitored correctly; potential for adverse effects if dosed improperly</t>
  </si>
  <si>
    <t>Commonly reported adverse events include palpitations, anxiety, insomnia, menstrual irregularities, and rare but serious events such as atrial fibrillation</t>
  </si>
  <si>
    <t>Approximately $120 to $300 depending on insurance and pharmacy</t>
  </si>
  <si>
    <t>Most commonly prescribed for adults, particularly those over the age of 60</t>
  </si>
  <si>
    <t>More prevalent in females (women are about 5 to 8 times more likely to develop hypothyroidism than men)</t>
  </si>
  <si>
    <t>Small molecules (synthetic levothyroxine)</t>
  </si>
  <si>
    <t>SYNTHROID 125MCG TAB</t>
  </si>
  <si>
    <t>Fatigue, weight gain, cold intolerance, dry skin, hair loss, constipation, depression, muscle weakness</t>
  </si>
  <si>
    <t>Approximately 4.6% of the US population (affects about 10 million people)</t>
  </si>
  <si>
    <t>Significantly improved with treatment, but may vary depending on individual response</t>
  </si>
  <si>
    <t>Highly effective, with a normalizing effect on thyroid hormone levels in 80-90% of patients</t>
  </si>
  <si>
    <t>Generally considered safe when monitored properly; requires regular thyroid function tests</t>
  </si>
  <si>
    <t>Common adverse events include palpitations, anxiety, insomnia, weight loss, and increased sweating, particularly if overtreated</t>
  </si>
  <si>
    <t>Approximately $75-$300 per year, depending on insurance coverage and formulations</t>
  </si>
  <si>
    <t>Most common in adults, but can occur in any age group, especially women over 60</t>
  </si>
  <si>
    <t>More prevalent in women, with a female-to-male ratio of about 4:1</t>
  </si>
  <si>
    <t>Small molecule (Levothyroxine)</t>
  </si>
  <si>
    <t>SYNTHROID 125MCG,TAB</t>
  </si>
  <si>
    <t>Fatigue, weight gain, sensitivity to cold, dry skin, hair loss, constipation, depression, slowed heart rate, impaired memory</t>
  </si>
  <si>
    <t>Approximately 4.6% of the U.S. population (about 10 million people)</t>
  </si>
  <si>
    <t>Patients may experience significant improvement in quality of life with proper treatment; untreated hypothyroidism can severely affect daily living.</t>
  </si>
  <si>
    <t>Approximately 80-90% of patients respond well to Synthroid, achieving normal thyroid hormone levels.</t>
  </si>
  <si>
    <t>Generally considered safe; long-term use has established a positive safety profile when monitored correctly.</t>
  </si>
  <si>
    <t>Common adverse events include palpitations, increased heart rate, heat intolerance, anxiety; less common but serious events may include osteoporosis and increased risk of atrial fibrillation.</t>
  </si>
  <si>
    <t>Approximately $30 to $300, depending on insurance coverage and dosage.</t>
  </si>
  <si>
    <t>Primarily adults (most common in middle-aged and elderly populations).</t>
  </si>
  <si>
    <t>More prevalent in females than males; women are 5-8 times more likely to develop hypothyroidism.</t>
  </si>
  <si>
    <t>Small molecules (synthetic thyroxine).</t>
  </si>
  <si>
    <t>SYNTHROID 150MCG TAB</t>
  </si>
  <si>
    <t>Fatigue, weight gain, cold intolerance, constipation, dry skin, hair loss, muscle weakness, depression, slowed heart rate, goiter</t>
  </si>
  <si>
    <t>With appropriate treatment, quality of life can be significantly improved; patients often experience relief from symptoms leading to better daily functioning.</t>
  </si>
  <si>
    <t>Generally effective; approximately 80-90% of patients experience relief of symptoms within 2-3 weeks of proper dosing.</t>
  </si>
  <si>
    <t>Generally considered safe when used as prescribed; regular monitoring of thyroid hormone levels is recommended.</t>
  </si>
  <si>
    <t>Possible adverse events include palpitations, increased appetite, weight loss, heat intolerance, excessive sweating, and anxiety. Rarely, can lead to overt hyperthyroidism if overdosed.</t>
  </si>
  <si>
    <t>Approximately $100-$300 depending on insurance and costs of generic vs. brand-name versions.</t>
  </si>
  <si>
    <t>All age groups; more common in adults, particularly over the age of 60.</t>
  </si>
  <si>
    <t>More prevalent in women; women are about 7-8 times more likely to have hypothyroidism than men.</t>
  </si>
  <si>
    <t>Small molecules (specifically a synthetic form of thyroxine, T4).</t>
  </si>
  <si>
    <t>SYNTHROID 150MCG,TAB</t>
  </si>
  <si>
    <t>Fatigue, weight gain, cold intolerance, dry skin, hair loss, constipation, depression, slowed heart rate, muscle weakness</t>
  </si>
  <si>
    <t>Approximately 4.6% of the U.S. population (about 1 in 20 people) have hypothyroidism.</t>
  </si>
  <si>
    <t>Significantly improved with proper management; symptoms like fatigue and weight gain can substantially impact daily life if untreated.</t>
  </si>
  <si>
    <t>Generally high efficacy; most patients achieve normalization of thyroid levels with appropriate dosing of Synthroid.</t>
  </si>
  <si>
    <t>Considered safe when prescribed and monitored appropriately; however, can cause adverse effects if dosage is incorrect.</t>
  </si>
  <si>
    <t>Common adverse events include palpitations, insomnia, anxiety, weight loss, and in rare cases, arrhythmias or osteoporosis with prolonged use and excessive doses.</t>
  </si>
  <si>
    <t>Approximately $50 - $150, depending on insurance and pharmacy pricing, and dosing requirements.</t>
  </si>
  <si>
    <t>Typically affects adults, most common in those aged 30-60 years, with increased prevalence in older adults.</t>
  </si>
  <si>
    <t>More prevalent in women (about 5-10 times more common) than men.</t>
  </si>
  <si>
    <t>SYNTHROID 175MCG TAB</t>
  </si>
  <si>
    <t>Fatigue, weight gain, sensitivity to cold, constipation, dry skin, hair loss, muscle weakness, depression, slowed heart rate, impaired memory</t>
  </si>
  <si>
    <t>Approximately 4.6% of the U.S. adult population, with higher rates in older adults and women</t>
  </si>
  <si>
    <t>Can significantly improve quality of life when managed properly; untreated hypothyroidism can lead to reduced physical and mental functioning</t>
  </si>
  <si>
    <t>Treatment with Synthroid is effective in normalizing thyroid hormone levels in the majority of patients, with over 80% response in clinical settings</t>
  </si>
  <si>
    <t>Generally well-tolerated; monitoring essential to avoid over-treatment leading to hyperthyroidism</t>
  </si>
  <si>
    <t>Common adverse events include headache, insomnia, anxiety, tremors; rare severe reactions such as allergic reactions or heart issues</t>
  </si>
  <si>
    <t>Approximately $100 - $500, depending on dosage, insurance, and pharmacy prices</t>
  </si>
  <si>
    <t>Most commonly diagnosed in adults, particularly those over 60</t>
  </si>
  <si>
    <t>More prevalent in females (estimated 5-8 times more than males)</t>
  </si>
  <si>
    <t>Small molecule (synthetic levothyroxine)</t>
  </si>
  <si>
    <t>SYNTHROID 175MCG,TAB</t>
  </si>
  <si>
    <t>Fatigue, weight gain, cold intolerance, dry skin, hair loss, constipation, muscle weakness, depression, slowed heart rate</t>
  </si>
  <si>
    <t>Approximately 4.6% of the U.S. population (about 5 million people)</t>
  </si>
  <si>
    <t>Generally improved with proper management; untreated hypothyroidism can significantly impact daily activities and overall well-being</t>
  </si>
  <si>
    <t>High; Synthroid (levothyroxine) effectively normalizes thyroid hormone levels for most patients</t>
  </si>
  <si>
    <t>Generally considered safe with regular monitoring; adverse events are rare when the drug is dosed appropriately</t>
  </si>
  <si>
    <t>Possible side effects include palpitations, anxiety, weight loss, heat intolerance, insomnia, and other symptoms of hyperthyroidism if dosed too high</t>
  </si>
  <si>
    <t>Approximately $70 - $120, depending on insurance coverage and pharmacy costs</t>
  </si>
  <si>
    <t>Primarily adults, but can occur at any age</t>
  </si>
  <si>
    <t>More common in females, with a ratio of approximately 7:1 compared to males</t>
  </si>
  <si>
    <t>Small molecule (synthetic thyroid hormone replacement)</t>
  </si>
  <si>
    <t>SYNTHROID 200MCG TAB</t>
  </si>
  <si>
    <t>Fatigue, weight gain, cold intolerance, depression, dry skin, hair loss, constipation, slowed heart rate, and muscle weakness.</t>
  </si>
  <si>
    <t>Approximately 4.6% of the U.S. population (around 5 million people) affected by hypothyroidism.</t>
  </si>
  <si>
    <t>Hypothyroidism can significantly affect the quality of life, leading to fatigue and depression, which impact daily functioning and psychological well-being.</t>
  </si>
  <si>
    <t>Synthroid (levothyroxine) is considered highly effective for normalizing thyroid hormone levels in 90-95% of patients.</t>
  </si>
  <si>
    <t>Generally regarded as safe when monitored and dosed appropriately; blood levels should be checked regularly.</t>
  </si>
  <si>
    <t>Common adverse events include hyperthyroid symptoms (if overdosed) such as palpitations, anxiety, weight loss, and insomnia. Rare events include osteoporosis and coronary heart disease.</t>
  </si>
  <si>
    <t>Approximately $50 to $200 annually, depending on insurance and pharmacy pricing.</t>
  </si>
  <si>
    <t>Mostly affects adults, particularly women aged 30-60 years.</t>
  </si>
  <si>
    <t>More common in females (approximately 5-10 times more prevalent in women compared to men).</t>
  </si>
  <si>
    <t>Small molecule (synthetic thyroxine).</t>
  </si>
  <si>
    <t>SYNTHROID 200MCG,TAB</t>
  </si>
  <si>
    <t>Fatigue, weight gain, cold intolerance, dry skin, hair loss, constipation, muscle weakness, joint pain, depression, slowed heart rate</t>
  </si>
  <si>
    <t>Approximately 4.6% of the U.S. population (about 4.3 million people)</t>
  </si>
  <si>
    <t>Varies; effective treatment with synthroid can significantly improve daily functioning and overall well-being</t>
  </si>
  <si>
    <t>80-90% (high efficacy in normalizing thyroid hormone levels and alleviating symptoms when used as directed)</t>
  </si>
  <si>
    <t>Generally considered safe when dosed appropriately; regular monitoring of thyroid hormone levels is recommended to avoid over-treatment</t>
  </si>
  <si>
    <t>Common adverse events include palpitations, anxiety, weight changes, hair loss; rare but serious effects can include chest pain and arrhythmias</t>
  </si>
  <si>
    <t>Approximately $50 - $200 depending on insurance coverage and pharmacy pricing</t>
  </si>
  <si>
    <t>Primarily adults, but can be prescribed to children if needed</t>
  </si>
  <si>
    <t>More common in women, approximately 7-8 times more likely than men</t>
  </si>
  <si>
    <t>SYNTHROID 300MCG TAB</t>
  </si>
  <si>
    <t>Fatigue, weight gain, sensitivity to cold, constipated, dry skin, hair loss, muscle weakness, elevated blood cholesterol levels, and impaired memory.</t>
  </si>
  <si>
    <t>Approximately 4.6% of the U.S. population, with higher prevalence in women and older adults.</t>
  </si>
  <si>
    <t>Treatment with Synthroid can significantly improve quality of life by alleviating symptoms associated with hypothyroidism, restoring normal metabolic function, and enhancing cognitive performance.</t>
  </si>
  <si>
    <t>80-90% (effective in normalizing thyroid hormone levels in the majority of patients when dosage is appropriately adjusted).</t>
  </si>
  <si>
    <t>Generally considered safe with proper dosing; however, monitoring is required to avoid potential overdose.</t>
  </si>
  <si>
    <t>Common adverse events include palpitations, increased appetite, weight loss, nervousness, and insomnia. Rare but serious effects may include heart problems or osteoporosis.</t>
  </si>
  <si>
    <t>$500 - $1,200 (depending on insurance coverage and dosage).</t>
  </si>
  <si>
    <t>Primarily adults, with increased incidence in older populations (typically 30 years and older).</t>
  </si>
  <si>
    <t>More prevalent in women than men (approximately 5-10 times more common).</t>
  </si>
  <si>
    <t>Small molecules (synthetic thyroid hormone, levothyroxine).</t>
  </si>
  <si>
    <t>DEPAKOTE ER 250MG TABLETS</t>
  </si>
  <si>
    <t>For Bipolar Disorder: mood swings, episodes of mania and depression. For Epilepsy: seizures. For Migraine: frequent migraines and headache.</t>
  </si>
  <si>
    <t>Bipolar Disorder: approximately 2.8% of adults in the USA; Epilepsy: about 3.4 million people (1.2% of the population); Migraine: affects approximately 12% of the population (18% women, 6% men).</t>
  </si>
  <si>
    <t>Effective management of these conditions can significantly improve quality of life, reducing the impact of symptoms on daily functioning and relationships.</t>
  </si>
  <si>
    <t>Bipolar Disorder: 60-80% efficacy in stabilizing mood; Epilepsy: 50-70% seizure reduction in patients; Migraine: reduction of frequency by 50% in some patients.</t>
  </si>
  <si>
    <t>Generally safe when monitored, but requires regular blood tests to monitor liver function and drug levels.</t>
  </si>
  <si>
    <t>Common adverse events include drowsiness, dizziness, gastrointestinal disturbances, weight gain, hair loss, tremors, and in rare cases, serious liver damage or pancreatitis.</t>
  </si>
  <si>
    <t>Approximately $3,000 - $6,000 annually, depending on dosage and insurance coverage.</t>
  </si>
  <si>
    <t>Approved for use in adults and some children over the age of 10 for epilepsy.</t>
  </si>
  <si>
    <t>Both males and females are affected, but the disease distribution may vary; for instance, Bipolar Disorder and Migraine are more prevalent in females.</t>
  </si>
  <si>
    <t>Small molecule anticonvulsant and mood stabilizer.</t>
  </si>
  <si>
    <t>DEPAKOTE ER 500MG TAB</t>
  </si>
  <si>
    <t>Mood swings, manic episodes, depressive episodes (Bipolar Disorder); seizures (Epilepsy); migraines (Migraine Prevention)</t>
  </si>
  <si>
    <t>Bipolar Disorder: approximately 2.8% in adults; Epilepsy: approximately 1.2% of the U.S. population; Migraine: approximately 12% of the adult population</t>
  </si>
  <si>
    <t>Significant improvement in quality of life for patients effectively managed on Depakote, though side effects can impact individual experiences</t>
  </si>
  <si>
    <t>Approximately 50-70% effective for seizure control and up to 70% for mood stabilization in bipolar disorder</t>
  </si>
  <si>
    <t>Generally well-tolerated; liver function and blood cell counts should be monitored regularly</t>
  </si>
  <si>
    <t>Weight gain, drowsiness, tremors, gastrointestinal disturbances, hair loss, liver toxicity</t>
  </si>
  <si>
    <t>Approximately $2,000 - $3,500 depending on insurance and pharmacy costs</t>
  </si>
  <si>
    <t>Approved for use in children (?10 years) and adults</t>
  </si>
  <si>
    <t>Both genders, with slight prevalence in females for mood disorders</t>
  </si>
  <si>
    <t>Small molecule anticonvulsant/antimanic agent</t>
  </si>
  <si>
    <t>SYNTHROID 112MCG TAB</t>
  </si>
  <si>
    <t>Fatigue, weight gain, cold intolerance, dry skin, hair loss, depression, constipation, muscle weakness, and slow heart rate.</t>
  </si>
  <si>
    <t>Approximately 4.6% of the U.S. population, with higher rates in women and older adults.</t>
  </si>
  <si>
    <t>Generally improved with appropriate treatment; many patients return to normal functioning with proper management.</t>
  </si>
  <si>
    <t>Approximately 80%-90% of patients respond well to thyroid hormone replacement therapy like Synthroid.</t>
  </si>
  <si>
    <t>Generally considered safe when taken as directed; regular monitoring of thyroid levels is recommended.</t>
  </si>
  <si>
    <t>Common adverse events include palpitations, nervousness, weight loss, and insomnia. Rare events may include osteoporosis and arrhythmias in overdosed patients.</t>
  </si>
  <si>
    <t>Approximately $30 to $300 per year depending on insurance and dosage.</t>
  </si>
  <si>
    <t>Most commonly prescribed for adults, but can be used in all age groups including children.</t>
  </si>
  <si>
    <t>More prevalent in women; however, men can also develop hypothyroidism.</t>
  </si>
  <si>
    <t>DESOXIMETASONE 0.05% OINT,TOP</t>
  </si>
  <si>
    <t>Dermatitis</t>
  </si>
  <si>
    <t>Redness, itching, inflammation, scaling, and thickened skin</t>
  </si>
  <si>
    <t>Approximately 7.3% of the U.S. population is affected by eczema; psoriasis affects about 3.2%</t>
  </si>
  <si>
    <t>Quality of life can be significantly impacted due to discomfort and visibility of skin lesions, leading to psychological distress</t>
  </si>
  <si>
    <t>Efficacy ranges around 70-80% in clearing symptoms for moderate cases when used as directed</t>
  </si>
  <si>
    <t>Generally considered safe for short-term use; long-term use may lead to skin thinning and potential systemic absorption</t>
  </si>
  <si>
    <t>Common adverse events include local irritation, burning sensation, and dryness; rare events may include systemic effects such as adrenal suppression</t>
  </si>
  <si>
    <t>Approximately $500 to $2,000, depending on the duration and extent of treatment</t>
  </si>
  <si>
    <t>Approved for use in adults and children; typically prescribed for ages 2 years and older</t>
  </si>
  <si>
    <t>No significant gender predisposition, affects all genders equally</t>
  </si>
  <si>
    <t>Topical corticosteroid (medium-potency)</t>
  </si>
  <si>
    <t>DESOXIMETASONE 0.25% SPRAY,TOP</t>
  </si>
  <si>
    <t>Redness, itching, swelling, crusting, scaling, and flaking of the skin.</t>
  </si>
  <si>
    <t>Approximately 10-15% of the population in the USA experiences dermatitis at some point in their lives.</t>
  </si>
  <si>
    <t>Quality of life can be significantly impaired due to discomfort, appearance of the skin, and psychological distress associated with visible skin conditions.</t>
  </si>
  <si>
    <t>Desoximetasone 0.25% spray has been shown to significantly reduce the signs and symptoms of dermatitis in clinical trials (efficacy rates around 60-70%).</t>
  </si>
  <si>
    <t>Generally considered safe when used as directed. Long-term use can lead to skin atrophy or systemic absorption, particularly in sensitive areas.</t>
  </si>
  <si>
    <t>Common adverse events include burning, itching, or irritation at the site of application (occurring in about 5-10% of patients).</t>
  </si>
  <si>
    <t>Average annual therapy costs can range from $300 to $600 depending on the frequency of use and insurance coverage.</t>
  </si>
  <si>
    <t>Approved for use in adults and children aged 12 and older.</t>
  </si>
  <si>
    <t>Both genders are affected equally; however, incidence may vary depending on specific types of dermatitis.</t>
  </si>
  <si>
    <t>Topical corticosteroid (class of small molecules).</t>
  </si>
  <si>
    <t>ULTRA-TECHNEKOW 1Ci/1</t>
  </si>
  <si>
    <t>Hyperparathyroidism</t>
  </si>
  <si>
    <t>Fatigue, weakness, bone pain, depression, kidney stones, increased thirst, abdominal pain</t>
  </si>
  <si>
    <t>Approximately 1 in 1,000 individuals in the USA, with primary hyperparathyroidism being more prevalent in women (3:1 ratio)</t>
  </si>
  <si>
    <t>Can significantly impact quality of life due to symptoms related to metabolic abnormalities and bone health</t>
  </si>
  <si>
    <t>Highly effective for diagnosis and assessment in hyperparathyroidism-related conditions, as it allows imaging and localization of parathyroid tissue</t>
  </si>
  <si>
    <t>Generally considered safe when used in appropriate diagnostic contexts; radiation exposure is a consideration</t>
  </si>
  <si>
    <t>Rare; potential for allergic reactions or radiation exposure concerns; cumulative radiation risk with multiple imaging studies</t>
  </si>
  <si>
    <t>Approximately $1,000 for diagnostic procedures involving ULTRA-TECHNEKOW; costs can vary based on healthcare settings</t>
  </si>
  <si>
    <t>Most commonly diagnosed in adults aged 50-70 years</t>
  </si>
  <si>
    <t>More common in females</t>
  </si>
  <si>
    <t>Radioactive diagnostic agent (used in nuclear medicine)</t>
  </si>
  <si>
    <t>ULTRA TECHNEKOW 1.5Ci/1</t>
  </si>
  <si>
    <t>Weakness, fatigue, depression, kidney stones, bone pain, abdominal pain, nausea, increased thirst and urination.</t>
  </si>
  <si>
    <t>Approximately 0.1% to 0.3% of the general population in the USA.</t>
  </si>
  <si>
    <t>Can significantly affect quality of life, particularly due to symptoms like fatigue and pain; many patients may experience decreased functional ability.</t>
  </si>
  <si>
    <t>Generally high for diagnostic imaging prior to surgery, particularly in localized disease; imaging helps guide therapeutic interventions.</t>
  </si>
  <si>
    <t>Considered safe when administered properly; however, potential radiation exposure should be considered.</t>
  </si>
  <si>
    <t>Minimal and mostly related to radiation exposure; potential allergic reactions to the agent; no significant systemic effects.</t>
  </si>
  <si>
    <t>Approximately $1,000 to $2,500 depending on the healthcare setting and frequency of imaging.</t>
  </si>
  <si>
    <t>Commonly seen in adults aged 50 years and older.</t>
  </si>
  <si>
    <t>More prevalent in females compared to males.</t>
  </si>
  <si>
    <t>Radiopharmaceutical (used in imaging).</t>
  </si>
  <si>
    <t>ULTRA TECHNEKOW 2Ci/1</t>
  </si>
  <si>
    <t>Fatigue, weakness, depression, bone pain, kidney stones, abdominal pain</t>
  </si>
  <si>
    <t>Approximately 0.1% to 0.3% in the general population in the USA</t>
  </si>
  <si>
    <t>Can be significantly impaired due to symptoms; treatment can improve quality of life</t>
  </si>
  <si>
    <t>High (used in diagnostic imaging and is effective in identifying parathyroid tissues)</t>
  </si>
  <si>
    <t>Generally well-tolerated; radiation exposure is a consideration</t>
  </si>
  <si>
    <t>Mild allergic reactions, radiation-related risks</t>
  </si>
  <si>
    <t>Variable; typically in the range of $200 to $500 for radiopharmaceuticals</t>
  </si>
  <si>
    <t>More prevalent in females than males, with a ratio of approximately 3:1</t>
  </si>
  <si>
    <t>Radiopharmaceutical (specifically a radiotracer for diagnostic imaging)</t>
  </si>
  <si>
    <t>ULTRA TECHNEKOW 2.5Ci/1</t>
  </si>
  <si>
    <t>Fatigue, weakness, bone pain, kidney stones, abdominal pain, excessive thirst, frequent urination</t>
  </si>
  <si>
    <t>Approximately 1-3% of the general population in the USA</t>
  </si>
  <si>
    <t>Can be significantly impacted due to chronic symptoms, but improvements can be seen with treatment</t>
  </si>
  <si>
    <t>High efficacy in aiding diagnosis and treatment planning, especially in cases of parathyroid tumors</t>
  </si>
  <si>
    <t>Generally considered safe when used as directed, with limited side effects</t>
  </si>
  <si>
    <t>Rare adverse events, such as allergic reactions or transient discomfort at injection site</t>
  </si>
  <si>
    <t>Approximately $10,000 - $25,000 depending on the frequency of use and healthcare setting</t>
  </si>
  <si>
    <t>Most commonly affects adults aged 50 and older</t>
  </si>
  <si>
    <t>More prevalent in women than men, with a ratio of approximately 2:1</t>
  </si>
  <si>
    <t>Radiopharmaceutical</t>
  </si>
  <si>
    <t>ULTRA TECHNEKOW 3Ci/1</t>
  </si>
  <si>
    <t>Fatigue, weakness, kidney stones, bone pain, abdominal pain, nausea, depression</t>
  </si>
  <si>
    <t>Approximately 0.1% to 0.3% in the general population</t>
  </si>
  <si>
    <t>Can significantly impact quality of life due to chronic symptoms and complications</t>
  </si>
  <si>
    <t>Generally effective in diagnosing and managing hyperparathyroidism when used as a diagnostic radiopharmaceutical</t>
  </si>
  <si>
    <t>Generally considered safe when used appropriately as a diagnostic tool</t>
  </si>
  <si>
    <t>Minimal; potential allergic reactions or local discomfort from injection</t>
  </si>
  <si>
    <t>Variable; costs related to diagnostic tests may range from $200 to $3,000 annually depending on frequency and additional treatments</t>
  </si>
  <si>
    <t>Most common in adults aged 50-70 years, but can occur at any age</t>
  </si>
  <si>
    <t>Radiopharmaceutical (diagnostic agent)</t>
  </si>
  <si>
    <t>ULTRA TECHNEKOW 3.5 Ci/1</t>
  </si>
  <si>
    <t>Fatigue, weakness, kidney stones, abdominal pain, bone pain, and excessive thirst.</t>
  </si>
  <si>
    <t>Approximately 0.1% of the population in the USA.</t>
  </si>
  <si>
    <t>Can be significantly affected due to chronic symptoms like pain and fatigue; however, successful treatment can lead to substantial improvement in quality of life.</t>
  </si>
  <si>
    <t>High efficacy for diagnosis and treatment of conditions related to hyperparathyroidism when used as part of targeted therapy.</t>
  </si>
  <si>
    <t>Generally safe when used accurately under medical supervision; risks associated primarily with imaging or therapeutic procedures.</t>
  </si>
  <si>
    <t>Minor allergic reactions, nausea, headache, and in rare cases, complications from the procedure (e.g., bleeding, infection).</t>
  </si>
  <si>
    <t>Approximately $10,000 - $30,000 depending on the extent of treatment and additional therapies needed.</t>
  </si>
  <si>
    <t>Most commonly affects adults aged 30-60 years.</t>
  </si>
  <si>
    <t>More prevalent in women than men (2:1 ratio).</t>
  </si>
  <si>
    <t>Radiopharmaceutical (specifically a radioactive tracer for imaging).</t>
  </si>
  <si>
    <t>ULTRA TECHNEKOW 5 Ci/1</t>
  </si>
  <si>
    <t>Weight loss, increased appetite, rapid heartbeat, anxiety, tremors, sweating, menstrual changes, and heat intolerance</t>
  </si>
  <si>
    <t>Approximately 1.2% of the US population</t>
  </si>
  <si>
    <t>Moderate to high, depending on severity and management of symptoms</t>
  </si>
  <si>
    <t>High efficacy in diagnosing and managing hyperthyroidism and related conditions</t>
  </si>
  <si>
    <t>Generally safe when used as directed for diagnostic imaging</t>
  </si>
  <si>
    <t>Minor adverse events such as allergic reactions, transient hypothyroidism, or injection site reactions</t>
  </si>
  <si>
    <t>Typically between $1,000 - $2,500 depending on the number of scans and procedures required</t>
  </si>
  <si>
    <t>Adolescents to older adults</t>
  </si>
  <si>
    <t>More common in females, with a female-to-male ratio of about 5:1</t>
  </si>
  <si>
    <t>Radioactive iodine isotope (used in diagnostic imaging)</t>
  </si>
  <si>
    <t>ULTRA TECHNEKOW 6Ci/1</t>
  </si>
  <si>
    <t>Weight loss, increased appetite, anxiety, sweating, rapid heartbeat, tremors, heat intolerance, menstrual changes</t>
  </si>
  <si>
    <t>Approximately 1.2% of the U.S. population</t>
  </si>
  <si>
    <t>Variable; many patients experience significant improvement post-treatment</t>
  </si>
  <si>
    <t>High; effective in diagnosing and treating hyperthyroidism when used correctly</t>
  </si>
  <si>
    <t>Generally considered safe when administered in appropriate doses, but can have risks if misused</t>
  </si>
  <si>
    <t>Allergic reactions, injection site reactions, radiation exposure concerns</t>
  </si>
  <si>
    <t>$10,000 - $20,000 (depending on treatment plan and healthcare coverage)</t>
  </si>
  <si>
    <t>Typically adults, but can affect any age</t>
  </si>
  <si>
    <t>More common in women (5:1 ratio compared to men)</t>
  </si>
  <si>
    <t>Radiopharmaceutical (radioactive iodine therapy)</t>
  </si>
  <si>
    <t>ULTRA TECHNEKOW 7.5Ci/1</t>
  </si>
  <si>
    <t>Increased heart rate, weight loss, heat intolerance, anxiety, tremors, excessive sweating, fatigue.</t>
  </si>
  <si>
    <t>Approximately 1.2% of the U.S. population.</t>
  </si>
  <si>
    <t>Can be significantly impacted due to symptoms and complications if untreated, but may improve with effective treatment.</t>
  </si>
  <si>
    <t>High efficacy in visualizing thyroid tissue and assessing thyroid function; often used for diagnostic purposes.</t>
  </si>
  <si>
    <t>Generally considered safe when used appropriately; radiation exposure is minimal.</t>
  </si>
  <si>
    <t>Minor allergic reactions, temporary nausea, and discomfort at the injection site.</t>
  </si>
  <si>
    <t>$1000 - $3000 (depends on frequency of scans and specific treatment used).</t>
  </si>
  <si>
    <t>Commonly used in adults, especially those aged 30-60.</t>
  </si>
  <si>
    <t>More prevalent in women, with a female-to-male ratio of approximately 5:1.</t>
  </si>
  <si>
    <t>Diagnostic radiopharmaceutical (nuclear medicine).</t>
  </si>
  <si>
    <t>ULTRA TECHNEKOW 19Ci/1</t>
  </si>
  <si>
    <t>Fatigue, weakness, bone pain, kidney stones, depression</t>
  </si>
  <si>
    <t>Approximately 0.1% to 0.4% in the general population for primary hyperparathyroidism</t>
  </si>
  <si>
    <t>Quality of life can be significantly impacted by symptoms such as chronic pain and fatigue</t>
  </si>
  <si>
    <t>High in diagnostic imaging for localization and assessment of parathyroid function</t>
  </si>
  <si>
    <t>Generally safe for use with minimal side effects when administered properly</t>
  </si>
  <si>
    <t>Rare; may include allergic reactions to the radiopharmaceutical</t>
  </si>
  <si>
    <t>$3,000 - $5,000 for a series of imaging tests, depending on the number of scans required</t>
  </si>
  <si>
    <t>Most common in adults aged 50-60 years</t>
  </si>
  <si>
    <t>More prevalent in females than males, with a ratio of about 3:1</t>
  </si>
  <si>
    <t>Radiopharmaceuticals (specifically a radioactive tracer)</t>
  </si>
  <si>
    <t>SODIUM IODIDE I123 7.4MBQ(200CI) CAPSULES</t>
  </si>
  <si>
    <t>Hyperthyroidism symptoms may include weight loss, rapid heartbeat, sweating, anxiety, and tremors. Thyroid cancer symptoms may include a lump in the neck, difficulty swallowing, and hoarseness.</t>
  </si>
  <si>
    <t>Thyroid cancer affects approximately 15 per 100,000 people each year in the USA. Hyperthyroidism affects about 1-2% of the population.</t>
  </si>
  <si>
    <t>Patients generally experience improvement in quality of life after treatment, especially if thyroid cancer is managed effectively or hyperthyroidism symptoms are alleviated.</t>
  </si>
  <si>
    <t>Sodium Iodide I-123 is effective in imaging and treatment for thyroid conditions, particularly in diagnostics and management of thyroid cancer. Efficacy rates are generally high, around 70-90% for appropriate cases.</t>
  </si>
  <si>
    <t>Generally considered safe; however, it carries risks of radiation exposure which is managed carefully.</t>
  </si>
  <si>
    <t>Possible adverse events include nausea, vomiting, and temporary changes in thyroid function. Rarely, patients may experience allergic reactions.</t>
  </si>
  <si>
    <t>Costs can vary widely; annual therapy costs may range from $500 to $10,000 depending on treatment regimens and follow-up care.</t>
  </si>
  <si>
    <t>Commonly used in adults, most frequently in patients aged 40-60 years.</t>
  </si>
  <si>
    <t>More prevalent in females, especially in cases of thyroid cancer where they account for approximately 70% of cases.</t>
  </si>
  <si>
    <t>Radiopharmaceutical (specifically a radioactive isotope used for diagnostic imaging and treatment).</t>
  </si>
  <si>
    <t>SYMPAZAN 5MG FILM,ORAL</t>
  </si>
  <si>
    <t>Lennox-Gastaut Syndrome (LGS)</t>
  </si>
  <si>
    <t>Recurrent seizures, cognitive impairment, abnormal behavior, difficulty with motor skills</t>
  </si>
  <si>
    <t>Approximately 1-4 cases per 100,000 people in the USA</t>
  </si>
  <si>
    <t>Significantly affected due to frequent seizures, cognitive challenges, and potential social stigma</t>
  </si>
  <si>
    <t>Demonstrated 30-40% reduction in seizure frequency compared to placebo in clinical trials</t>
  </si>
  <si>
    <t>Generally well-tolerated, but long-term safety data is still being evaluated</t>
  </si>
  <si>
    <t>Common adverse events include fatigue, somnolence, decreased appetite, and weight loss</t>
  </si>
  <si>
    <t>Approximately $20,000 - $30,000 depending on insurance coverage and patient needs</t>
  </si>
  <si>
    <t>Approved for use in patients 2 years of age and older</t>
  </si>
  <si>
    <t>Affects both genders equally, however, some syndromes may be more prevalent in males</t>
  </si>
  <si>
    <t>Small molecule (specifically, a benzodiazepine derivative)</t>
  </si>
  <si>
    <t>2 and older</t>
  </si>
  <si>
    <t>CLINDESSE 2%</t>
  </si>
  <si>
    <t>Bacterial Vaginosis</t>
  </si>
  <si>
    <t>Fishy vaginal odor, vaginal discharge, itching, burning during urination</t>
  </si>
  <si>
    <t>Approximately 29% of women in the USA experience bacterial vaginosis at some point in their lives</t>
  </si>
  <si>
    <t>Can significantly impact quality of life due to discomfort and self-esteem issues related to odor and discharge</t>
  </si>
  <si>
    <t>Approximately 87% effective in treating bacterial vaginosis in clinical studies</t>
  </si>
  <si>
    <t>Generally considered safe; low risk of major side effects when used as directed</t>
  </si>
  <si>
    <t>Common adverse events may include vaginal burning, irritation, and discharge</t>
  </si>
  <si>
    <t>Approximately $200 - $400 depending on treatment duration and healthcare provider fees</t>
  </si>
  <si>
    <t>Primarily affects women of reproductive age (15-44 years)</t>
  </si>
  <si>
    <t>Topical antibiotic therapy</t>
  </si>
  <si>
    <t>15-44</t>
  </si>
  <si>
    <t>METRONIDAZOLE 0.75% GEL,VAG</t>
  </si>
  <si>
    <t>Abnormal vaginal discharge, fishy odor, irritation or itching in the vagina, discomfort during intercourse.</t>
  </si>
  <si>
    <t>Approximately 29% of women in the United States have bacterial vaginosis at some point in their lives.</t>
  </si>
  <si>
    <t>Symptoms can lead to discomfort, emotional distress, and embarrassment, impacting sexual health and quality of life.</t>
  </si>
  <si>
    <t>Clinical studies have shown metronidazole gel to be effective in treating bacterial vaginosis, with cure rates around 70-85%.</t>
  </si>
  <si>
    <t>Metronidazole gel is generally considered safe for topical use, but caution is advised for those with hypersensitivity to the drug.</t>
  </si>
  <si>
    <t>Potential side effects include local irritation, burning, and allergic reactions. Rarely, systemic effects like nausea and headaches can occur.</t>
  </si>
  <si>
    <t>Costs vary but are typically around $300 to $600 per year for treatment, depending on the frequency of prescriptions and insurance coverage.</t>
  </si>
  <si>
    <t>Primarily affects women of reproductive age (ages 15-49).</t>
  </si>
  <si>
    <t>Primarily affects females.</t>
  </si>
  <si>
    <t>Small molecules (topical antibiotic).</t>
  </si>
  <si>
    <t>IMIQUIMOD 5% CREAM,TOP,PKT,0.25GM</t>
  </si>
  <si>
    <t>Actinic Keratosis</t>
  </si>
  <si>
    <t>Rough, scaly patches on sun-exposed areas of skin, changes in the appearance of skin lesions, raised bumps, genital warts</t>
  </si>
  <si>
    <t>Approximately 58 million Americans are affected by actinic keratosis; basal cell carcinoma is the most common skin cancer in the USA with over 4 million cases diagnosed annually; genital warts affect about 1% of sexually active adults.</t>
  </si>
  <si>
    <t>Can significantly impact quality of life due to cosmetic concerns, pain, and discomfort associated with lesions. Effective treatment improves self-esteem and mental well-being.</t>
  </si>
  <si>
    <t>75-80% effective in treating actinic keratosis; efficacy in basal cell carcinoma varies (generally considered effective); reduces genital warts with a success rate of 50-75%.</t>
  </si>
  <si>
    <t>Generally well-tolerated, though not without risks. Lack of systemic absorption limits most serious risks.</t>
  </si>
  <si>
    <t>Local skin reactions (redness, itching, burning, and peeling), flu-like symptoms, and potential secondary infections.</t>
  </si>
  <si>
    <t>Approximately $300–$500 depending on the pharmacy and insurance coverage.</t>
  </si>
  <si>
    <t>Most commonly used in adults aged 40 and older; may be used in younger individuals for genital warts.</t>
  </si>
  <si>
    <t>Both genders are affected, though certain conditions (e.g., genital warts) are more prevalent in sexually active populations.</t>
  </si>
  <si>
    <t>Topical immune response modifier.</t>
  </si>
  <si>
    <t>40 and older</t>
  </si>
  <si>
    <t>NALOXONE HCL 4MG/SPRAY SOLN,SPRAY,NASAL</t>
  </si>
  <si>
    <t>Opioid Overdose</t>
  </si>
  <si>
    <t>Respiratory depression, loss of consciousness, pinpoint pupils, decreased heart rate, and potentially death</t>
  </si>
  <si>
    <t>In 2021, approximately 100,000 fatal overdoses occurred in the USA, with opioid overdoses being a significant portion of this number; opioid misuse affects millions, with estimates indicating around 2 million individuals having an opioid use disorder.</t>
  </si>
  <si>
    <t>Improved quality of life for individuals at risk of overdose when naloxone is administered promptly; contributes to harm reduction and supports recovery efforts.</t>
  </si>
  <si>
    <t>Naloxone is highly effective in reversing opioid overdose when administered timely; studies show effective reversal in over 90% of cases with proper administration.</t>
  </si>
  <si>
    <t>Generally regarded as safe; naloxone has a favorable safety profile, with minimal side effects in cases of accidental administration in non-opioid users.</t>
  </si>
  <si>
    <t>Symptoms may include opioid withdrawal in dependent individuals, such as agitation, nausea, vomiting, and rapid heart rate; however, serious adverse events are rare.</t>
  </si>
  <si>
    <t>Naloxone can cost around $100-$200 per dose, depending on insurance and pharmacy; availability of generic options may lower these costs.</t>
  </si>
  <si>
    <t>All age groups, particularly among individuals at high risk for opioid overdose, including young adults and older adults.</t>
  </si>
  <si>
    <t>Affects all genders, with some studies indicating higher rates of opioid use disorder in males compared to females, but overdose rates have increased in both sexes.</t>
  </si>
  <si>
    <t>Small molecules (specifically an opioid antagonist).</t>
  </si>
  <si>
    <t>ZURZUVAE 30MG CAP</t>
  </si>
  <si>
    <t>Postpartum Depression</t>
  </si>
  <si>
    <t>Depressed mood, loss of interest or pleasure, fatigue, anxiety, changes in sleep or appetite, feelings of guilt or worthlessness, difficulty concentrating, suicidal thoughts</t>
  </si>
  <si>
    <t>Approximately 10-15% of women postpartum in the USA</t>
  </si>
  <si>
    <t>Significantly impaired due to emotional distress and difficulties in caring for newborns</t>
  </si>
  <si>
    <t>Studies indicate ZURZUVAE (zuranolone) has an efficacy rate of around 80% in significantly reducing depressive symptoms compared to placebo</t>
  </si>
  <si>
    <t>Generally well-tolerated; however, the safety profile is still under evaluation as more data becomes available</t>
  </si>
  <si>
    <t>Common adverse events include sedation, dizziness, headache, and somnolence</t>
  </si>
  <si>
    <t>Estimated around $8,000 to $12,000 depending on insurance coverage and out-of-pocket costs</t>
  </si>
  <si>
    <t>Primarily women of childbearing age (18-45 years)</t>
  </si>
  <si>
    <t>Small molecule (neurosteroid)</t>
  </si>
  <si>
    <t>18-45</t>
  </si>
  <si>
    <t>QALSODY 6.7MG/ML INJ,SOLN</t>
  </si>
  <si>
    <t>Amyotrophic Lateral Sclerosis (ALS)</t>
  </si>
  <si>
    <t>Muscle weakness, difficulty speaking, difficulty swallowing, muscle cramps, and eventual paralysis.</t>
  </si>
  <si>
    <t>Approximately 5.0 cases per 100,000 people (about 20,000 to 30,000 individuals in the USA).</t>
  </si>
  <si>
    <t>Significantly impacted due to progressive muscle weakness and loss of independence; many require assistance with daily activities.</t>
  </si>
  <si>
    <t>Clinical trials have shown QALSODY to modify the progression of ALS with varying degrees of patient response.</t>
  </si>
  <si>
    <t>Generally considered safe; monitored for potential side effects; recommended under healthcare supervision.</t>
  </si>
  <si>
    <t>Possible adverse events include injection site reactions, headache, fatigue, and infusion-related reactions.</t>
  </si>
  <si>
    <t>Estimated costs can exceed $100,000 per year depending on treatment regimen and management of symptoms.</t>
  </si>
  <si>
    <t>Primarily adults aged 40 to 70 years.</t>
  </si>
  <si>
    <t>More common in males than females, with a ratio of about 1.5:1.</t>
  </si>
  <si>
    <t>Monoclonal antibody (specifically targeting the pathophysiology of ALS).</t>
  </si>
  <si>
    <t>40-70</t>
  </si>
  <si>
    <t>SKYCLARYS 50MG TAB</t>
  </si>
  <si>
    <t>Duchenne Muscular Dystrophy (DMD)</t>
  </si>
  <si>
    <t>Progressive muscle weakness, difficulty walking, muscle cramps, frequent falls, respiratory difficulties, cardiomyopathy</t>
  </si>
  <si>
    <t>Approximately 1 in 3,500 to 5,000 male births in the USA</t>
  </si>
  <si>
    <t>DMD significantly impacts quality of life, leading to loss of independence and requiring assistance for daily activities as the disease progresses</t>
  </si>
  <si>
    <t>Clinical trials suggest that SKYCLARYS (Azinomycin) can slow the progression of DMD in patients with specific genetic mutations</t>
  </si>
  <si>
    <t>Generally well tolerated, with an acceptable safety profile; however, careful monitoring is required</t>
  </si>
  <si>
    <t>Potential adverse events include diarrhea, liver enzyme elevations, and gastrointestinal discomfort</t>
  </si>
  <si>
    <t>Estimated at $300,000 to $400,000 per year</t>
  </si>
  <si>
    <t>Typically used in children and young adults, primarily those starting around age 4 to 12</t>
  </si>
  <si>
    <t>Primarily affects males, with a small number of cases in females due to carrier status</t>
  </si>
  <si>
    <t>Small molecule (exon-skipping therapy)</t>
  </si>
  <si>
    <t>NATURE'S CHOICE A&amp;D OINTMENT</t>
  </si>
  <si>
    <t>Red, inflamed skin, discomfort, pain, itching</t>
  </si>
  <si>
    <t>Approximately 10% of infants experience diaper rash at any given time in the USA</t>
  </si>
  <si>
    <t>Moderate - can cause discomfort and affect daily activities, particularly in infants and caregivers</t>
  </si>
  <si>
    <t>Generally effective for treating minor skin irritations and preventing diaper rash</t>
  </si>
  <si>
    <t>Generally considered safe for topical use; few contraindications</t>
  </si>
  <si>
    <t>Rare, but may include increased irritation or allergic reaction</t>
  </si>
  <si>
    <t>Approximately $30 to $50 for a tube of ointment, depending on frequency of use</t>
  </si>
  <si>
    <t>Primarily infants and young children, but can be used by all ages</t>
  </si>
  <si>
    <t>Both genders equally affected</t>
  </si>
  <si>
    <t>Topical ointment (over-the-counter)</t>
  </si>
  <si>
    <t>BOTOX 100UNIT/VIAL INJ</t>
  </si>
  <si>
    <t>Chronic migraines (headaches lasting 15 or more days per month), muscle stiffness, involuntary eyelid spasms, excessive sweating</t>
  </si>
  <si>
    <t>Approximately 12% of the U.S. population (for migraines), varies for other conditions</t>
  </si>
  <si>
    <t>Can significantly improve quality of life for individuals suffering from chronic migraines and muscle disorders by reducing symptoms and preventing headache occurrences</t>
  </si>
  <si>
    <t>About 50% reduction in headache days is commonly reported among chronic migraine patients receiving Botox</t>
  </si>
  <si>
    <t>Generally well-tolerated; serious reactions are rare; long-term safety data is limited but suggests a favorable risk profile</t>
  </si>
  <si>
    <t>Common adverse events include pain at the injection site, muscular weakness, headache, and flu-like symptoms</t>
  </si>
  <si>
    <t>Approximately $1,000 to $2,000, depending on the number of injections and treatment frequency</t>
  </si>
  <si>
    <t>Typically approved for adults (18 years and older), though some conditions may affect children</t>
  </si>
  <si>
    <t>More common in women, particularly for chronic migraines</t>
  </si>
  <si>
    <t>Protein-based therapy (neurotoxin)</t>
  </si>
  <si>
    <t>OZURDEX 0.7MG INTRAVITREAL IMPLANT</t>
  </si>
  <si>
    <t>Uveitis</t>
  </si>
  <si>
    <t>Blurred or distorted vision, decreased visual acuity, and in some cases, pain or discomfort in the eye.</t>
  </si>
  <si>
    <t>Approximately 0.4% for retinal vein occlusion in the population, with macular edema being a common sequel.</t>
  </si>
  <si>
    <t>Patients often report a significant improvement in quality of life after treatment due to better visual function.</t>
  </si>
  <si>
    <t>Clinical trials show efficacy rates of approximately 30-50% improvement in visual acuity from baseline at 12 months.</t>
  </si>
  <si>
    <t>Generally considered safe; however, its safety profile includes risks commonly associated with intravitreal injections.</t>
  </si>
  <si>
    <t>Potential adverse events include eye pain, increased intraocular pressure, cataract formation, and endophthalmitis, with incidence rates around 1-5%.</t>
  </si>
  <si>
    <t>Annual therapy costs can range from $10,000 to $30,000 depending on frequency of administration and insurance coverage.</t>
  </si>
  <si>
    <t>Primarily adults aged 50 and older but can also be used in younger populations depending on the condition.</t>
  </si>
  <si>
    <t>Equally affects both genders but may show variations based on underlying risk factors.</t>
  </si>
  <si>
    <t>Intravitreal implant (sustained-release formulation) delivering corticosteroid.</t>
  </si>
  <si>
    <t>BOTOX 200UNIT/VIAL INJ</t>
  </si>
  <si>
    <t>Chronic migraine – intense headaches lasting hours to days; Cervical dystonia – neck muscle contractions causing abnormal head positions; Blepharospasm – involuntary eyelid twitching; Spasticity – muscle stiffness; Hyperhidrosis – excessive sweating; Cosmetic wrinkles – fine lines and severe frown lines.</t>
  </si>
  <si>
    <t>Chronic migraine – approximately 12% of the population; cervical dystonia – approximately 0.5% of the population; blepharospasm – around 1 in 20,000; spasticity – varies based on underlying condition; hyperhidrosis - about 3% of the population; cosmetic indications – very common in adults.</t>
  </si>
  <si>
    <t>Chronic migraine and cervical dystonia can significantly reduce quality of life due to pain and functional limitations; improvements in symptoms through treatment can enhance daily functioning and overall well-being.</t>
  </si>
  <si>
    <t>Average efficacy for chronic migraine – approximately 50% reduction in headache days; for cervical dystonia – effective in 75% of patients; varying for other conditions.</t>
  </si>
  <si>
    <t>Generally considered safe when administered by a qualified professional; risk of complications increases with improper usage.</t>
  </si>
  <si>
    <t>Common adverse events include injection site pain, headache, neck pain, and transient muscle weakness; rare events may include dysphagia or respiratory issues.</t>
  </si>
  <si>
    <t>Estimated $1,500 to $3,000, depending on frequency of injections and specific condition being treated.</t>
  </si>
  <si>
    <t>Typically used in adults; cosmetic use is primarily in adults aged 18-65.</t>
  </si>
  <si>
    <t>More common in females, especially for chronic migraine and cosmetic usage; cervical dystonia has a more even gender distribution.</t>
  </si>
  <si>
    <t>Neurotoxin (Botulinum toxin type A), classified as a biologic agent.</t>
  </si>
  <si>
    <t>CRINONE 8% GEL,VAG, APPLICATOR</t>
  </si>
  <si>
    <t>Irregular menstrual cycles, difficulty conceiving, hormonal imbalances, and symptoms of progesterone deficiency such as mood swings, fatigue, and breast tenderness.</t>
  </si>
  <si>
    <t>Approximately 10-15% of couples in the United States experience fertility issues, leading to a prevalence of female infertility affecting around 6-7.5 million women.</t>
  </si>
  <si>
    <t>Female infertility and associated treatments can significantly impact quality of life, leading to emotional distress, anxiety, and relationship strain. Patients undergoing ART often report higher anxiety and depression scores compared to the general population.</t>
  </si>
  <si>
    <t>The efficacy of CRINONE 8% Gel for luteal phase support is generally strong, with studies showing improved pregnancy rates when progesterone supplementation is utilized in ART cycles.</t>
  </si>
  <si>
    <t>CRINONE is considered safe for use; however, it should be used under medical supervision. Risks of side effects are low with proper usage.</t>
  </si>
  <si>
    <t>Common adverse events may include localized irritation, breast tenderness, headache, and gastrointestinal symptoms. Serious adverse events are rare.</t>
  </si>
  <si>
    <t>Annual costs for CRINONE and associated therapies can range from $1,500 to $5,000 depending on insurance coverage and specific treatment regimens.</t>
  </si>
  <si>
    <t>Primarily used in women of reproductive age (20-40 years) seeking fertility treatment.</t>
  </si>
  <si>
    <t>Female.</t>
  </si>
  <si>
    <t>Progesterone gel (hormonal therapy).</t>
  </si>
  <si>
    <t>VUITY 1.25% SOLN,OPH</t>
  </si>
  <si>
    <t>Presbyopia</t>
  </si>
  <si>
    <t>Difficulty focusing on close objects, eyestrain, blurred vision at normal reading distance</t>
  </si>
  <si>
    <t>Approximately 128 million individuals (ages 40 and older) in the USA</t>
  </si>
  <si>
    <t>Significant impact due to difficulties in reading, using smartphones, and engaging in hobbies; can lead to decreased life satisfaction</t>
  </si>
  <si>
    <t>Clinical studies indicate around 75% of patients experience improved near vision without compromising distance vision</t>
  </si>
  <si>
    <t>Generally considered safe; has been associated with transient effects</t>
  </si>
  <si>
    <t>Common adverse events include instillation site pain, headache, and erythema in the eye; serious adverse events are rare</t>
  </si>
  <si>
    <t>Approximately $1,200 - $2,400 (cost may vary based on insurance and usage frequency)</t>
  </si>
  <si>
    <t>Primarily adults aged 40 and older</t>
  </si>
  <si>
    <t>Affects all genders equally</t>
  </si>
  <si>
    <t>Ophthalmic solution (specifically a miotic agent)</t>
  </si>
  <si>
    <t>SAVELLA 4 WEEK TITRATION PACK</t>
  </si>
  <si>
    <t>Fibromyalgia</t>
  </si>
  <si>
    <t>Widespread musculoskeletal pain, fatigue, sleep disturbances, cognitive difficulties, and tender points.</t>
  </si>
  <si>
    <t>Approximately 2% of the adult population in the USA, predominantly affecting women.</t>
  </si>
  <si>
    <t>Fibromyalgia significantly reduces quality of life, often affecting daily activities, mental health, and social interactions.</t>
  </si>
  <si>
    <t>Studies suggest SAVELLA (milnacipran) can reduce pain and improve function in approximately 30% to 50% of patients.</t>
  </si>
  <si>
    <t>Generally well tolerated; common side effects include nausea, constipation, headache, dry mouth, and increased blood pressure.</t>
  </si>
  <si>
    <t>Serious adverse events are rare but can include suicidal thoughts, seizures, and liver enzyme abnormalities.</t>
  </si>
  <si>
    <t>Estimated around $8,000 to $10,000 depending on insurance coverage and specific pharmacy costs.</t>
  </si>
  <si>
    <t>Adults, typically ages 18 to 65.</t>
  </si>
  <si>
    <t>Predominantly affects women, with a female to male ratio of approximately 7:1.</t>
  </si>
  <si>
    <t>Small molecule (specifically a serotonin-norepinephrine reuptake inhibitor, SNRI).</t>
  </si>
  <si>
    <t>SAVELLA 100MG TAB</t>
  </si>
  <si>
    <t>Chronic widespread pain, fatigue, sleep disturbances, cognitive difficulties (often referred to as "fibro fog"), stiffness, and tenderness in specific areas of the body.</t>
  </si>
  <si>
    <t>Approximately 2% of the adult population in the USA.</t>
  </si>
  <si>
    <t>Significantly reduced due to persistent pain, fatigue, and treatment side effects.</t>
  </si>
  <si>
    <t>Effective in reducing pain and improving functionality: studies show 30-40% of patients experience significant symptom relief.</t>
  </si>
  <si>
    <t>Generally well-tolerated; caution advised for patients with heart conditions or heavy alcohol use.</t>
  </si>
  <si>
    <t>Commonly reported adverse events include nausea, dizziness, headache, dry mouth, constipation, and increased sweating.</t>
  </si>
  <si>
    <t>Approximately $2,500.to $4,500, depending on the patient’s insurance and out-of-pocket costs.</t>
  </si>
  <si>
    <t>Primarily adults aged 30-60 years, but can occur in younger or older individuals.</t>
  </si>
  <si>
    <t>More common in females than males, with a ratio of approximately 7:1.</t>
  </si>
  <si>
    <t>Small molecule (specifically, a serotonin-norepinephrine reuptake inhibitor).</t>
  </si>
  <si>
    <t>SAVELLA 12.5MG TAB</t>
  </si>
  <si>
    <t>Widespread musculoskeletal pain, fatigue, sleep disturbances, cognitive difficulties (often referred to as "fibro fog"), and tender points.</t>
  </si>
  <si>
    <t>Approximately 2% of the U.S. population is affected by fibromyalgia.</t>
  </si>
  <si>
    <t>Patients with fibromyalgia often experience significant reductions in quality of life, impacting physical and mental well-being.</t>
  </si>
  <si>
    <t>Clinical trials indicate that Savelna (milnacipran) can lead to significant reductions in pain and improvements in function in approximately 30-40% of patients.</t>
  </si>
  <si>
    <t>Generally well-tolerated; risks include increased blood pressure and potential for serotonin syndrome in combination with other serotonergic agents.</t>
  </si>
  <si>
    <t>Common adverse events include nausea, headache, constipation, dry mouth, and increased sweating.</t>
  </si>
  <si>
    <t>Estimated annual costs range from $5,000 to $10,000 depending on insurance coverage and additional therapies required.</t>
  </si>
  <si>
    <t>Primarily adults aged 18-65, although it may be prescribed for older adults.</t>
  </si>
  <si>
    <t>More common in women, with a ratio of approximately 7:1 compared to men.</t>
  </si>
  <si>
    <t>Small molecules (specifically a serotonin-norepinephrine reuptake inhibitor - SNRI).</t>
  </si>
  <si>
    <t>SAVELLA 25MG TAB</t>
  </si>
  <si>
    <t>Chronic widespread pain, fatigue, sleep disturbances, cognitive difficulties, and tenderness in specific areas.</t>
  </si>
  <si>
    <t>Approximately 2% of the adult population in the USA, with a higher prevalence in women.</t>
  </si>
  <si>
    <t>Significantly impacted; patients often report reduced physical function and increased fatigue, leading to difficulties in daily activities.</t>
  </si>
  <si>
    <t>Studies suggest that SAVELLA (milnacipran) can reduce pain and improve function in fibromyalgia patients, with clinical trials showing efficacy rates of around 40-50%.</t>
  </si>
  <si>
    <t>Generally well-tolerated; however, it is important to monitor for side effects, especially in patients with existing cardiovascular conditions.</t>
  </si>
  <si>
    <t>Common adverse events include nausea, constipation, headache, dizziness, and increased sweating. Serious events are rare but can include severe hypertension or serotonin syndrome when combined with other serotonergic drugs.</t>
  </si>
  <si>
    <t>Estimated around $5,000 to $10,000 depending on insurance coverage and duration of treatment.</t>
  </si>
  <si>
    <t>Primarily adults, often between ages 30-60.</t>
  </si>
  <si>
    <t>More prevalent in females, with women making up about 80% of patients diagnosed with fibromyalgia.</t>
  </si>
  <si>
    <t>Small molecule (specifically a serotonin-norepinephrine reuptake inhibitor, or SNRI).</t>
  </si>
  <si>
    <t>SAVELLA 50MG TAB</t>
  </si>
  <si>
    <t>Widespread pain, fatigue, sleep disturbances, cognitive difficulties (often referred to as "fibro fog"), and tenderness in specific areas of the body.</t>
  </si>
  <si>
    <t>Approximately 2-4% of the adult population in the USA, with women affected more than men, often reported around 7% in women.</t>
  </si>
  <si>
    <t>Patients with fibromyalgia may experience a reduced quality of life due to chronic pain and associated symptoms, affecting daily activities, work, and social interactions.</t>
  </si>
  <si>
    <t>Clinical studies indicate that SAVELLA (milnacipran) can reduce fibromyalgia symptoms, with efficacy rates around 30-50% in significant symptom relief in treated patients.</t>
  </si>
  <si>
    <t>SAVELLA is generally deemed safe, but requires monitoring due to potential side effects and contraindications, especially in patients with certain pre-existing conditions.</t>
  </si>
  <si>
    <t>Common adverse events include nausea, constipation, dizziness, insomnia, and increased sweating. Serious adverse events, although rare, may include suicidal thoughts or serotonin syndrome.</t>
  </si>
  <si>
    <t>The cost of treatment with SAVELLA can range from $5,000 to $10,000 annually, depending on insurance coverage and pharmacy pricing.</t>
  </si>
  <si>
    <t>Approved for adults, typically prescribed for patients aged 18 years and older.</t>
  </si>
  <si>
    <t>More commonly diagnosed and treated in women, but can affect both genders.</t>
  </si>
  <si>
    <t>Monoclonal antibodies. Note: SAVELLA is classified as a serotonin-norepinephrine reuptake inhibitor (SNRI), not a monoclonal antibody.</t>
  </si>
  <si>
    <t>LEXAPRO 5MG TABLETS</t>
  </si>
  <si>
    <t>Persistent sadness, loss of interest or pleasure in activities, changes in appetite and sleep, fatigue, feelings of worthlessness or guilt, difficulty concentrating (for MDD); excessive worry, restlessness, fatigue, irritability, and difficulty concentrating (for GAD)</t>
  </si>
  <si>
    <t>Approximately 7.1% of adults in the USA have experienced MDD in a given year; GAD affects about 3.1% of adults annually</t>
  </si>
  <si>
    <t>Significant improvement in overall functioning and social interactions is often observed; however, untreated conditions can severely impair quality of life</t>
  </si>
  <si>
    <t>Effective in reducing depressive and anxiety symptoms, with response rates in clinical trials ranging around 50-60%</t>
  </si>
  <si>
    <t>Generally considered safe; has a favorable safety profile compared to other antidepressants</t>
  </si>
  <si>
    <t>Common side effects include nausea, insomnia, sexual dysfunction, fatigue, and increased sweating; serious but rare events include serotonin syndrome and suicidal thoughts</t>
  </si>
  <si>
    <t>Approximately $1,200 to $2,400 depending on the dosage and insurance coverage</t>
  </si>
  <si>
    <t>Approved for use in adults and adolescents aged 12 and older</t>
  </si>
  <si>
    <t>More commonly prescribed to females, though it is indicated for all genders</t>
  </si>
  <si>
    <t>Selective Serotonin Reuptake Inhibitor (SSRI)</t>
  </si>
  <si>
    <t>LEXAPRO 10MG TABLETS</t>
  </si>
  <si>
    <t>Persistent sadness, loss of interest in activities, changes in appetite or weight, difficulty sleeping or excessive sleeping, fatigue, feelings of worthlessness or guilt, difficulty concentrating, anxiety, restlessness, and irritability.</t>
  </si>
  <si>
    <t>Approximately 7% of adults in the USA experience MDD annually; GAD affects about 3% of adults annually.</t>
  </si>
  <si>
    <t>Treatment with Lexapro can significantly improve quality of life by alleviating depressive and anxiety symptoms, enhancing social and occupational functioning.</t>
  </si>
  <si>
    <t>Efficacy rates for relieving depressive symptoms are approximately 60-70%, with significant improvements noted in clinical trials.</t>
  </si>
  <si>
    <t>Considered generally safe for use; monitors for signs of worsening symptoms or suicidal thoughts, especially in younger populations.</t>
  </si>
  <si>
    <t>Common adverse events include nausea, insomnia, fatigue, dry mouth, increased sweating, and sexual dysfunction.</t>
  </si>
  <si>
    <t>Approximately $1,200 to $3,600, depending on insurance coverage and duration of therapy.</t>
  </si>
  <si>
    <t>Approved for adults and adolescents aged 12 years and older.</t>
  </si>
  <si>
    <t>Affects both genders; however, depression is more commonly diagnosed in women (approximately 2:1 ratio).</t>
  </si>
  <si>
    <t>Selective Serotonin Reuptake Inhibitor (SSRI).</t>
  </si>
  <si>
    <t>LEXAPRO 20MG TABLETS</t>
  </si>
  <si>
    <t>Symptoms of MDD include persistent sadness, loss of interest in activities, fatigue, changes in sleep and appetite, difficulty concentrating, feelings of worthlessness or guilt, and suicidal thoughts. Symptoms of GAD include excessive worry, restlessness, fatigue, difficulty concentrating, irritability, muscle tension, and sleep disturbances.</t>
  </si>
  <si>
    <t>Approximately 7.1% of adults in the USA experience MDD in a given year, while GAD affects about 3.1% of adults annually.</t>
  </si>
  <si>
    <t>Treatment with Lexapro can significantly improve quality of life by reducing depressive and anxiety symptoms, enhancing daily functioning and emotional well-being.</t>
  </si>
  <si>
    <t>Lexapro has been shown to be effective in reducing symptoms of depression and anxiety, with response rates in clinical studies ranging from 40% to 70%.</t>
  </si>
  <si>
    <t>Lexapro is generally considered safe when used as prescribed, although monitoring for side effects is essential.</t>
  </si>
  <si>
    <t>Common adverse events include nausea, fatigue, sleep disturbances, dry mouth, increased sweating, and sexual dysfunction. Severe side effects can include serotonin syndrome and increased risk of bleeding, though these are rare.</t>
  </si>
  <si>
    <t>The annual therapy cost for Lexapro in the USA can range from $600 to $1,200, depending on insurance coverage and whether the patient is using a generic versus brand-name version.</t>
  </si>
  <si>
    <t>Lexapro is approved for use in adults, but it is also prescribed for adolescents aged 12-17 years for MDD.</t>
  </si>
  <si>
    <t>Depression and anxiety disorders are more prevalent in females, with women being about twice as likely to experience MDD compared to men.</t>
  </si>
  <si>
    <t>Lexapro is a selective serotonin reuptake inhibitor (SSRI), classified as a small molecule drug.</t>
  </si>
  <si>
    <t>SAPHRIS 10MG</t>
  </si>
  <si>
    <t>Hallucinations, delusions, disorganized thinking, mood swings, depression, and agitation</t>
  </si>
  <si>
    <t>Approximately 1% of the population for schizophrenia; bipolar disorder affects about 2.8% of adults in the USA</t>
  </si>
  <si>
    <t>Significant impact on quality of life; symptoms can lead to social isolation, impaired functioning, and decreased overall well-being</t>
  </si>
  <si>
    <t>SAPHRIS has shown efficacy in reducing symptoms of schizophrenia and bipolar mania, with response rates in studies typically around 50-60%</t>
  </si>
  <si>
    <t>Generally well-tolerated, but requires monitoring for metabolic changes; not recommended for use in elderly patients with dementia-related psychosis</t>
  </si>
  <si>
    <t>Common adverse events include sedation, weight gain, increased cholesterol levels, and extrapyramidal symptoms; less common but serious events may include agranulocytosis</t>
  </si>
  <si>
    <t>Approximately $14,000 to $18,000 depending on insurance coverage and pharmacy pricing</t>
  </si>
  <si>
    <t>Approved for adults (18 years and older), but can also be prescribed for adolescents (10 years and older) in some cases</t>
  </si>
  <si>
    <t>Affects both genders, though schizophrenia shows slightly higher prevalence in males compared to females; bipolar disorder has similar prevalence rates across genders</t>
  </si>
  <si>
    <t>Atypical antipsychotic (small molecules)</t>
  </si>
  <si>
    <t>RECTIV 0.4% OINTMENT</t>
  </si>
  <si>
    <t>Anal Fissures</t>
  </si>
  <si>
    <t>Severe pain during bowel movements, bleeding from the rectum, itching around the anal area.</t>
  </si>
  <si>
    <t>Approximately 1 in 200 individuals experience anal fissures in the USA annually.</t>
  </si>
  <si>
    <t>Can significantly impair quality of life due to pain and discomfort, leading to avoidance of bowel movements.</t>
  </si>
  <si>
    <t>Approximately 50-70% success rate in healing fissures with proper treatment.</t>
  </si>
  <si>
    <t>Generally well tolerated; considered safe for topical application.</t>
  </si>
  <si>
    <t>Possible local irritation, burning, or itching at the site of application.</t>
  </si>
  <si>
    <t>Estimated between $200 to $500 depending on insurance coverage and frequency of usage.</t>
  </si>
  <si>
    <t>Primarily affects adults, but can occur in children.</t>
  </si>
  <si>
    <t>Affects both males and females equally, although may be more common in women postpartum.</t>
  </si>
  <si>
    <t>Topical ointment (local analgesic), specifically a compound that includes lidocaine.</t>
  </si>
  <si>
    <t>VRAYLAR 1.5MG CAPSULE</t>
  </si>
  <si>
    <t>For Bipolar I Disorder, symptoms include episodes of mania, hypomania, and depression. For Schizophrenia, symptoms include delusions, hallucinations, disorganized thinking, and negative symptoms such as flat affect and social withdrawal.</t>
  </si>
  <si>
    <t>Bipolar I Disorder affects approximately 2.8% of adults in the USA. Schizophrenia affects about 1.1% of the population.</t>
  </si>
  <si>
    <t>Individuals with Bipolar I Disorder and Schizophrenia often experience a significant impairment in quality of life, affecting personal, social, and occupational functioning.</t>
  </si>
  <si>
    <t>Clinical studies show VRAYLAR is effective in reducing manic and depressive symptoms in Bipolar I Disorder and reducing the severity of psychotic symptoms in Schizophrenia, with efficacy rates around 50-70% depending on the condition and assessed symptoms.</t>
  </si>
  <si>
    <t>Generally considered safe for use; however, it should be used with caution in patients with a history of seizures, cardiovascular disease, or metabolic issues.</t>
  </si>
  <si>
    <t>Common adverse events include nausea, sedation, akathisia, insomnia, and weight gain. Serious effects can include extrapyramidal symptoms and tardive dyskinesia.</t>
  </si>
  <si>
    <t>On average, annual therapy costs range between $7,000 to $14,000 depending on insurance coverage and pharmaceutical assistance programs.</t>
  </si>
  <si>
    <t>Approved for use in adults and adolescents aged 13 years and older for Bipolar I Disorder; safety and efficacy have not been established for children under 13.</t>
  </si>
  <si>
    <t>Prescriptions are given to both males and females, with a slight female predominance for Bipolar Disorder and male predominance for Schizophrenia in the USA.</t>
  </si>
  <si>
    <t>Atypical antipsychotic (small molecule).</t>
  </si>
  <si>
    <t>VRAYLAR 3MG CAPSULE</t>
  </si>
  <si>
    <t>Hallucinations, delusions, disorganized thinking, mood instability, and depressive episodes</t>
  </si>
  <si>
    <t>Approximately 1% for schizophrenia and about 2.6% for bipolar disorder in the USA</t>
  </si>
  <si>
    <t>Patients often experience significant improvement in their quality of life with appropriate treatment, but residual symptoms can still affect daily functioning.</t>
  </si>
  <si>
    <t>Efficacy rates for improving schizophrenia symptoms range from 60-80%, and for bipolar mania, approximately 50-70% of patients show improvement</t>
  </si>
  <si>
    <t>Generally well-tolerated but monitoring for metabolic effects and extrapyramidal symptoms is essential</t>
  </si>
  <si>
    <t>Common adverse events include sedation, weight gain, restlessness, and akathisia; serious events can include diabetes and tardive dyskinesia</t>
  </si>
  <si>
    <t>Estimated at $8,000 to $14,000 per year, depending on insurance coverage and other treatments required</t>
  </si>
  <si>
    <t>Approved for adults (18+) and some pediatric populations with caution</t>
  </si>
  <si>
    <t>No significant gender differences in response or side effect profiles reported</t>
  </si>
  <si>
    <t>Atypical antipsychotic (small molecule)</t>
  </si>
  <si>
    <t>VRAYLAR 4.5MG CAPSULE</t>
  </si>
  <si>
    <t>For schizophrenia: hallucinations, delusions, disorganized thinking, emotional blunting. For bipolar disorder: periods of mania/hypomania, depression, irritability.</t>
  </si>
  <si>
    <t>Schizophrenia: approximately 1% of the population; Bipolar Disorder: about 2.8% of the population.</t>
  </si>
  <si>
    <t>In individuals with schizophrenia, the quality of life can be significantly impaired, affecting social and occupational functioning. In bipolar disorder, quality of life varies widely depending on the phase of the illness.</t>
  </si>
  <si>
    <t>Effective for reducing symptoms of schizophrenia and stabilizing mood in bipolar disorder, with 50-70% of patients showing improvement in controlled studies.</t>
  </si>
  <si>
    <t>Generally safe with appropriate monitoring; however, caution is advised in patients with specific comorbidities.</t>
  </si>
  <si>
    <t>Common adverse events include weight gain, sedation, akathisia, and metabolic changes. Serious events may involve extrapyramidal symptoms, tardive dyskinesia, and cardiovascular issues.</t>
  </si>
  <si>
    <t>Approximately $6,000 - $12,000 depending on health insurance and pharmacy benefits.</t>
  </si>
  <si>
    <t>Typically approved for adults (ages 18 and older); pediatric use is evaluated case-by-case.</t>
  </si>
  <si>
    <t>No gender preference; used across all genders, but prevalence and presentation may differ slightly between males and females.</t>
  </si>
  <si>
    <t>ZYPREXA 2.5MG TAB</t>
  </si>
  <si>
    <t>Symptoms of schizophrenia include hallucinations, delusions, disorganized thinking, and negative symptoms such as lack of motivation. Symptoms of bipolar disorder include mood swings ranging from depressive lows to manic highs, changes in energy levels, and altered sleep patterns.</t>
  </si>
  <si>
    <t>Schizophrenia affects approximately 1% of the U.S. population; bipolar disorder affects about 2.8% of adults in the U.S.</t>
  </si>
  <si>
    <t>Quality of life can be significantly impaired in individuals with schizophrenia and bipolar disorder, often affecting daily functioning, relationships, and employment.</t>
  </si>
  <si>
    <t>Zyprexa (olanzapine) is effective in reducing the severity of symptoms in both schizophrenia and bipolar disorder, with reductions seen in over 70% of patients in clinical trials.</t>
  </si>
  <si>
    <t>Generally well-tolerated, but there are risks of side effects which require monitoring.</t>
  </si>
  <si>
    <t>Common adverse events include weight gain, drowsiness, metabolic syndrome, and increased cholesterol and triglycerides. Serious risks involve tardive dyskinesia, neuroleptic malignant syndrome, and elevated blood sugar.</t>
  </si>
  <si>
    <t>Approximately $8,000 to $12,000 per year, depending on dosages and insurance coverage.</t>
  </si>
  <si>
    <t>Primarily prescribed to adults aged 18 years and older, but may also be used in adolescents (age 13-17) with careful monitoring.</t>
  </si>
  <si>
    <t>Prescribed to both genders; prevalence differs slightly with males more commonly affected in schizophrenia.</t>
  </si>
  <si>
    <t>ZYPREXA 10MG TAB</t>
  </si>
  <si>
    <t>Delusions, hallucinations, disorganized thinking, mood swings, changes in sleep patterns, and emotional instability.</t>
  </si>
  <si>
    <t>Approximately 1% for schizophrenia, 1-2% for bipolar disorder in the USA.</t>
  </si>
  <si>
    <t>Can significantly improve functionality, social interactions, and overall well-being but may have varying effects based on individual responses.</t>
  </si>
  <si>
    <t>Generally effective in reducing symptoms of schizophrenia and stabilizing mood in bipolar disorder, with response rates of 60-80% in studies.</t>
  </si>
  <si>
    <t>Zyprexa is considered to have a well-established safety profile, but risks of weight gain and metabolic syndrome should be monitored.</t>
  </si>
  <si>
    <t>Common adverse events include weight gain, sedation, dizziness, dry mouth, and less commonly, extrapyramidal symptoms (EPS).</t>
  </si>
  <si>
    <t>Approximately $5,000 to $7,000 annually for a typical regimen without insurance; costs may vary based on insurance coverage.</t>
  </si>
  <si>
    <t>Typically prescribed for adults, but may also be used in adolescents (13-17 years) with caution.</t>
  </si>
  <si>
    <t>Generally prescribed equally across genders, though some studies indicate women may experience different side effects or disease symptoms.</t>
  </si>
  <si>
    <t>ZYPREXA ZYDIS 10MG TAB</t>
  </si>
  <si>
    <t>Hallucinations, delusions, disorganized thinking, mood swings, depression, anxiety, and irritability</t>
  </si>
  <si>
    <t>Approximately 1% for schizophrenia and 1-3% for bipolar disorder in the USA</t>
  </si>
  <si>
    <t>Can be significantly improved with effective treatment; many patients report better functioning and stability in daily life</t>
  </si>
  <si>
    <t>Efficacy in managing symptoms of schizophrenia and bipolar disorder is seen in approximately 80% of patients</t>
  </si>
  <si>
    <t>Generally well-tolerated; risks include metabolic syndrome, weight gain, and increased cholesterol levels</t>
  </si>
  <si>
    <t>Common adverse events include sedation, weight gain, dry mouth, and extrapyramidal symptoms</t>
  </si>
  <si>
    <t>Approximately $6,000 to $10,000, depending on insurance and additional therapy needed</t>
  </si>
  <si>
    <t>Primarily adults (18-65 years), but can be prescribed to adolescents (13-17 years) for bipolar disorder</t>
  </si>
  <si>
    <t>No significant gender differences in prevalence, but may vary in response to treatment</t>
  </si>
  <si>
    <t>ZYPREXA ZYDIS 20MG TAB</t>
  </si>
  <si>
    <t>Hallucinations, delusions, disorganized thinking, mood swings, and depressive episodes</t>
  </si>
  <si>
    <t>Approximately 1% for schizophrenia and 2.6% for bipolar disorder in the USA</t>
  </si>
  <si>
    <t>Schizophrenia and bipolar disorder significantly affect quality of life; many individuals experience difficulties with social interactions, workplace performance, and daily functioning.</t>
  </si>
  <si>
    <t>Zyprexa (olanzapine) has demonstrated efficacy in reducing symptoms of schizophrenia and stabilizing mood in bipolar disorder, with symptom improvement reported in about 60-80% of patients</t>
  </si>
  <si>
    <t>Generally considered safe but can cause significant metabolic side effects; close monitoring required</t>
  </si>
  <si>
    <t>Common adverse events include weight gain, drowsiness, increased cholesterol and blood sugar levels, dry mouth, and extrapyramidal symptoms</t>
  </si>
  <si>
    <t>Estimated at $4,200 - $7,200 depending on dosage and insurance coverage</t>
  </si>
  <si>
    <t>Approved for adults and children aged 13 years and older</t>
  </si>
  <si>
    <t>Both genders are affected, with no significant gender bias in prevalence</t>
  </si>
  <si>
    <t>GIAPREZA 2.5MG/ML INJ,VIL,1ML</t>
  </si>
  <si>
    <t>Septic Shock</t>
  </si>
  <si>
    <t>Low blood pressure, rapid heart rate, confusion, fever, shortness of breath, decreased urine output</t>
  </si>
  <si>
    <t>Approximately 1-3 cases per 1,000 hospital admissions in the USA</t>
  </si>
  <si>
    <t>Quality of life can be significantly impacted due to organ dysfunction and long-term sequelae associated with septic shock</t>
  </si>
  <si>
    <t>GIAPREZA has been shown to improve blood pressure in patients with septic or neurogenic shock, with certain studies indicating a significant increase in mean arterial pressure</t>
  </si>
  <si>
    <t>Generally considered safe; however, blood pressure should be closely monitored during administration</t>
  </si>
  <si>
    <t>Hypotension, elevated blood pressure, tachycardia, and arrhythmias are noted adverse events</t>
  </si>
  <si>
    <t>Approximately $150,000 to $200,000, depending on the duration of therapy and patient management needs in acute care settings</t>
  </si>
  <si>
    <t>Primarily adults, but can be used in pediatric populations with careful monitoring</t>
  </si>
  <si>
    <t>No gender preference; affects both males and females equally</t>
  </si>
  <si>
    <t>Small molecule (angiotensin II infusion)</t>
  </si>
  <si>
    <t>ALLER CHLOR/CPM 4MG TAB</t>
  </si>
  <si>
    <t>Allergic Rhinitis (Hay Fever)</t>
  </si>
  <si>
    <t>Sneezing, runny or stuffy nose, itchy eyes, throat, or nose, postnasal drip, coughing, fatigue, difficulty concentrating.</t>
  </si>
  <si>
    <t>Approximately 19.1 million adults and 5.2 million children in the USA (about 7.7% of the adult population and 6.1% of children).</t>
  </si>
  <si>
    <t>Allergic rhinitis can significantly impact daily activities, sleep quality, and overall quality of life.</t>
  </si>
  <si>
    <t>Generally effective in reducing allergy symptoms; clinical studies show significant improvement in symptoms when treated with antihistamines like chlorpheniramine.</t>
  </si>
  <si>
    <t>Considered safe when used as directed; however, caution is advised for certain populations.</t>
  </si>
  <si>
    <t>Drowsiness, dry mouth, dizziness, constipation, blurred vision, urinary retention.</t>
  </si>
  <si>
    <t>Approximately $100 to $300, depending on the treatment regimen and healthcare provider visits.</t>
  </si>
  <si>
    <t>Generally safe for adults and children over 2 years of age; caution in very young children.</t>
  </si>
  <si>
    <t>Both genders are affected equally by allergic rhinitis, although some studies indicate women may report symptoms more frequently.</t>
  </si>
  <si>
    <t>Small molecules (antihistamine).</t>
  </si>
  <si>
    <t>PETROLATUM 42% SKIN PROTECTING OINT,TOP</t>
  </si>
  <si>
    <t>Redness, itching, peeling, cracking, and scaling of the skin</t>
  </si>
  <si>
    <t>Approximately 20% of the general population experiences some form of dermatitis in their lifetime</t>
  </si>
  <si>
    <t>Can significantly affect quality of life due to discomfort and potential for secondary infections</t>
  </si>
  <si>
    <t>Generally effective for protecting and moisturizing the skin; provides a barrier against irritants</t>
  </si>
  <si>
    <t>Considered safe for topical use; minimal systemic absorption</t>
  </si>
  <si>
    <t>Rarely causes irritation or allergic reactions; may lead to localized contact dermatitis in sensitive individuals</t>
  </si>
  <si>
    <t>Approximately $200 to $600, depending on frequency of use</t>
  </si>
  <si>
    <t>All ages, but particularly common in infants and older adults</t>
  </si>
  <si>
    <t>No significant gender predisposition; affects all genders equally</t>
  </si>
  <si>
    <t>Topical ointment, skin protectant</t>
  </si>
  <si>
    <t>ACETAMINOPHEN 500MG/PHENYLEPHRINE 5MG TAB</t>
  </si>
  <si>
    <t>Headache, nasal congestion, sinus pressure, fever, body aches, sore throat</t>
  </si>
  <si>
    <t>Approximately 10% of adults experience a cold each year, with seasonal allergies affecting around 19 million adults in the USA.</t>
  </si>
  <si>
    <t>The common cold and allergic rhinitis can significantly impact daily activities, work performance, and overall well-being, particularly when symptoms are severe.</t>
  </si>
  <si>
    <t>Acetaminophen is effective for reducing pain and fever, while phenylephrine is effective for relieving nasal congestion; collective efficacy rated at about 70%.</t>
  </si>
  <si>
    <t>Generally considered safe when used as directed, but caution should be exercised in patients with liver issues (acetaminophen) or hypertension (phenylephrine).</t>
  </si>
  <si>
    <t>Possible adverse events include liver damage (acetaminophen overdose), elevated blood pressure, and nausea. Overall incidences are low.</t>
  </si>
  <si>
    <t>Average cost is approximately $100-200 depending on formulation and insurance coverage.</t>
  </si>
  <si>
    <t>Approved for use in adults and children over 12 years old.</t>
  </si>
  <si>
    <t>Equal prevalence among genders for colds; allergic rhinitis may slightly favor females.</t>
  </si>
  <si>
    <t>Combination therapy (analgesic/antipyretic and decongestant).</t>
  </si>
  <si>
    <t>MECLIZINE HCL CHEW 25MG TAB</t>
  </si>
  <si>
    <t>Motion Sickness</t>
  </si>
  <si>
    <t>Dizziness, Nausea, Vomiting, Loss of Balance</t>
  </si>
  <si>
    <t>Approximately 20-30% of individuals may experience motion sickness at some point; vertigo affects about 35% of adults in their lifetime.</t>
  </si>
  <si>
    <t>Can significantly degrade quality of life due to impacts on daily activities, travel, and social interactions.</t>
  </si>
  <si>
    <t>Generally effective in reducing symptoms of motion sickness and vertigo with a reported efficacy of about 70% in preventing motion sickness.</t>
  </si>
  <si>
    <t>Considered safe when used as directed. Side effects are typically mild.</t>
  </si>
  <si>
    <t>Drowsiness, Dry mouth, Fatigue, Blurred vision, Headache</t>
  </si>
  <si>
    <t>Approximately $100 to $300 depending on dosage and frequency of use.</t>
  </si>
  <si>
    <t>Safe for adults and adolescents, occasionally used in children over 12 years old.</t>
  </si>
  <si>
    <t>No gender-specific prevalence; affects both men and women equally.</t>
  </si>
  <si>
    <t>Antihistamine (small molecule)</t>
  </si>
  <si>
    <t>DEEP SEA NASAL SPRAY</t>
  </si>
  <si>
    <t>Nasal Congestion</t>
  </si>
  <si>
    <t>Sneezing, nasal itching, rhinorrhea (runny nose), nasal congestion, postnasal drip.</t>
  </si>
  <si>
    <t>Approximately 19.3 million adults (7.7% of the US population) have allergic rhinitis in the USA.</t>
  </si>
  <si>
    <t>Allergic rhinitis can significantly impair quality of life, affecting daily activities, sleep, and overall well-being.</t>
  </si>
  <si>
    <t>Generally effective for alleviating symptoms; studies suggest improvement in symptom severity.</t>
  </si>
  <si>
    <t>Considered safe for most users when used as directed; minimal systemic absorption.</t>
  </si>
  <si>
    <t>Rarely causes nasal irritation, nosebleeds, or headache; typically mild and self-limiting.</t>
  </si>
  <si>
    <t>Approximately $200 to $500, depending on usage frequency and insurance coverage.</t>
  </si>
  <si>
    <t>All age groups; commonly used in adults and adolescents.</t>
  </si>
  <si>
    <t>Both genders; however, prevalence may vary slightly with higher prevalence in females during adolescence.</t>
  </si>
  <si>
    <t>Nasal saline solution / Non-pharmacological therapy.</t>
  </si>
  <si>
    <t>MAGNESIUM OXIDE 500MG TAB</t>
  </si>
  <si>
    <t>Hypomagnesemia</t>
  </si>
  <si>
    <t>Muscle cramps, weakness, fatigue, irregular heart rhythms, nausea, vomiting, mental disturbances</t>
  </si>
  <si>
    <t>Approximately 2% in the general population; higher in those with gastrointestinal diseases and certain chronic conditions</t>
  </si>
  <si>
    <t>Low to moderate impact, as hypomagnesemia can lead to fatigue and other debilitating symptoms</t>
  </si>
  <si>
    <t>Generally effective in replenishing magnesium levels; specific efficacy varies based on underlying cause of deficiency</t>
  </si>
  <si>
    <t>Well-tolerated in most individuals; excessive amounts can lead to hypermagnesemia, especially in those with kidney impairment</t>
  </si>
  <si>
    <t>Diarrhea, nausea, abdominal cramping, dizziness (more common with high doses)</t>
  </si>
  <si>
    <t>Approximately $50 - $150 (depending on dosage and frequency)</t>
  </si>
  <si>
    <t>All age groups; specific at-risk populations include older adults and those with chronic illnesses</t>
  </si>
  <si>
    <t>No specific gender bias; effects are seen in all genders equally</t>
  </si>
  <si>
    <t>Small molecule (mineral supplement)</t>
  </si>
  <si>
    <t>TIROSINT 0.2MG CAP</t>
  </si>
  <si>
    <t>Fatigue, weight gain, cold intolerance, dry skin, hair loss, constipation, depression, muscle weakness, joint pain, slow heart rate</t>
  </si>
  <si>
    <t>Approximately 4.6% of the U.S. population</t>
  </si>
  <si>
    <t>Generally improved with treatment; many patients experience significant alleviation of symptoms, leading to a better quality of life</t>
  </si>
  <si>
    <t>80-90% of patients demonstrate significant improvement in symptoms with proper dosing</t>
  </si>
  <si>
    <t>Generally well-tolerated; safe for use in most populations</t>
  </si>
  <si>
    <t>Common adverse events may include palpitations, insomnia, anxiety, and weight loss (less than 10% of patients)</t>
  </si>
  <si>
    <t>Approximately $500 - $1,000 depending on dosing and insurance coverage</t>
  </si>
  <si>
    <t>All age groups, with higher prevalence in adults over 60</t>
  </si>
  <si>
    <t>More common in females (women are 5-8 times more likely than men to develop hypothyroidism)</t>
  </si>
  <si>
    <t>Small molecule (synthetic thyroid hormone, levothyroxine)</t>
  </si>
  <si>
    <t>LACTASE REG STR CAPLETS</t>
  </si>
  <si>
    <t>Lactose Intolerance</t>
  </si>
  <si>
    <t>Bloating, diarrhea, gas, cramping, nausea, abdominal pain</t>
  </si>
  <si>
    <t>Approximately 30-50 million people in the USA (about 15-20% of the population) experience lactose intolerance</t>
  </si>
  <si>
    <t>Generally low-quality life impacts due to dietary restrictions and discomfort; however, symptoms can be managed with dietary adjustments and lactase supplements</t>
  </si>
  <si>
    <t>High; lactase supplements significantly improve digestion of lactose in affected individuals</t>
  </si>
  <si>
    <t>Generally considered safe with minimal side effects when used as directed</t>
  </si>
  <si>
    <t>Rare; may include gastrointestinal discomfort in some individuals if taken in excessive amounts</t>
  </si>
  <si>
    <t>Approximately $100-$300 depending on the dosage and frequency of use</t>
  </si>
  <si>
    <t>All age groups; more common in adolescents and adults</t>
  </si>
  <si>
    <t>Enzymatic supplement (small molecules)</t>
  </si>
  <si>
    <t>SUDOGEST COLD &amp; ALLERGY TAB BOXED</t>
  </si>
  <si>
    <t>Sneezing, runny or stuffy nose, itchy eyes, throat irritation, cough, headache, body aches, fever</t>
  </si>
  <si>
    <t>Allergic rhinitis affects approximately 19.1 million adults in the USA, while the common cold has an estimated annual prevalence of 1 billion cases.</t>
  </si>
  <si>
    <t>Significant impact on daily activities, productivity, and overall well-being; can lead to decreased quality of life during symptomatic periods.</t>
  </si>
  <si>
    <t>Generally effective for symptom relief; studies show efficacy rates around 70-80% for relief of nasal symptoms.</t>
  </si>
  <si>
    <t>Generally considered safe for most populations when used as directed; however, caution is advised in patients with certain comorbid conditions.</t>
  </si>
  <si>
    <t>Possible adverse events include drowsiness, dizziness, dry mouth, increased heart rate, and gastrointestinal disturbances.</t>
  </si>
  <si>
    <t>Estimated annual cost varies greatly based on insurance coverage and choice of products; averages around $150-$300 for over-the-counter treatments.</t>
  </si>
  <si>
    <t>Approved for use in adults and children over the age of 6.</t>
  </si>
  <si>
    <t>No specific gender prevalence; both males and females are affected equally.</t>
  </si>
  <si>
    <t>Combination therapy including antihistamines (e.g., diphenhydramine) and decongestants (e.g., pseudoephedrine).</t>
  </si>
  <si>
    <t>BANOPHEN ANTI-ITCH 2% CREAM</t>
  </si>
  <si>
    <t>Itching, redness, inflammation, irritation of the skin</t>
  </si>
  <si>
    <t>Approximately 10-15% of the population experiences dermatitis at some point in their lives</t>
  </si>
  <si>
    <t>Can significantly impact daily activities and comfort, especially if itching is severe</t>
  </si>
  <si>
    <t>Generally effective for relief of itching and associated symptoms; improvement noted in many patients</t>
  </si>
  <si>
    <t>Considered safe for topical use when applied as directed; minimal systemic absorption</t>
  </si>
  <si>
    <t>Possible local irritation, burning sensation, allergic reactions; rare systemic effects</t>
  </si>
  <si>
    <t>Approximately $50-100 (depending on usage and pharmacy)</t>
  </si>
  <si>
    <t>All ages; used commonly in adults and children</t>
  </si>
  <si>
    <t>Both genders, with no specific gender preference in usage</t>
  </si>
  <si>
    <t>Topical antihistamine (cream formulation)</t>
  </si>
  <si>
    <t>PAROXETINE HCL 20MG TAB,UD</t>
  </si>
  <si>
    <t>Persistent sadness, loss of interest in activities, fatigue, difficulty concentrating, anxiety, restlessness, and irritability.</t>
  </si>
  <si>
    <t>Approximately 7.1% for MDD and 3.1% for GAD in the USA annually.</t>
  </si>
  <si>
    <t>Paroxetine can improve quality of life by reducing symptoms of depression and anxiety, leading to better functioning in daily activities.</t>
  </si>
  <si>
    <t>Efficacy ranges around 60-70% for achieving a significant reduction in depression or anxiety symptoms.</t>
  </si>
  <si>
    <t>Generally considered safe; however, it carries some risk of side effects and potential withdrawal symptoms if discontinuation is abrupt.</t>
  </si>
  <si>
    <t>Common adverse events include nausea, dry mouth, drowsiness, dizziness, insomnia, and sexual dysfunction. Serious adverse events are rare but can occur.</t>
  </si>
  <si>
    <t>Approximate annual costs can range from $600 to $1200 depending on insurance coverage and pharmacy pricing.</t>
  </si>
  <si>
    <t>Adults (18-65 years old) - though it may be prescribed for adolescents and older adults in certain situations.</t>
  </si>
  <si>
    <t>More commonly prescribed to females, though used in both sexes.</t>
  </si>
  <si>
    <t>Small molecule antidepressant (selective serotonin reuptake inhibitor, SSRI).</t>
  </si>
  <si>
    <t>MAPAP COLD FORMULA TABS BOXED</t>
  </si>
  <si>
    <t>Cough, sore throat, nasal congestion, runny nose, headache, sneezing, mild fever, fatigue</t>
  </si>
  <si>
    <t>Approximately 90% of adults will experience at least one cold per year in the USA</t>
  </si>
  <si>
    <t>Mild to moderate impact; typically self-limiting, but can affect daily activities and work</t>
  </si>
  <si>
    <t>Generally effective in relieving symptoms; ingredients typically include acetaminophen, antihistamines, and decongestants</t>
  </si>
  <si>
    <t>Generally safe when used as directed; caution in those with liver disease (due to acetaminophen) and in combination with certain medications</t>
  </si>
  <si>
    <t>Possible side effects include drowsiness, dizziness, dry mouth, gastrointestinal upset, and allergic reactions</t>
  </si>
  <si>
    <t>Approximately $30 - $50 (cost varies based on specific product and usage)</t>
  </si>
  <si>
    <t>Approved for adults and children over 12 years old; use in younger children should be based on specific product formulations</t>
  </si>
  <si>
    <t>Both genders; no significant gender differences in prevalence or response</t>
  </si>
  <si>
    <t>Combination product (analgesic, antihistamine, decongestant)</t>
  </si>
  <si>
    <t>LACTASE 9000UNT TAB</t>
  </si>
  <si>
    <t>Bloating, diarrhea, gas, abdominal cramps, nausea</t>
  </si>
  <si>
    <t>Approximately 30-50% of the population in the USA experience some form of lactose intolerance</t>
  </si>
  <si>
    <t>Can be significantly affected due to dietary restrictions and discomfort; many individuals manage well with dietary adjustments and lactase supplementation</t>
  </si>
  <si>
    <t>High efficacy for symptom relief in individuals with lactose intolerance when taken as directed (up to 95% relief from symptoms for lactose digestion)</t>
  </si>
  <si>
    <t>Rarely includes gastrointestinal upset or allergic reactions</t>
  </si>
  <si>
    <t>Approximately $100-$300 depending on usage and brand</t>
  </si>
  <si>
    <t>All age groups, though symptoms often present in children and adults</t>
  </si>
  <si>
    <t>Affects both genders equally, but women may report symptoms more frequently</t>
  </si>
  <si>
    <t>Enzyme replacement therapy (small molecules)</t>
  </si>
  <si>
    <t>LORAZEPAM 1MG TAB</t>
  </si>
  <si>
    <t>Anxiety, agitation, sleep disturbances, seizures, muscle spasms, panic attacks</t>
  </si>
  <si>
    <t>Approximately 18.1% of adults in the USA experience anxiety disorders, with insomnia affecting around 30% of the population at some point in their lives</t>
  </si>
  <si>
    <t>Treating conditions like anxiety can significantly enhance quality of life, improving daily functioning and social interaction</t>
  </si>
  <si>
    <t>Lorazepam is effective in rapidly alleviating anxiety and insomnia symptoms, with onset of action typically within 30 minutes</t>
  </si>
  <si>
    <t>Generally considered safe for short-term use; caution is advised for long-term use due to potential for dependence</t>
  </si>
  <si>
    <t>Common side effects include sedation, dizziness, weakness, unsteadiness, and potential for cognitive impairment; risk of withdrawal symptoms with abrupt cessation</t>
  </si>
  <si>
    <t>Estimated around $200 - $500 depending on dosage and insurance coverage</t>
  </si>
  <si>
    <t>Approved for use in adults; cautious use in elderly populations due to increased sensitivity and risk of falls</t>
  </si>
  <si>
    <t>No significant gender predisposition; however, prevalence of anxiety disorders may be higher in females</t>
  </si>
  <si>
    <t>Small molecule (benzodiazepine)</t>
  </si>
  <si>
    <t>LORAZEPAM 2MG TAB</t>
  </si>
  <si>
    <t>Excessive worry, nervousness, restlessness, sleep disturbances, seizures</t>
  </si>
  <si>
    <t>Approximately 19% of adults in the U.S. experience anxiety disorders at some time in their lives.</t>
  </si>
  <si>
    <t>Significantly improved with effective treatment; however, untreated conditions lead to lower quality of life and dysfunction.</t>
  </si>
  <si>
    <t>Lorazepam is effective for short-term relief of anxiety symptoms, generally showing rapid onset of action.</t>
  </si>
  <si>
    <t>Generally safe when used as prescribed; risk of dependence and withdrawal symptoms when used long term.</t>
  </si>
  <si>
    <t>Sedation, dizziness, weakness, and in rare cases, paradoxical reactions (increased anxiety/agitation).</t>
  </si>
  <si>
    <t>Approximately $600 - $1,200 depending on frequency of use and insurance coverage.</t>
  </si>
  <si>
    <t>Typically prescribed for adults, but it can also be used cautiously in older adults.</t>
  </si>
  <si>
    <t>Affects both genders; however, anxiety disorders may be more prevalent in females.</t>
  </si>
  <si>
    <t>Small molecule, benzodiazepine.</t>
  </si>
  <si>
    <t>HYDROXYZINE HCL 25MG TAB,UD</t>
  </si>
  <si>
    <t>Anxiety, itching, hives, nausea, difficulty sleeping</t>
  </si>
  <si>
    <t>Approximately 31.1% of adults in the U.S. experience anxiety disorders at some point in their lives; allergies and sleep disorders also have high prevalence rates.</t>
  </si>
  <si>
    <t>Anxiety and sleep disorders can significantly affect quality of life, leading to issues in social interactions, work, and overall well-being.</t>
  </si>
  <si>
    <t>Hydroxyzine is effective for short-term relief of anxiety symptoms, with clinical trials indicating efficacy rates of around 60-80% for anxiety reduction in the short term.</t>
  </si>
  <si>
    <t>Generally considered safe when used as prescribed; however, careful monitoring is essential for older adults and those with certain medical conditions.</t>
  </si>
  <si>
    <t>Common side effects include drowsiness, dry mouth, dizziness, and headache; serious side effects are rare but can include confusion and allergic reactions.</t>
  </si>
  <si>
    <t>Average annual costs for hydroxyzine treatment can range from $200 to $300, depending on prescription coverage and the frequency of use.</t>
  </si>
  <si>
    <t>Primarily prescribed for adults, but can be used in children under medical supervision.</t>
  </si>
  <si>
    <t>No significant gender differences in drug efficacy or side effects; however, women may be more likely to be prescribed anti-anxiety medications.</t>
  </si>
  <si>
    <t>Small molecule antihistamine (anxiolytic and antiemetic properties).</t>
  </si>
  <si>
    <t>HYDROXYZINE HCL 50MG TAB,UD</t>
  </si>
  <si>
    <t>Anxiety, tension, restlessness, itching, hives, sneezing, watery eyes</t>
  </si>
  <si>
    <t>Anxiety disorders affect approximately 19% of adults in the USA; allergic rhinitis affects about 10-30% of the population</t>
  </si>
  <si>
    <t>Can significantly improve quality of life by reducing anxiety and allergic symptoms</t>
  </si>
  <si>
    <t>Effective for short-term management of anxiety and allergic reactions; clinical studies suggest approximately 75% efficacy in reducing anxiety symptoms</t>
  </si>
  <si>
    <t>Generally considered safe when used as prescribed; however, caution is advised in patients with certain medical conditions</t>
  </si>
  <si>
    <t>Common adverse events include sedation, dry mouth, dizziness, and fatigue</t>
  </si>
  <si>
    <t>Approximately $100 to $300 depending on insurance coverage and frequency of prescriptions</t>
  </si>
  <si>
    <t>Approved for use in adults and children (specifically 6 years and older)</t>
  </si>
  <si>
    <t>Used equally among genders, but some studies indicate higher prevalence in females for anxiety disorders</t>
  </si>
  <si>
    <t>Small molecule; antihistamine and anxiolytic agent</t>
  </si>
  <si>
    <t>GUAIFENESIN 600MG TAB,SA UD</t>
  </si>
  <si>
    <t>Chronic Bronchitis</t>
  </si>
  <si>
    <t>Coughing, chest congestion, difficulty breathing due to mucus buildup</t>
  </si>
  <si>
    <t>Approximately 10-12% of the U.S. adult population experiences chronic bronchitis at some point in their lives</t>
  </si>
  <si>
    <t>The quality of life can be significantly impacted by chronic cough and respiratory distress, leading to limitations in daily activities and sleep disturbances</t>
  </si>
  <si>
    <t>Guaifenesin is considered effective in loosening mucus and improving expectoration, but individual results may vary</t>
  </si>
  <si>
    <t>Generally well-tolerated; deemed safe for most patients when used as directed</t>
  </si>
  <si>
    <t>Common adverse events include nausea, vomiting, dizziness, and headache; very rare cases of severe allergic reactions</t>
  </si>
  <si>
    <t>Approximate costs for over-the-counter guaifenesin products range from $10 to $100 per year, depending on dosage and brand</t>
  </si>
  <si>
    <t>Suitable for all age groups but should be used cautiously in children under 2 years old</t>
  </si>
  <si>
    <t>No significant gender differences in efficacy or safety noted</t>
  </si>
  <si>
    <t>Small molecule expectorant</t>
  </si>
  <si>
    <t>SUDOGEST 60MG TAB</t>
  </si>
  <si>
    <t>Nasal congestion, sneezing, runny or itchy nose, postnasal drip</t>
  </si>
  <si>
    <t>Approximately 10%-30% of the population in the USA, affecting millions of adults and children</t>
  </si>
  <si>
    <t>Significant impact; symptoms can lead to decreased productivity, sleep disruption, and overall impaired quality of life</t>
  </si>
  <si>
    <t>Generally effective; studies indicate relief of symptoms in 70%-80% of participants depending on the specific patient population and formulation used</t>
  </si>
  <si>
    <t>Considered safe when used as directed; however, caution is advised for individuals with certain pre-existing conditions</t>
  </si>
  <si>
    <t>Common adverse events include drowsiness, dizziness, headache, dry mouth, and gastrointestinal disturbances</t>
  </si>
  <si>
    <t>Approximately $200-$400 depending on insurance coverage and frequency of use</t>
  </si>
  <si>
    <t>Adults and children (typically approved for ages 12 and older)</t>
  </si>
  <si>
    <t>No significant difference; affects all genders equally</t>
  </si>
  <si>
    <t>Small molecules (typically an antihistamine/decongestant combination)</t>
  </si>
  <si>
    <t>SUDOGEST 60MG TABS BOXED</t>
  </si>
  <si>
    <t>Sneezing, runny or itchy nose, nasal congestion, red or watery eyes, postnasal drip, pressure in the sinuses, headache</t>
  </si>
  <si>
    <t>Approximately 20% of the US population suffers from allergic rhinitis annually</t>
  </si>
  <si>
    <t>Moderate to severe impact on quality of life, affecting daily activities, sleep, and performance at work or school</t>
  </si>
  <si>
    <t>Efficacious in relieving symptoms of nasal congestion and allergy symptoms, with many patients experiencing significant improvement</t>
  </si>
  <si>
    <t>Generally well-tolerated; safety profile includes common adverse effects with low incidence of serious events</t>
  </si>
  <si>
    <t>Drowsiness, dry mouth, dizziness, nausea, headaches</t>
  </si>
  <si>
    <t>Approximately $200-$300 depending on insurance coverage and availability of generic options</t>
  </si>
  <si>
    <t>Adults and children over the age of 12</t>
  </si>
  <si>
    <t>Both genders are affected equally</t>
  </si>
  <si>
    <t>Small molecules (antihistamine and decongestant combination)</t>
  </si>
  <si>
    <t>MODAFINIL 100MG TAB</t>
  </si>
  <si>
    <t>Excessive daytime sleepiness, sudden sleep attacks, disrupted sleep cycles, difficulty concentrating</t>
  </si>
  <si>
    <t>Approximately 1 in 2,000 people in the U.S. for narcolepsy; obstructive sleep apnea affects about 18 million adults; shift work sleep disorder prevalence varies among shift workers, estimated at around 10%</t>
  </si>
  <si>
    <t>Modafinil improves alertness and cognitive function, significantly enhancing quality of life for individuals with excessive daytime sleepiness</t>
  </si>
  <si>
    <t>Modafinil is effective for reducing excessive daytime sleepiness in narcolepsy (stated improvement of about 50-70% in symptoms) and for those with obstructive sleep apnea and shift work sleep disorder</t>
  </si>
  <si>
    <t>Generally well tolerated; long-term safety profile is acceptable with careful monitoring</t>
  </si>
  <si>
    <t>Common adverse events include headache (8-12%), nausea, anxiety, insomnia, dizziness; serious events such as skin rash (possible SJS) are rare</t>
  </si>
  <si>
    <t>Estimated at $1,000 - $2,000 without insurance (cost may vary widely based on insurance coverage)</t>
  </si>
  <si>
    <t>Primarily adults aged 18-65</t>
  </si>
  <si>
    <t>No significant gender bias, though some studies indicate higher prevalence in males for obstructive sleep apnea</t>
  </si>
  <si>
    <t>Stimulant (CNS stimulant)</t>
  </si>
  <si>
    <t>MODAFINIL 200MG TAB</t>
  </si>
  <si>
    <t>Excessive daytime sleepiness, sudden sleep attacks, difficulty concentrating, fatigue, disrupted sleep patterns</t>
  </si>
  <si>
    <t>Approximately 0.02% to 0.05% for narcolepsy; OSA prevalence is around 4% to 5% in adults; Shift Work Disorder affects about 10% of those working non-traditional hours</t>
  </si>
  <si>
    <t>Can significantly improve daily functioning, productivity, and ability to perform tasks; restoration of normal sleep patterns can lead to enhanced quality of life</t>
  </si>
  <si>
    <t>60% to 80% of patients report improvement in wakefulness and reduction in sleepiness symptoms</t>
  </si>
  <si>
    <t>Generally considered safe; long-term use (&gt;12 months) should be monitored for potential cardiovascular effects</t>
  </si>
  <si>
    <t>Headache (20%), nausea (10%), anxiety (7%), insomnia (5%), dizziness (4%)</t>
  </si>
  <si>
    <t>Approximately $1,500 to $2,500 depending on insurance coverage and frequency of prescription</t>
  </si>
  <si>
    <t>Primarily adults (18-65 years), can be prescribed to adolescents based on specific indications</t>
  </si>
  <si>
    <t>Affects both genders; narcolepsy and sleep apnea prevalence can slightly favor males</t>
  </si>
  <si>
    <t>Small molecules (specifically a wakefulness-promoting agent)</t>
  </si>
  <si>
    <t>LOPERAMIDE  ORAL SUSP</t>
  </si>
  <si>
    <t>Diarrhea</t>
  </si>
  <si>
    <t>Increased frequency of bowel movements, loose or watery stools, abdominal cramps, urgency to defecate.</t>
  </si>
  <si>
    <t>Approximately 5% of the U.S. population experiences acute diarrhea annually.</t>
  </si>
  <si>
    <t>Can significantly impact daily activities, work attendance, and overall well-being when symptoms are present.</t>
  </si>
  <si>
    <t>Loperamide is highly effective for symptomatic relief of diarrhea, with studies showing an improvement in stool frequency in most patients.</t>
  </si>
  <si>
    <t>Generally well-tolerated; concerns exist with excessive use leading to serious complications.</t>
  </si>
  <si>
    <t>Constipation, abdominal pain, dizziness, fatigue; rare cases of toxic megacolon.</t>
  </si>
  <si>
    <t>Approximately $15 to $25 for over-the-counter formulations for a typical therapy course.</t>
  </si>
  <si>
    <t>Approved for use in adults and children over 6 years; not recommended for children under 6 years without medical supervision.</t>
  </si>
  <si>
    <t>Small molecule.</t>
  </si>
  <si>
    <t>LORATADINE 10MG TAB</t>
  </si>
  <si>
    <t>Sneezing, runny or itchy nose, itchy or watery eyes, postnasal drip, hives, and itching</t>
  </si>
  <si>
    <t>Approximately 10-30% of adults in the USA experience allergic rhinitis, while chronic urticaria affects about 1% of the population</t>
  </si>
  <si>
    <t>Can significantly impair quality of life, affecting daily activities and sleep; effective management improves well-being</t>
  </si>
  <si>
    <t>Studies show Loratadine is effective in reducing symptoms of allergic rhinitis and chronic urticaria, with efficacy rates around 50-70% for symptom relief</t>
  </si>
  <si>
    <t>Generally considered safe with a favorable profile; low incidence of sedation compared to first-generation antihistamines</t>
  </si>
  <si>
    <t>Common adverse events include headache, fatigue, dry mouth, and dizziness; serious adverse effects are rare</t>
  </si>
  <si>
    <t>Approximately $150-$300, depending on insurance coverage and dosage</t>
  </si>
  <si>
    <t>Generally approved for use in adults and children aged 2 years and older</t>
  </si>
  <si>
    <t>Effectiveness and usage are comparable across genders</t>
  </si>
  <si>
    <t>Second-generation antihistamine (small molecule)</t>
  </si>
  <si>
    <t>PSEUDOEPHEDRINE HCL 30MG TAB UD</t>
  </si>
  <si>
    <t>Stuffy or blocked nose, sinus pressure, runny nose, post-nasal drip, sneezing</t>
  </si>
  <si>
    <t>Approximately 20% of the US population experiences nasal congestion at least once per year</t>
  </si>
  <si>
    <t>Can significantly impact daily activities, sleep quality, and overall well-being when symptoms are severe</t>
  </si>
  <si>
    <t>Generally effective for temporary relief of nasal congestion (70-80% effective in reducing symptoms)</t>
  </si>
  <si>
    <t>Considered safe for short-term use; long-term safety data is limited due to potential for misuse</t>
  </si>
  <si>
    <t>Commonly reported events include insomnia, nervousness, restlessness, and increased heart rate; serious adverse events are rare</t>
  </si>
  <si>
    <t>Approximately $100 - $200, depending on dosage and frequency of use</t>
  </si>
  <si>
    <t>Commonly used in all age groups, but specific caution is advised for children under 12 and individuals over 65</t>
  </si>
  <si>
    <t>Equally effective in both genders</t>
  </si>
  <si>
    <t>Small molecules (oral decongestant)</t>
  </si>
  <si>
    <t>CALCIUM ACETATE 667MG (CA 169MG) CAP</t>
  </si>
  <si>
    <t>Elevated phosphate levels in the blood, which may lead to itchy skin, bone pain, and joint pain.</t>
  </si>
  <si>
    <t>Approximately 5% of the general population, with higher rates among patients with chronic kidney disease (CKD).</t>
  </si>
  <si>
    <t>Reduced quality of life due to associated symptoms and complications from CKD and hyperphosphatemia.</t>
  </si>
  <si>
    <t>Effective in reducing serum phosphate levels; studies show a reduction of phosphate levels by approximately 30-40% in treated patients.</t>
  </si>
  <si>
    <t>Generally well-tolerated; considered safe when used as directed.</t>
  </si>
  <si>
    <t>Common adverse events include gastrointestinal issues such as nausea, vomiting, constipation, and diarrhea. Rarely, hypercalcemia can occur.</t>
  </si>
  <si>
    <t>Approximately $240-$600 per year depending on dosing and frequency of use.</t>
  </si>
  <si>
    <t>Primarily used in adults, particularly those over 50 years old with chronic kidney disease.</t>
  </si>
  <si>
    <t>No significant gender preference; however, prevalence may slightly vary based on underlying conditions common in men and women.</t>
  </si>
  <si>
    <t>Small molecule (calcium-based phosphate binder).</t>
  </si>
  <si>
    <t>ARIPIPRAZOLE 5MG TAB,UD</t>
  </si>
  <si>
    <t>Schizophrenia symptoms include hallucinations, delusions, disorganized thinking, and emotional blunting. Bipolar disorder symptoms include mood swings, manic episodes, and depressive episodes.</t>
  </si>
  <si>
    <t>Approximately 1% for schizophrenia and about 2.8% for bipolar disorder in the USA.</t>
  </si>
  <si>
    <t>Quality of life can be significantly impaired due to social dysfunction and challenges in managing daily activities, especially in severe cases.</t>
  </si>
  <si>
    <t>Effective in reducing symptoms of schizophrenia and stabilizing mood in bipolar disorder, with response rates of approximately 50-70%.</t>
  </si>
  <si>
    <t>Generally well-tolerated with a favorable safety profile; however, individual responses may vary.</t>
  </si>
  <si>
    <t>Common adverse events include nausea, dizziness, insomnia, akathisia, and weight gain.</t>
  </si>
  <si>
    <t>Approximately $6,000 to $12,000 depending on insurance coverage and out-of-pocket expenses.</t>
  </si>
  <si>
    <t>Approved for use in adolescents (13 years and older) and adults.</t>
  </si>
  <si>
    <t>Both genders are equally affected by schizophrenia and bipolar disorder.</t>
  </si>
  <si>
    <t>Atypical antipsychotic (small molecules).</t>
  </si>
  <si>
    <t>HYDROXYZINE HCL 10MG TAB</t>
  </si>
  <si>
    <t>Anxiety, tension, allergic reactions (such as itching, hives), sleep disturbances</t>
  </si>
  <si>
    <t>Approximately 31.1% of adults will experience an anxiety disorder at some point in their lives in the USA; allergic conditions affect about 20% of the population</t>
  </si>
  <si>
    <t>Can be significant; effective management of anxiety and allergic symptoms can improve overall wellbeing and functioning</t>
  </si>
  <si>
    <t>Generally effective for short-term management of anxiety symptoms and as an antihistamine, with a response rate of around 70%</t>
  </si>
  <si>
    <t>Generally considered safe for short-term use; monitored closely in long-term use; caution in the elderly due to sedative effects</t>
  </si>
  <si>
    <t>Drowsiness, dry mouth, dizziness, headache, fatigue, gastrointestinal disturbances</t>
  </si>
  <si>
    <t>Approximately $300-$600 depending on insurance coverage and frequency of prescriptions</t>
  </si>
  <si>
    <t>Approved for use in adults and children, but particularly common in adults (age 18-65)</t>
  </si>
  <si>
    <t>Affecting both genders, though women may be more likely to experience anxiety disorders</t>
  </si>
  <si>
    <t>Small molecule, antihistamine and anxiolytic agent</t>
  </si>
  <si>
    <t>HYDROXYZINE HCL 25MG TAB</t>
  </si>
  <si>
    <t>Anxiety, itching, allergic reactions like rashes, nausea, and preoperative sedation.</t>
  </si>
  <si>
    <t>Approximately 31.1% of adults in the USA experience anxiety disorders at some point in their lives. Allergic rhinitis affects about 19.1 million adults annually.</t>
  </si>
  <si>
    <t>May significantly improve quality of life by reducing anxiety and allergies, but sedative effects can impact daily functioning temporarily.</t>
  </si>
  <si>
    <t>Effective in reducing anxiety symptoms and allergy-related discomfort, with reported efficacy rates around 70-80% in clinical settings for anxiety.</t>
  </si>
  <si>
    <t>Generally considered safe with a well-established safety profile for short-term use; longer-term use should be monitored.</t>
  </si>
  <si>
    <t>Common adverse events include drowsiness, dry mouth, dizziness, and headache. Serious adverse events are rare.</t>
  </si>
  <si>
    <t>Approximately $120 to $300 per year, depending on dosage and insurance coverage.</t>
  </si>
  <si>
    <t>Approved for use in adults and children; dosage may vary by age group. Not commonly prescribed for young children.</t>
  </si>
  <si>
    <t>No significant gender disparity in usage; however, women are more likely to be diagnosed with anxiety disorders than men.</t>
  </si>
  <si>
    <t>Small molecule antianxiety agent; classified as an antihistamine with sedative properties.</t>
  </si>
  <si>
    <t>HYDROXYZINE HCL 50MG TAB</t>
  </si>
  <si>
    <t>Anxiety, tension, agitation, itching, hives, nausea</t>
  </si>
  <si>
    <t>Approximately 30% of adults experience anxiety disorders at some point in their lifetime in the USA</t>
  </si>
  <si>
    <t>Improved with effective management; untreated anxiety can lead to significant impairment in daily life</t>
  </si>
  <si>
    <t>Efficacy rate of approximately 75% in reducing anxiety symptoms in short-term use</t>
  </si>
  <si>
    <t>Generally considered safe when used as prescribed; avoid in patients with hypersensitivity to hydroxyzine</t>
  </si>
  <si>
    <t>Drowsiness, dry mouth, dizziness, blurred vision, constipation</t>
  </si>
  <si>
    <t>Approximately $200-$300 depending on insurance coverage and frequency of use</t>
  </si>
  <si>
    <t>Adults and children (usually 6 years and older)</t>
  </si>
  <si>
    <t>Both genders, with slightly higher prevalence in females</t>
  </si>
  <si>
    <t>Antihistamine (H1 antagonist)</t>
  </si>
  <si>
    <t>NASAL DECONGESTANT SPRAY 12 HOUR</t>
  </si>
  <si>
    <t>Nasal obstruction, sinus pressure, reduced sense of smell, headaches, ear pressure, difficulty breathing through the nose</t>
  </si>
  <si>
    <t>Approximately 30-35% of the US population experiences nasal congestion due to various causes, such as allergies and colds.</t>
  </si>
  <si>
    <t>Nasal congestion significantly impacts quality of life by causing discomfort, impaired sleep, and reduced ability to perform daily activities.</t>
  </si>
  <si>
    <t>Efficacy is generally high for short-term relief (up to 12 hours of congestion relief).</t>
  </si>
  <si>
    <t>Generally considered safe for short-term use; however, prolonged use can lead to rebound congestion (rhinitis medicamentosa).</t>
  </si>
  <si>
    <t>Common adverse events include nasal irritation, burning sensation, headache, and dry nasal mucosa; rebound congestion is a notable concern with overuse.</t>
  </si>
  <si>
    <t>Approximately $100-$200, depending on frequency of use and specific brand.</t>
  </si>
  <si>
    <t>All ages, but usage may vary significantly among children and adults.</t>
  </si>
  <si>
    <t>Usage is relatively equal among genders, although women may report higher instances of nasal congestion related to hormonal changes.</t>
  </si>
  <si>
    <t>Small molecules (specifically decongestants such as oxymetazoline or phenylephrine).</t>
  </si>
  <si>
    <t>ANTI-DIARRHEAL 2MG CAPLET</t>
  </si>
  <si>
    <t>Frequent loose or watery stools, abdominal cramps, urgency to defecate, dehydration, nausea</t>
  </si>
  <si>
    <t>Approximately 5-10% of the population annually experiences acute diarrhea in the USA.</t>
  </si>
  <si>
    <t>Can significantly impact daily activities, leading to absenteeism from work/school and social isolation during acute bouts.</t>
  </si>
  <si>
    <t>Generally effective in reducing the frequency of stools and relieving symptoms in acute diarrhea; studies show up to 80% reduction in symptom duration.</t>
  </si>
  <si>
    <t>Generally considered safe for short-term use; however, caution in infectious diarrhea is advised.</t>
  </si>
  <si>
    <t>Rarely include constipation, abdominal discomfort, dizziness, and drowsiness; also potential for ileus (intestinal blockage) in misuse.</t>
  </si>
  <si>
    <t>Approximately $20-$50 for over-the-counter products, depending on manufacturer and quantity.</t>
  </si>
  <si>
    <t>Safe for adults and children over the age of 6; specific pediatric formulations are available.</t>
  </si>
  <si>
    <t>No significant gender differences in usage or response.</t>
  </si>
  <si>
    <t>Small molecules (class: antidiarrheal agents).</t>
  </si>
  <si>
    <t>MINERIN CREAM</t>
  </si>
  <si>
    <t>Diabetes Insipidus</t>
  </si>
  <si>
    <t>Excessive thirst and urination (polyuria)</t>
  </si>
  <si>
    <t>Approximately 1 in 25,000 people in the USA</t>
  </si>
  <si>
    <t>Can significantly impact quality of life due to constant need to drink and frequent urination, which may affect daily activities and sleep.</t>
  </si>
  <si>
    <t>Studies show beneficial effects in symptom control for most patients, with efficacy rates around 80% in symptom management.</t>
  </si>
  <si>
    <t>Generally considered safe for most patients; however, ongoing monitoring is required.</t>
  </si>
  <si>
    <t>Commonly reported adverse events include skin irritation at the application site, headache, and nausea.</t>
  </si>
  <si>
    <t>Estimated annual therapy costs range from $500 to $1,200, depending on individual insurance and pharmacy pricing.</t>
  </si>
  <si>
    <t>Approved for use in pediatric (over 1 year) and adult populations.</t>
  </si>
  <si>
    <t>Generally affects males and females equally.</t>
  </si>
  <si>
    <t>Peptide formulation (specifically, a synthetic analogue of arginine vasopressin).</t>
  </si>
  <si>
    <t>MINERIN LOTION</t>
  </si>
  <si>
    <t>Hyperhidrosis</t>
  </si>
  <si>
    <t>Excessive sweating, particularly in areas like the hands, feet, underarms, and face.</t>
  </si>
  <si>
    <t>Approximately 3% of the population in the USA.</t>
  </si>
  <si>
    <t>Can be significantly affected due to social embarrassment, anxiety, and limitations in daily activities.</t>
  </si>
  <si>
    <t>Effective in reducing excessive sweating in approximately 70-90% of users.</t>
  </si>
  <si>
    <t>Generally well-tolerated; side effects are minimal when used as directed.</t>
  </si>
  <si>
    <t>Possible skin irritation, dryness, or allergic reactions at the application site.</t>
  </si>
  <si>
    <t>Ranges from $300 to $600, depending on frequency of use and insurance coverage.</t>
  </si>
  <si>
    <t>Primarily adolescents and adults, typically ages 12 and up.</t>
  </si>
  <si>
    <t>Affects all genders, with some studies suggesting slightly higher prevalence in males.</t>
  </si>
  <si>
    <t>Topical therapy (lotion formulation).</t>
  </si>
  <si>
    <t>ASCORBIC ACID 500MG CAP,SA</t>
  </si>
  <si>
    <t>Scurvy</t>
  </si>
  <si>
    <t>Fatigue, swollen and bleeding gums, joint pain, anemia, skin issues (including rash and bruising), and poor wound healing.</t>
  </si>
  <si>
    <t>Approximately 0.1% of the U.S. population is estimated to be affected by scurvy, with higher prevalence in certain groups, such as those with limited access to fresh fruits and vegetables.</t>
  </si>
  <si>
    <t>Significantly decreased quality of life when symptomatic, but resolves rapidly with proper treatment.</t>
  </si>
  <si>
    <t>High efficacy in alleviating symptoms of scurvy, with improvement typically seen within days of administration.</t>
  </si>
  <si>
    <t>Generally safe with low risk of toxicity; excess in very high doses may cause gastrointestinal disturbances.</t>
  </si>
  <si>
    <t>Rare; potential for diarrhea, nausea, and abdominal cramps in sensitive individuals.</t>
  </si>
  <si>
    <t>Estimated at $30 to $150, depending on the form and supplier of the supplement.</t>
  </si>
  <si>
    <t>All age groups, but especially observed in adults and the elderly who may not have adequate diets.</t>
  </si>
  <si>
    <t>Both genders are equally affected by vitamin C deficiency.</t>
  </si>
  <si>
    <t>Vitamin supplement (nutritional supplement).</t>
  </si>
  <si>
    <t>ZINC GLUCONATE 50MG TAB</t>
  </si>
  <si>
    <t>Nasal congestion, runny nose, sore throat, cough, sneezing, mild headache, fatigue</t>
  </si>
  <si>
    <t>Approximately 1 billion colds occur in the USA annually, affecting all age groups</t>
  </si>
  <si>
    <t>Mild to moderate impact; symptoms can interfere with daily activities but typically resolve within a week</t>
  </si>
  <si>
    <t>Mixed results; some studies suggest zinc may reduce the duration and severity of cold symptoms if taken within 24 hours of onset</t>
  </si>
  <si>
    <t>Generally safe when used appropriately; however, excessive intake may lead to adverse effects</t>
  </si>
  <si>
    <t>Nausea, bad taste in the mouth, diarrhea, and, rarely, loss of smell</t>
  </si>
  <si>
    <t>Typically low; about $10-$15 for a month's supply of zinc gluconate supplements</t>
  </si>
  <si>
    <t>All age groups, commonly used in children and adults</t>
  </si>
  <si>
    <t>No significant gender difference in usage or efficacy</t>
  </si>
  <si>
    <t>Dietary supplement (mineral supplement)</t>
  </si>
  <si>
    <t>PYRUKYND 5MG TAB,28 DAY PACK</t>
  </si>
  <si>
    <t>Pyruvate Kinase Deficiency</t>
  </si>
  <si>
    <t>Fatigue, jaundice, anemia, pale skin, shortness of breath, rapid heart rate, dark urine, enlarged spleen</t>
  </si>
  <si>
    <t>Approximately 1 in 100,000 individuals in the USA; more common in specific ethnic groups (e.g., people of Mediterranean, Middle Eastern, and African descent)</t>
  </si>
  <si>
    <t>Quality of life can be significantly affected by chronic anemia and fatigue; patients may require regular blood transfusions and monitoring, leading to additional impacts on daily life and activities</t>
  </si>
  <si>
    <t>Clinical trials demonstrate a significant increase in hemoglobin levels and a reduction in transfusion requirements for patients with pyruvate kinase deficiency</t>
  </si>
  <si>
    <t>Generally well-tolerated; long-term safety data is still being compiled as it is a newer therapy</t>
  </si>
  <si>
    <t>Most common adverse events include headache, diarrhea, nausea, and fatigue</t>
  </si>
  <si>
    <t>Approximately $100,000 to $200,000, depending on individual patient needs and insurance coverage</t>
  </si>
  <si>
    <t>Primarily adults, but can also be diagnosed in children; ages 18-65 years commonly affected</t>
  </si>
  <si>
    <t>Affects both males and females equally</t>
  </si>
  <si>
    <t>Small molecule (PYRUKYND is specifically a PK activator)</t>
  </si>
  <si>
    <t>PYRUKYND 20MG TAB,28 DAY PACK</t>
  </si>
  <si>
    <t>Fatigue, pallor, jaundice, shortness of breath, dark urine, abdominal pain, gallstones, and spleen enlargement.</t>
  </si>
  <si>
    <t>Estimated prevalence is approximately 1 in 20,000 to 1 in 30,000 individuals in the USA.</t>
  </si>
  <si>
    <t>Moderate to severe impact on quality of life depending on the severity of hemolysis and associated complications.</t>
  </si>
  <si>
    <t>Clinical studies show significant reduction in hemolysis and improved hemoglobin levels in patients treated with Pyrukynd.</t>
  </si>
  <si>
    <t>Generally well tolerated; safety profile shows most patients experience manageable side effects.</t>
  </si>
  <si>
    <t>Common adverse events include headache, diarrhea, and nausea; rare severe events may include hypersensitivity reactions.</t>
  </si>
  <si>
    <t>Approximately $250,000 - $300,000 per year.</t>
  </si>
  <si>
    <t>Primarily adults, but can affect individuals of all ages.</t>
  </si>
  <si>
    <t>Affects both genders equally, with no significant gender predisposition.</t>
  </si>
  <si>
    <t>PYRUKYND 50MG TAB,28 DAY PACK</t>
  </si>
  <si>
    <t>Fatigue, weakness, pallor, jaundice, splenomegaly, and gallstones due to hemolytic anemia.</t>
  </si>
  <si>
    <t>Approximately 1 in 20,000 to 1 in 26,000 individuals in the USA.</t>
  </si>
  <si>
    <t>Patients experience a reduced quality of life due to chronic symptoms, dependence on blood transfusions, and the impact of anemia-related fatigue.</t>
  </si>
  <si>
    <t>30% to 40% reduction in hemolysis and improvement in hemoglobin levels.</t>
  </si>
  <si>
    <t>Generally well-tolerated; safety profile based on clinical trial data.</t>
  </si>
  <si>
    <t>Common adverse events include headache, dizziness, nausea, diarrhea, and increases in bilirubin levels.</t>
  </si>
  <si>
    <t>Estimated at $100,000 to $120,000 annually.</t>
  </si>
  <si>
    <t>Primarily adults (18 years and older) though can be diagnosed in children.</t>
  </si>
  <si>
    <t>No specific gender predominance; affects both males and females.</t>
  </si>
  <si>
    <t>PYRUKYND 5MG TAB,7 DAY TAPER PACK</t>
  </si>
  <si>
    <t>Fatigue, jaundice, shortness of breath, pale skin, dark urine, and delayed growth in children.</t>
  </si>
  <si>
    <t>Approximately 1 in 100,000 individuals in the USA.</t>
  </si>
  <si>
    <t>Patients may experience reduced quality of life due to chronic fatigue and the need for regular medical care and monitoring.</t>
  </si>
  <si>
    <t>Clinical trials have shown significant improvements in hemoglobin levels and reduction in transfusion requirements, with some data indicating efficacy rates of around 30%-50% improvement in hemoglobin.</t>
  </si>
  <si>
    <t>Generally well tolerated, safety profile reported to be favorable compared to older therapies; monitoring still recommended.</t>
  </si>
  <si>
    <t>Common adverse events include headache, diarrhea, gastrointestinal symptoms, and fatigue; serious adverse events are rare.</t>
  </si>
  <si>
    <t>Estimated annual therapy costs range from $150,000 to $200,000 depending on patient needs and treatment duration.</t>
  </si>
  <si>
    <t>Primarily affects adults but may present in children; treatment is suitable for individuals aged 16 and older.</t>
  </si>
  <si>
    <t>Affects both males and females equally.</t>
  </si>
  <si>
    <t>Small molecule therapy.</t>
  </si>
  <si>
    <t>PYRUKYND 20MG/5MG TAB,14 DAY TAPER</t>
  </si>
  <si>
    <t>Fatigue, jaundice, dark urine, pale skin, shortness of breath, increased heart rate, splenomegaly</t>
  </si>
  <si>
    <t>Approximately 1 in 20,000 to 1 in 40,000 in the USA</t>
  </si>
  <si>
    <t>Patients may experience reduced quality of life due to fatigue and the impact of chronic anemia on daily activities.</t>
  </si>
  <si>
    <t>Clinical studies indicate a significant reduction in hemolytic anemia and improvement in hemoglobin levels while on treatment.</t>
  </si>
  <si>
    <t>Generally well-tolerated; however, monitoring for hemolytic rates and liver function is recommended.</t>
  </si>
  <si>
    <t>Common adverse events include headache, fatigue, and nausea; rare adverse events may include hypersensitivity reactions.</t>
  </si>
  <si>
    <t>Estimated at $150,000 to $200,000 annually.</t>
  </si>
  <si>
    <t>Primarily affects adults, but can be diagnosed in children.</t>
  </si>
  <si>
    <t>No significant gender preference; affects all genders equally.</t>
  </si>
  <si>
    <t>Small molecule therapy designed to improve red blood cell survival.</t>
  </si>
  <si>
    <t>ZTLIDO 1.8% PATCH</t>
  </si>
  <si>
    <t>Postherpetic Neuralgia</t>
  </si>
  <si>
    <t>Chronic pain following a herpes zoster (shingles) infection, typically characterized by burning, stabbing, or aching sensations in the affected area.</t>
  </si>
  <si>
    <t>Approximately 1% of the population annually; it is estimated that 10-20% of shingles patients will develop PHN.</t>
  </si>
  <si>
    <t>Significantly decreased due to persistent pain, affecting physical, emotional, and social well-being.</t>
  </si>
  <si>
    <t>Studies show that ZTLIDO can provide significant pain relief for PHN, with positive outcomes for patients using the patch compared to placebo.</t>
  </si>
  <si>
    <t>Generally considered safe for use; however, should be used under medical supervision, particularly in patients with sensitive skin.</t>
  </si>
  <si>
    <t>Common adverse events may include skin reactions at the application site (redness, itching, irritation).</t>
  </si>
  <si>
    <t>Approximately $7,500 - $9,000 depending on the frequency of use and healthcare provider recommendations.</t>
  </si>
  <si>
    <t>Generally indicated for adults and older adults, particularly those over 50 years of age.</t>
  </si>
  <si>
    <t>Affects both genders, but there may be a slightly higher prevalence in females.</t>
  </si>
  <si>
    <t>FDA-approved topical local anesthetic patch (lidocaine patch).</t>
  </si>
  <si>
    <t>TIROSINT 0.15MG CAP</t>
  </si>
  <si>
    <t>Fatigue, weight gain, cold intolerance, dry skin, hair loss, constipation, depression, muscle weakness, and heavy or irregular menstrual periods.</t>
  </si>
  <si>
    <t>Approximately 4.6% of the U.S. population (5% in women and 1% in men).</t>
  </si>
  <si>
    <t>Patients often experience an improvement in quality of life with appropriate treatment, as symptoms can severely impact daily functioning and mental health.</t>
  </si>
  <si>
    <t>Efficacy of LIothyronine (active ingredient in TIROSINT) is shown to normalize thyroid-stimulating hormone (TSH) levels in approximately 90% of treated patients within 6-8 weeks.</t>
  </si>
  <si>
    <t>Generally considered safe when dosed appropriately; however, monitoring for dose-related effects is necessary.</t>
  </si>
  <si>
    <t>Common adverse events include anxiety, insomnia, tachycardia, and weight loss; rare but serious adverse events include cardiac arrhythmias and bone density loss.</t>
  </si>
  <si>
    <t>Approximately $300 - $600 per year, depending on the dosage and insurance coverage.</t>
  </si>
  <si>
    <t>Primarily adults, often diagnosed in middle-aged individuals, but can occur at any age.</t>
  </si>
  <si>
    <t>More common in women, with a female-to-male ratio of approximately 5:1.</t>
  </si>
  <si>
    <t>Small molecule (Levothyroxine).</t>
  </si>
  <si>
    <t>QUTENZA 8%</t>
  </si>
  <si>
    <t>Severe pain following shingles, burning, aching sensations, heightened sensitivity to touch.</t>
  </si>
  <si>
    <t>Affects approximately 10-18% of individuals who have experienced shingles (varicella-zoster virus).</t>
  </si>
  <si>
    <t>Can significantly impact quality of life due to chronic pain, leading to depression and anxiety.</t>
  </si>
  <si>
    <t>Clinical studies show around 30% reduction in pain in patients using QUTENZA compared to placebo.</t>
  </si>
  <si>
    <t>Generally considered safe, with a low incidence of systemic side effects.</t>
  </si>
  <si>
    <t>Common adverse events include localized application site reactions, including pain, erythema, edema, and rash.</t>
  </si>
  <si>
    <t>Estimated between $15,000 to $20,000 per year, depending on frequency of applications and healthcare costs.</t>
  </si>
  <si>
    <t>Primarily adults aged 50 years and older, as they are more likely to suffer from PHN.</t>
  </si>
  <si>
    <t>Affects both genders, but slightly more prevalent in females.</t>
  </si>
  <si>
    <t>Topical analgesic; capsicum-derived therapy.</t>
  </si>
  <si>
    <t>HYDROCORTISONE 2.5% CREAM,RTL W/APPLICATOR</t>
  </si>
  <si>
    <t>Redness, itching, swelling, irritation, dry or scaly skin</t>
  </si>
  <si>
    <t>Approximately 10-20% of the population in the USA experiences some form of dermatitis or eczema in their lifetime, with eczema affecting about 3% of adults and 20% of children</t>
  </si>
  <si>
    <t>Moderate to high impact; can substantially affect daily activities, emotional well-being, and social interactions due to visible symptoms and discomfort</t>
  </si>
  <si>
    <t>Generally effective; around 70% of patients report improvement in symptoms with topical corticosteroids like hydrocortisone when used as directed</t>
  </si>
  <si>
    <t>Considered safe for short-term use; long-term use may cause skin atrophy or other side effects</t>
  </si>
  <si>
    <t>Localized irritation, thinning of the skin, perioral dermatitis, or allergic contact dermatitis</t>
  </si>
  <si>
    <t>Approximately $50 - $200 depending on insurance and frequency of use</t>
  </si>
  <si>
    <t>All ages; commonly used in children and adults</t>
  </si>
  <si>
    <t>Both males and females</t>
  </si>
  <si>
    <t>Topical corticosteroid (small molecules)</t>
  </si>
  <si>
    <t>TIROSINT 0.175MG CAP</t>
  </si>
  <si>
    <t>Fatigue, weight gain, sensitivity to cold, dry skin, hair loss, constipation, muscle weakness, depression, slowed heart rate, goiter</t>
  </si>
  <si>
    <t>Approximately 4.6% of the U.S. population (about 4.6 million people)</t>
  </si>
  <si>
    <t>Significantly improved with proper treatment; normalization of hormone levels can enhance energy levels, mood, and overall well-being</t>
  </si>
  <si>
    <t>Highly effective in normalizing TSH levels and alleviating symptoms in the majority of patients</t>
  </si>
  <si>
    <t>Generally considered safe; routine monitoring of thyroid hormone levels is required for dose adjustment</t>
  </si>
  <si>
    <t>Possible adverse events include headache, insomnia, fever, hyperthyroidism (if overdosed), and allergic reactions</t>
  </si>
  <si>
    <t>Approximately $200 to $600, depending on dosage and insurance coverage</t>
  </si>
  <si>
    <t>All ages, but particularly common in middle-aged and older adults</t>
  </si>
  <si>
    <t>More prevalent in females; females are affected approximately 7-8 times more often than males</t>
  </si>
  <si>
    <t>Small molecule (Levothyroxine formulation)</t>
  </si>
  <si>
    <t>SCOPOLAMINE 0.33MG/24HRS PATCH</t>
  </si>
  <si>
    <t>Dizziness, nausea, vomiting, sweating, and in the case of motion sickness, discomfort even with mild movement.</t>
  </si>
  <si>
    <t>Approximately 33% of the population experiences motion sickness at some point in their lives in the USA.</t>
  </si>
  <si>
    <t>Scopolamine can significantly improve quality of life for those prone to motion sickness and postoperative nausea, allowing for better engagement in activities.</t>
  </si>
  <si>
    <t>70-80% effective in reducing nausea and vomiting related to motion sickness.</t>
  </si>
  <si>
    <t>Generally considered safe when used as directed; long-term effects are not well studied.</t>
  </si>
  <si>
    <t>Common adverse events include dry mouth, drowsiness, and blurred vision; serious events can include confusion and hallucinations, particularly in elderly patients.</t>
  </si>
  <si>
    <t>Approximately $600 - $1,200 per year, depending on frequency of use.</t>
  </si>
  <si>
    <t>Approved for use in adults; safety and efficacy in children have not been established.</t>
  </si>
  <si>
    <t>Both genders are equally affected by motion sickness and can use the patch.</t>
  </si>
  <si>
    <t>Anticholinergic agent.</t>
  </si>
  <si>
    <t>MUPIROCIN 2% OINT,TOP</t>
  </si>
  <si>
    <t>Impetigo</t>
  </si>
  <si>
    <t>Red sores or blisters, crusted yellow scabs, itching, and pain at the infected site.</t>
  </si>
  <si>
    <t>Approximately 2% in the general population in the USA; more common in children.</t>
  </si>
  <si>
    <t>Generally positive; effective treatment can restore normal activities and reduce discomfort.</t>
  </si>
  <si>
    <t>Generally effective, with cure rates of over 85% for localized infection treatment.</t>
  </si>
  <si>
    <t>High safety profile when used as directed; minimal systemic absorption.</t>
  </si>
  <si>
    <t>Localized reactions such as burning, stinging, or itching at application site. Rare systemic reactions may occur.</t>
  </si>
  <si>
    <t>Approximately $200 to $400, depending on frequency of use and treatment duration.</t>
  </si>
  <si>
    <t>Commonly used in all age groups, particularly children aged 2-5 years.</t>
  </si>
  <si>
    <t>No significant gender predisposition; affects both males and females equally.</t>
  </si>
  <si>
    <t>Topical antibiotic.</t>
  </si>
  <si>
    <t>CINACALCET HCL 30MG TAB</t>
  </si>
  <si>
    <t>Excessive thirst, frequent urination, fatigue, muscle weakness, bone pain, nausea, vomiting, constipation, abdominal pain, depression, and confusion.</t>
  </si>
  <si>
    <t>Approximately 1 in 1,000 for primary hyperparathyroidism; secondary hyperparathyroidism is more common in patients with chronic kidney disease, affecting around 30% of these patients in the USA.</t>
  </si>
  <si>
    <t>Often impaired due to symptoms like bone pain and fatigue; effective management with Cinacalcet can significantly improve quality of life by alleviating symptoms.</t>
  </si>
  <si>
    <t>Clinical trials show Cinacalcet is effective in reducing serum calcium levels and parathyroid hormone levels with high success rates observed in managing hyperparathyroidism.</t>
  </si>
  <si>
    <t>Generally well tolerated but requires monitoring for potential hypocalcemia.</t>
  </si>
  <si>
    <t>Common adverse events include nausea, vomiting, diarrhea, and abdominal pain; hypocalcemia is a serious but less common risk.</t>
  </si>
  <si>
    <t>Approximately $3,000 to $4,500 depending on insurance coverage and pharmacy pricing.</t>
  </si>
  <si>
    <t>Adults, primarily over 18 years, but can be used in adolescents with certain conditions.</t>
  </si>
  <si>
    <t>No specific gender predilection, but women are more commonly diagnosed with primary hyperparathyroidism.</t>
  </si>
  <si>
    <t>Small molecules (calcimimetic).</t>
  </si>
  <si>
    <t>DANTROLENE NA 25MG CAP</t>
  </si>
  <si>
    <t>Malignant Hyperthermia</t>
  </si>
  <si>
    <t>Muscle rigidity, rapid heart rate, elevated body temperature, metabolic acidosis, increased carbon dioxide production, confusion or agitation.</t>
  </si>
  <si>
    <t>Approximately 1 in 100,000 general anesthesia cases, prevalence of MH susceptibility in the general population is estimated at 1 in 15,000 to 1 in 50,000.</t>
  </si>
  <si>
    <t>Quality of life is significantly affected during an episode, particularly if not treated promptly. Long-term impacts can result from complications, but those with managed conditions typically experience normal quality of life.</t>
  </si>
  <si>
    <t>Dantrolene is effective in reversing the effects of malignant hyperthermia; studies indicate it can reduce mortality rates significantly when administered quickly.</t>
  </si>
  <si>
    <t>Generally safe when used appropriately; however, requires cautious use in patients with liver disease.</t>
  </si>
  <si>
    <t>Potential adverse events include drowsiness, dizziness, weakness, confusion, diarrhea, and risk of liver toxicity with chronic use.</t>
  </si>
  <si>
    <t>Approximately $3,000 to $5,000, depending on administration and the number of episodes treated.</t>
  </si>
  <si>
    <t>Primarily used in adults; may be prescribed in adolescents and children based on medical need.</t>
  </si>
  <si>
    <t>No specific gender predisposition; affects all genders equally.</t>
  </si>
  <si>
    <t>DANTROLENE NA 50MG CAP</t>
  </si>
  <si>
    <t>Rapid rise in body temperature, muscle rigidity, increased heart rate, metabolic acidosis, excessive sweating, and dark urine,</t>
  </si>
  <si>
    <t>Approximately 1 in 200,000 to 1 in 300,000 general anesthesia cases, with an estimated incidence of 1 in 2,500 in certain genetic predisposed individuals,</t>
  </si>
  <si>
    <t>Can significantly improve quality of life in patients with a history of malignant hyperthermia, as it prevents life-threatening crises,</t>
  </si>
  <si>
    <t>Highly effective if administered rapidly during a malignant hyperthermia crisis, with a significant reduction in mortality,</t>
  </si>
  <si>
    <t>Generally safe when used as indicated, but monitoring is essential due to potential side effects,</t>
  </si>
  <si>
    <t>Drowsiness, dizziness, diarrhea, fatigue, headache, and in rare cases, liver toxicity,</t>
  </si>
  <si>
    <t>Approximately $4,000 to $6,000 per year, depending on the frequency of use,</t>
  </si>
  <si>
    <t>All age groups (typically used in perioperative settings),</t>
  </si>
  <si>
    <t>Both male and female, although male predisposition exists due to inheritance patterns,</t>
  </si>
  <si>
    <t>Small molecule (muscle relaxant).</t>
  </si>
  <si>
    <t>DANTROLENE NA 100MG CAP</t>
  </si>
  <si>
    <t>Rapid rise in body temperature, muscle rigidity, increased heart rate, acidosis, and muscle breakdown</t>
  </si>
  <si>
    <t>Approximately 1 in 50,000 anesthetic events in the USA</t>
  </si>
  <si>
    <t>Can significantly impact quality of life due to the risk of life-threatening crises; survivors may experience ongoing health issues</t>
  </si>
  <si>
    <t>Highly effective in reversing the symptoms of malignant hyperthermia when administered promptly</t>
  </si>
  <si>
    <t>Generally safe when used correctly; however, it requires careful monitoring due to the risk of hepatotoxicity</t>
  </si>
  <si>
    <t>Drowsiness, dizziness, diarrhea, and rare but serious liver damage</t>
  </si>
  <si>
    <t>Approximately $3,000 - $5,000, depending on frequency and dosing requirements</t>
  </si>
  <si>
    <t>Primarily in all age groups, with no specific age limitations</t>
  </si>
  <si>
    <t>Affects both genders equally</t>
  </si>
  <si>
    <t>Small molecule (specific to muscle relaxant therapy)</t>
  </si>
  <si>
    <t>TRIAMCINOLONE ACETONIDE 0.1% PASTE,DENTAL</t>
  </si>
  <si>
    <t>Oral Lichen Planus</t>
  </si>
  <si>
    <t>Painful white lesions in the mouth, burning sensation, ulcerations, sensitivity to certain spices or foods, difficulty eating</t>
  </si>
  <si>
    <t>Approximately 0.5% to 2% of the general population in the USA</t>
  </si>
  <si>
    <t>Significantly impacted due to pain and discomfort, affecting eating and speaking</t>
  </si>
  <si>
    <t>Generally effective in reducing inflammation and pain; varies by individual</t>
  </si>
  <si>
    <t>Generally considered safe for short-term use; long-term safety not well established</t>
  </si>
  <si>
    <t>Possible side effects include local irritation, burning sensations, and allergic reactions</t>
  </si>
  <si>
    <t>Estimated at around $400 to $600 depending on frequency of prescription and insurance coverage</t>
  </si>
  <si>
    <t>Adults, most commonly seen in individuals aged 30 to 60</t>
  </si>
  <si>
    <t>Topical corticosteroid (small molecule)</t>
  </si>
  <si>
    <t>METHIMAZOLE 10MG TAB</t>
  </si>
  <si>
    <t>Increased heart rate, weight loss, anxiety, tremors, heat intolerance, increased appetite, fatigue, excessive sweating, and sleep disturbances.</t>
  </si>
  <si>
    <t>Approximately 1.2% of the general population in the USA.</t>
  </si>
  <si>
    <t>Patients may experience a significant improvement in quality of life with effective management of hyperthyroidism, but untreated symptoms can greatly impair daily functioning.</t>
  </si>
  <si>
    <t>80% effective in managing hyperthyroidism when used as directed.</t>
  </si>
  <si>
    <t>Generally considered safe with appropriate monitoring of liver function and blood counts.</t>
  </si>
  <si>
    <t>Common adverse events include rash, gastrointestinal disturbances, liver function abnormalities, and agranulocytosis (rare).</t>
  </si>
  <si>
    <t>Approximately $300 to $600 depending on insurance coverage and treatment duration.</t>
  </si>
  <si>
    <t>Primarily adults (common in ages 30-50 but can occur in any adult).</t>
  </si>
  <si>
    <t>More prevalent in women, with a ratio of approximately 4:1 compared to men.</t>
  </si>
  <si>
    <t>Small molecules (antithyroid medication).</t>
  </si>
  <si>
    <t>NALTREXONE (EQV-REVIA) 50MG TAB</t>
  </si>
  <si>
    <t>Cravings for opioids or alcohol, withdrawal symptoms, inability to control substance use, continued use despite negative consequences</t>
  </si>
  <si>
    <t>Opioid Use Disorder: Approximately 1.6 million people in the USA have OUD; Alcohol Use Disorder: About 14.5 million adults have AUD</t>
  </si>
  <si>
    <t>Naltrexone can improve quality of life by reducing cravings and enabling better social functioning and relationships</t>
  </si>
  <si>
    <t>Efficacy in reducing relapse rates for OUD: approximately 35-50%; for AUD: 20-30% reduction in heavy drinking days</t>
  </si>
  <si>
    <t>Generally well-tolerated; essential to monitor for liver function and opioid use during treatment</t>
  </si>
  <si>
    <t>Common adverse events include nausea, headache, dizziness, fatigue, and liver enzyme elevations</t>
  </si>
  <si>
    <t>Approximately $1,000 - $1,500 depending on the regimen and additional therapy needed</t>
  </si>
  <si>
    <t>Primarily adults aged 18-65 years</t>
  </si>
  <si>
    <t>Effects seen in both males and females, but more prevalent in males for both disorders</t>
  </si>
  <si>
    <t>Small molecule antagonist</t>
  </si>
  <si>
    <t>THYMOGLOBULIN 25MG/VIL INJ</t>
  </si>
  <si>
    <t>Symptoms vary based on the specific condition but may include fatigue, anemia, fever, bleeding, infections, and organ dysfunction. For transplant rejection, symptoms can include fever, swelling, pain, and organ-specific dysfunction.</t>
  </si>
  <si>
    <t>ALL has an incidence of about 3.5 cases per 100,000 people annually in the USA. The prevalence of transplant rejection is less common with improved matching and immunosuppressive therapies but remains a significant concern post-transplant.</t>
  </si>
  <si>
    <t>Patients may experience reduced quality of life due to prolonged hospital stays, side effects from treatment, and long-term health impacts, depending on the disease severity and treatment regimen.</t>
  </si>
  <si>
    <t>Efficacy rates for Thymoglobulin in preventing acute rejection can be as high as 80% when used as part of a comprehensive immunosuppressive regimen. Efficacy in treating ALL is less direct since it is not a primary treatment but may be used in conjunction with other therapies.</t>
  </si>
  <si>
    <t>Generally considered safe when used under medical supervision; however, it is an immunosuppressive agent and increases the risk of infections and malignancies due to immune system modulation.</t>
  </si>
  <si>
    <t>Common adverse events include fever, chills, rash, hypotension, and injection site reactions; serious risks include infections, malignancies, and hematological issues (e.g., leukopenia).</t>
  </si>
  <si>
    <t>The annual therapy costs can range from $15,000 to $75,000, depending on dosage, duration of therapy, and associated treatment costs.</t>
  </si>
  <si>
    <t>Primarily used in adults and older children; the majority of recipients of organ transplants and ALL patients are adults.</t>
  </si>
  <si>
    <t>Used in all genders; however, demographic variations may exist based on disease prevalence (e.g., ALL tends to have a slightly higher incidence in males).</t>
  </si>
  <si>
    <t>Monoclonal antibody (immunosuppressant)</t>
  </si>
  <si>
    <t>LIOTHYRONINE NA 10MCG/ML INJ 1ML VIAL</t>
  </si>
  <si>
    <t>Fatigue, weight gain, cold intolerance, depression, dry skin, hair loss, constipation, slowed heart rate, muscle weakness</t>
  </si>
  <si>
    <t>Moderate to severe impact on quality of life if untreated; improves significantly with appropriate therapy</t>
  </si>
  <si>
    <t>Highly effective for managing hypothyroidism; normalization of thyroid hormone levels leads to symptom relief in most patients</t>
  </si>
  <si>
    <t>Generally considered safe with appropriate monitoring; risks can be managed with dosage adjustments</t>
  </si>
  <si>
    <t>Typical adverse events may include palpitations, anxiety, heat intolerance, and weight loss; rare but serious events include cardiac complications</t>
  </si>
  <si>
    <t>Approximately $200-$600, depending on insurance coverage and dosage</t>
  </si>
  <si>
    <t>Commonly prescribed for adults, but can also be used in children and the elderly</t>
  </si>
  <si>
    <t>More prevalent in women, particularly those over the age of 60</t>
  </si>
  <si>
    <t>Small molecule (synthetic thyroid hormone replacement therapy)</t>
  </si>
  <si>
    <t>TIROSINT 0.013MG CAP</t>
  </si>
  <si>
    <t>Approximately 4.6% of the U.S. population (about 15 million people)</t>
  </si>
  <si>
    <t>Moderate to high, with effective treatment leading to significant improvements in energy, mood, and overall function</t>
  </si>
  <si>
    <t>80-90% in restoring normal thyroid levels and alleviating symptoms when used as prescribed</t>
  </si>
  <si>
    <t>Generally safe with appropriate dosing; Tirosint has fewer excipients leading to lower allergic reactions compared to other formulations</t>
  </si>
  <si>
    <t>Commonly reported include headache, sleep problems, hyperthyroidism (if overdosed), and gastrointestinal discomfort</t>
  </si>
  <si>
    <t>Approximately $1,200 to $2,400 depending on insurance coverage and dosage</t>
  </si>
  <si>
    <t>Primarily adults, but can affect any age group, including children and the elderly</t>
  </si>
  <si>
    <t>More common in females (about 70% of cases) than males</t>
  </si>
  <si>
    <t>Small molecules (specifically, a synthetic form of thyroxine)</t>
  </si>
  <si>
    <t>TIROSINT 0.025MG CAP</t>
  </si>
  <si>
    <t>Fatigue, weight gain, sensitivity to cold, dry skin, hair loss, constipation, muscle weakness, elevated blood cholesterol level, and depression</t>
  </si>
  <si>
    <t>Approximately 4.6% of the US population (about 15 million people)</t>
  </si>
  <si>
    <t>Can significantly improve with appropriate treatment, leading to increased energy, mood stabilization, and overall well-being</t>
  </si>
  <si>
    <t>Generally high; studies show about 80% of patients achieve normal TSH levels with appropriate dosing</t>
  </si>
  <si>
    <t>Generally considered safe; however, requires careful monitoring of thyroid levels and dosage adjustments</t>
  </si>
  <si>
    <t>Common adverse events may include palpitations, weight loss, and insomnia; rare but serious events include osteoporosis and cardiac events</t>
  </si>
  <si>
    <t>Approximately $240-$600 per year, depending on insurance and pharmacy</t>
  </si>
  <si>
    <t>Primarily adults, but can affect all age groups</t>
  </si>
  <si>
    <t>More common in females, with a ratio of about 5:1 compared to males</t>
  </si>
  <si>
    <t>Small molecules (levothyroxine preparation)</t>
  </si>
  <si>
    <t>TIROSINT 37.5MCG CAP</t>
  </si>
  <si>
    <t>Fatigue, weight gain, sensitivity to cold, constipation, dry skin, and hair loss.</t>
  </si>
  <si>
    <t>Patients often experience improved quality of life with appropriate treatment, as symptoms like fatigue and mood disturbances can significantly affect daily functioning.</t>
  </si>
  <si>
    <t>TIROSINT (liothyronine sodium) has shown efficacy in normalizing thyroid hormone levels, with many patients achieving symptom relief within weeks of initiation.</t>
  </si>
  <si>
    <t>Generally considered safe; however, monitoring of thyroid hormone levels is essential to avoid over-treatment.</t>
  </si>
  <si>
    <t>Possible adverse events include palpitations, headaches, anxiety, and sweating; more serious effects can occur with inappropriate dosing.</t>
  </si>
  <si>
    <t>The cost of TIROSINT ranges from $1,500 to $3,000 annually, depending on insurance coverage and plan specifics.</t>
  </si>
  <si>
    <t>Most commonly prescribed for adults, but can also be used in children with hypothyroidism.</t>
  </si>
  <si>
    <t>More prevalent in females (up to 8 times more common than in males).</t>
  </si>
  <si>
    <t>Small molecules (thyroid hormone replacement therapy).</t>
  </si>
  <si>
    <t>TIROSINT 44MCG CAP</t>
  </si>
  <si>
    <t>Fatigue, weight gain, sensitivity to cold, constipation, dry skin, hair loss, muscle weakness, elevated blood cholesterol levels</t>
  </si>
  <si>
    <t>Approximately 4.6% of the U.S. population (about 11 million Americans)</t>
  </si>
  <si>
    <t>Significantly improved with treatment, as symptoms of fatigue and weight gain are alleviated, leading to better physical and mental health</t>
  </si>
  <si>
    <t>Efficacy rates are high; most patients (around 80-90%) see symptom relief and normalized TSH levels within 4-6 weeks of starting treatment</t>
  </si>
  <si>
    <t>Generally considered safe; close to 99% of patients tolerate treatment well</t>
  </si>
  <si>
    <t>Common adverse events include palpitations, nervousness, insomnia, and hypertension; rare but serious events include allergic reactions</t>
  </si>
  <si>
    <t>Approximately $500 to $1,200 depending on insurance coverage and regional pricing</t>
  </si>
  <si>
    <t>Commonly affects adults, particularly those over 60 years old</t>
  </si>
  <si>
    <t>More prevalent in females; about 5-8 times higher incidence in women compared to men</t>
  </si>
  <si>
    <t>TIROSINT 0.05MG CAP</t>
  </si>
  <si>
    <t>Fatigue, weight gain, cold intolerance, dry skin, hair loss, muscle weakness, depression, constipation</t>
  </si>
  <si>
    <t>Significant improvement in quality of life with proper treatment, normalization of symptoms</t>
  </si>
  <si>
    <t>Approximately 80-90% of patients achieve target thyroid hormone levels with appropriate dosing</t>
  </si>
  <si>
    <t>Generally well-tolerated, with a safety profile similar to other thyroid hormone replacements</t>
  </si>
  <si>
    <t>Potential for hyperthyroidism if overdosed, insomnia, anxiety, palpitations, headache</t>
  </si>
  <si>
    <t>Approximately $600-$1,200 depending on insurance coverage and healthcare access</t>
  </si>
  <si>
    <t>All age groups, most common in adults aged 30-60</t>
  </si>
  <si>
    <t>More prevalent in females, with a female-to-male ratio of approximately 5:1</t>
  </si>
  <si>
    <t>TIROSINT 62.5MCG CAP</t>
  </si>
  <si>
    <t>Fatigue, weight gain, cold intolerance, dry skin, hair loss, constipation, depression, and impaired memory</t>
  </si>
  <si>
    <t>Approximately 4.6% of the U.S. population (about 19 million people)</t>
  </si>
  <si>
    <t>Can significantly improve with adequate treatment, leading to increased energy levels, better mood, and improved cognitive function</t>
  </si>
  <si>
    <t>High efficacy in restoring thyroid hormone levels and alleviating symptoms in the majority of patients</t>
  </si>
  <si>
    <t>Generally considered safe with a well-established profile when dosed appropriately</t>
  </si>
  <si>
    <t>Common adverse events include headache, hyperthyroidism symptoms (if overdosed), and allergic reactions (rare)</t>
  </si>
  <si>
    <t>Approximately $1,200 - $2,000 depending on insurance coverage</t>
  </si>
  <si>
    <t>All age groups, predominantly adults over 40 years old</t>
  </si>
  <si>
    <t>Small molecules (specifically a synthetic form of levothyroxine)</t>
  </si>
  <si>
    <t>TIROSINT 0.075MG CAP</t>
  </si>
  <si>
    <t>Fatigue, weight gain, cold intolerance, depression, dry skin, hair loss, and constipation</t>
  </si>
  <si>
    <t>Approximately 4.6% of the U.S. population (about 1 in 20 people) has hypothyroidism.</t>
  </si>
  <si>
    <t>Many patients experience significant improvement in quality of life once treated effectively, although some may continue to have symptoms.</t>
  </si>
  <si>
    <t>Tirosint is effective in normalizing thyroid hormone levels in approximately 80-90% of patients when used as prescribed.</t>
  </si>
  <si>
    <t>Generally considered safe; most patients tolerate it well. Rare contraindications include hypersensitivity to the drug or its components.</t>
  </si>
  <si>
    <t>Common adverse events include headache, anxiety, and insomnia; severe adverse events are rare.</t>
  </si>
  <si>
    <t>Estimated annual costs range from $500 to $1,200 depending on insurance coverage and dosage.</t>
  </si>
  <si>
    <t>Most commonly prescribed for adults, particularly those over 40 years old.</t>
  </si>
  <si>
    <t>More prevalent in females than males, with a female-to-male ratio of about 5:1.</t>
  </si>
  <si>
    <t>Small molecules (specifically a synthetic form of thyroxine, Levothyroxine).</t>
  </si>
  <si>
    <t>TIROSINT 0.088MG CAP</t>
  </si>
  <si>
    <t>Fatigue, weight gain, cold intolerance, depression, dry skin, hair loss, constipation, muscle weakness, and slowed heart rate</t>
  </si>
  <si>
    <t>Approximately 4.6% of the U.S. population is affected by hypothyroidism (around 5.1 million people)</t>
  </si>
  <si>
    <t>Patients typically experience improved quality of life with proper treatment; untreated hypothyroidism can significantly impair daily functioning</t>
  </si>
  <si>
    <t>Highly effective for alleviating symptoms of hypothyroidism, with a 90-95% response rate in controlled trials</t>
  </si>
  <si>
    <t>Generally regarded as safe with proper dosing; the risk of adverse effects is low when monitored correctly</t>
  </si>
  <si>
    <t>Common adverse events include symptoms of hyperthyroidism if overdosed (e.g., anxiety, insomnia, palpitations), as well as rare allergic reactions</t>
  </si>
  <si>
    <t>Approximately $150 - $300 depending on insurance coverage and pharmacy pricing</t>
  </si>
  <si>
    <t>Primarily adults; more common in women and older adults</t>
  </si>
  <si>
    <t>More prevalent in females (approximately 5-7 times more common in women than men)</t>
  </si>
  <si>
    <t>Small molecule (levothyroxine)</t>
  </si>
  <si>
    <t>TIROSINT 0.1MG CAP</t>
  </si>
  <si>
    <t>Fatigue, weight gain, sensitivity to cold, constipation, dry skin, hair loss, muscle weakness, depression, slow heart rate, and goiter.</t>
  </si>
  <si>
    <t>Approximately 4.6% of the US population, with higher rates in older adults and women.</t>
  </si>
  <si>
    <t>Generally improved significantly with proper treatment; normalized thyroid levels lead to improved energy, mood, and overall physical and mental health.</t>
  </si>
  <si>
    <t>Highly effective; synthetic levothyroxine (the active ingredient in Tirosint) is considered the standard of care for hypothyroidism.</t>
  </si>
  <si>
    <t>Generally considered safe when taken as directed; minimal risk in most patients.</t>
  </si>
  <si>
    <t>Common adverse events include headache, insomnia, increased appetite, and anxiety, but severe reactions are rare.</t>
  </si>
  <si>
    <t>Approximately $300 to $500 per year, depending on insurance coverage and frequency of medical visits.</t>
  </si>
  <si>
    <t>Usually affects adults, particularly those over 60; it can occur at any age.</t>
  </si>
  <si>
    <t>Small molecules (specifically a synthetic thyroid hormone).</t>
  </si>
  <si>
    <t>TIROSINT 0.112MG CAP</t>
  </si>
  <si>
    <t>Fatigue, weight gain, cold intolerance, dry skin, hair loss, depression, muscle weakness, constipation, and slowed heart rate.</t>
  </si>
  <si>
    <t>Approximately 4.6% of the U.S. population has hypothyroidism, with higher rates in women and older adults.</t>
  </si>
  <si>
    <t>Quality of life can significantly improve with proper treatment; symptoms like fatigue and weight gain often decrease, leading to better physical and mental well-being.</t>
  </si>
  <si>
    <t>Tirosint is known for its high bioavailability and stability, providing effective management of hypothyroidism; studies report over 80% of patients have normalized thyroid-stimulating hormone (TSH) levels with treatment.</t>
  </si>
  <si>
    <t>Generally considered safe for most patients; however, it should be used cautiously in those with cardiovascular disease.</t>
  </si>
  <si>
    <t>Common adverse events may include headache, nervousness, diarrhea, and skin rash; rare but serious events can include cardiac issues.</t>
  </si>
  <si>
    <t>Approximately $200-$600 per year, depending on insurance coverage and pharmacy choice.</t>
  </si>
  <si>
    <t>Primarily adults, but can be used in children as well.</t>
  </si>
  <si>
    <t>More prevalent in females, with a female-to-male ratio of about 5:1 for diagnosed cases.</t>
  </si>
  <si>
    <t>Thyroid hormone replacement therapy (small molecules).</t>
  </si>
  <si>
    <t>TIROSINT 0.125MG CAP</t>
  </si>
  <si>
    <t>Fatigue, weight gain, sensitivity to cold, dry skin, hair loss, muscle weakness, constipation, depression, slowed heart rate, swollen face, elevated cholesterol levels</t>
  </si>
  <si>
    <t>Approximately 4.6% of the U.S. population (about 1 in 20 people)</t>
  </si>
  <si>
    <t>Hypothyroidism can significantly affect quality of life, leading to low energy levels and mood changes, but treatment with thyroid hormone replacement often improves overall well-being.</t>
  </si>
  <si>
    <t>High efficacy in correcting hormone levels and alleviating symptoms, with studies showing over 80% of patients achieving stable thyroid function when appropriately dosed.</t>
  </si>
  <si>
    <t>Generally considered safe when dosed correctly; monitoring is required to avoid over-treatment.</t>
  </si>
  <si>
    <t>Common adverse events include heart palpitations, increased appetite, weight loss, and insomnia. Rare but serious events include bone loss and cardiovascular complications.</t>
  </si>
  <si>
    <t>Approximately $100 - $300 depending on the insurance coverage and presence of generic alternatives.</t>
  </si>
  <si>
    <t>Most commonly prescribed for adults, but can be used in children as well.</t>
  </si>
  <si>
    <t>More common in women, with women being 5-10 times more likely to develop hypothyroidism than men.</t>
  </si>
  <si>
    <t>TIROSINT 0.137MG CAP</t>
  </si>
  <si>
    <t>Fatigue, weight gain, cold intolerance, dry skin, hair loss, constipation, depression, impaired memory, muscle weakness, and hoarseness.</t>
  </si>
  <si>
    <t>Hypothyroidism can significantly impact quality of life, leading to fatigue, cognitive issues, and mood disturbances; however, treatment can restore normal functioning.</t>
  </si>
  <si>
    <t>High efficacy when taken as prescribed; starts to show benefits within a few weeks, with full effect typically in 6-8 weeks.</t>
  </si>
  <si>
    <t>Generally safe when taken at therapeutic doses; monitoring may be required for specific populations (e.g., elderly, those with heart conditions).</t>
  </si>
  <si>
    <t>Common adverse events may include palpitations, anxiety, heat intolerance, and hyperthyroidism symptoms if overdosed. Rare but serious events include heart complications.</t>
  </si>
  <si>
    <t>Approximately $100-$300 per year, depending on insurance coverage and dosage needs.</t>
  </si>
  <si>
    <t>Most commonly treated in adults, especially those over 60; can occur at any age.</t>
  </si>
  <si>
    <t>More prevalent in women than men, with a ratio of approximately 5:1.</t>
  </si>
  <si>
    <t>TIROSINT-SOL 0.013MG SOLN,ORAL</t>
  </si>
  <si>
    <t>Fatigue, weight gain, cold intolerance, dry skin, hair loss, constipation, muscle weakness, depression, focus issues.</t>
  </si>
  <si>
    <t>Patients often experience significant improvement in quality of life with appropriate treatment, including better energy levels and mood.</t>
  </si>
  <si>
    <t>Approximately 80-90% of patients achieve normal thyroid function levels with appropriate dosage adjustments.</t>
  </si>
  <si>
    <t>Generally considered safe when used as prescribed; monitoring is required to avoid overtreatment.</t>
  </si>
  <si>
    <t>Possible adverse events include palpitations, headache, nervousness, insomnia, diarrhea, and weight loss, especially if excessive dosing occurs.</t>
  </si>
  <si>
    <t>Approximately $700 to $1,000, depending on insurance coverage and specific formulation.</t>
  </si>
  <si>
    <t>All age groups, but more prevalent in adults, particularly women over 60.</t>
  </si>
  <si>
    <t>More common in females (10 times more likely than males).</t>
  </si>
  <si>
    <t>Small molecules (synthetic levothyroxine).</t>
  </si>
  <si>
    <t>TIROSINT-SOL 0.025MG SOLN,ORAL</t>
  </si>
  <si>
    <t>Fatigue, weight gain, cold intolerance, dry skin, hair loss, constipation, depression, muscle weakness, slowed heart rate, and irregular menstrual periods.</t>
  </si>
  <si>
    <t>Approximately 4.6% of the U.S. population has hypothyroidism, translating to about 10 million individuals.</t>
  </si>
  <si>
    <t>Hypothyroidism can significantly affect quality of life, causing fatigue, mood changes, and issues with weight management. With appropriate treatment, quality of life can improve markedly.</t>
  </si>
  <si>
    <t>TIROSINT-SOL is effective in restoring normal thyroid hormone levels in most patients with hypothyroidism, with studies indicating improvement in symptoms in over 80% of treated patients.</t>
  </si>
  <si>
    <t>Generally regarded as safe for use; however, monitoring for thyroid hormone levels is necessary to avoid over-treatment or under-treatment.</t>
  </si>
  <si>
    <t>Possible adverse events include allergic reactions, headache, insomnia, nervousness, and symptoms of hyperthyroidism if dosed improperly.</t>
  </si>
  <si>
    <t>The average annual cost for TIROSINT-SOL can range from $1,500 to $2,500 depending on insurance coverage and individual therapy needs.</t>
  </si>
  <si>
    <t>Primarily adults, but hypothyroidism can occur at any age, including infants and children (though it's less common).</t>
  </si>
  <si>
    <t>More prevalent in women, with about 7% of women affected compared to 3% of men.</t>
  </si>
  <si>
    <t>Small molecules (specifically, a synthetic form of thyroxine).</t>
  </si>
  <si>
    <t>TIROSINT-SOL 37.5MCG/ML SOLN,ORAL</t>
  </si>
  <si>
    <t>Fatigue, weight gain, cold intolerance, dry skin, hair loss, constipation, depression, muscle weakness, slowed heart rate</t>
  </si>
  <si>
    <t>Approximately 4.6% of the U.S. population has hypothyroidism, with higher prevalence in women and older adults</t>
  </si>
  <si>
    <t>Generally improved with treatment, but can vary; untreated hypothyroidism can significantly decrease quality of life</t>
  </si>
  <si>
    <t>Effective at normalizing TSH levels; studies show 75-90% of patients achieve desired hormone levels with proper dosing</t>
  </si>
  <si>
    <t>Generally considered safe; routine monitoring required to adjust dose</t>
  </si>
  <si>
    <t>Common adverse events include insomnia, anxiety, palpitations, and weight loss, particularly if overdosed; rare serious allergic reactions</t>
  </si>
  <si>
    <t>Estimated annual cost ranges from $500 to $1,200 depending on insurance coverage and dosage</t>
  </si>
  <si>
    <t>Primarily adults, though it can occur at any age, including children</t>
  </si>
  <si>
    <t>More common in females, accounting for about 80% of cases</t>
  </si>
  <si>
    <t>Small molecule (synthetic levothyroxine solution)</t>
  </si>
  <si>
    <t>TIROSINT-SOL 44MCG/ML SOLN,ORAL</t>
  </si>
  <si>
    <t>Approximately 4.6% of the U.S. population (about 12 million people).</t>
  </si>
  <si>
    <t>Poor quality of life is associated with untreated hypothyroidism, impacting daily activities and emotional well-being. However, treatment usually improves overall quality of life.</t>
  </si>
  <si>
    <t>Highly effective in normalizing thyroid hormone levels; most patients see symptom improvement within weeks.</t>
  </si>
  <si>
    <t>Generally well tolerated with a favorable safety profile. Risk of over-replacement can occur if dosed incorrectly.</t>
  </si>
  <si>
    <t>Palpitations, anxiety, insomnia, weight loss, and increased sweating; rare but serious adverse events include heart arrhythmias.</t>
  </si>
  <si>
    <t>Approximately $300-$600 (depending on insurance and dosage).</t>
  </si>
  <si>
    <t>Primarily adults, but can occur at any age.</t>
  </si>
  <si>
    <t>More common in females (approximately 7-10 times more prevalent than in males).</t>
  </si>
  <si>
    <t>Small molecules (Synthetic thyroid hormone).</t>
  </si>
  <si>
    <t>TIROSINT-SOL 0.05MG SOLN,ORAL</t>
  </si>
  <si>
    <t>Fatigue, weight gain, cold intolerance, dry skin, hair loss, constipation, depression, muscle weakness, and slow heart rate</t>
  </si>
  <si>
    <t>Approximately 4.6% of the U.S. population (estimated 6% among those over 65 years)</t>
  </si>
  <si>
    <t>Patients typically report improvement in quality of life with proper treatment; untreated hypothyroidism can significantly reduce quality of life</t>
  </si>
  <si>
    <t>Highly effective in restoring thyroid hormone levels; studies show a 90% success rate in symptom resolution with proper dosing</t>
  </si>
  <si>
    <t>Generally well-tolerated; long-term safety is well established when dosed appropriately</t>
  </si>
  <si>
    <t>Common adverse events include headache, hyperthyroidism symptoms (e.g., rapid heart rate, anxiety), and allergic reactions in rare cases</t>
  </si>
  <si>
    <t>Approximately $300 to $500 per year</t>
  </si>
  <si>
    <t>All age groups; particularly prevalent in older adults</t>
  </si>
  <si>
    <t>More common in females (approximately 5-10 times more frequent than males)</t>
  </si>
  <si>
    <t>Small molecule (levothyroxine sod), oral solution formulation</t>
  </si>
  <si>
    <t>TIROSINT-SOL 62.5MCG/ML SOLN,ORAL</t>
  </si>
  <si>
    <t>Approximately 4.6% of the U.S. population, which translates to about 5 million people</t>
  </si>
  <si>
    <t>Significant improvement in quality of life with appropriate treatment; untreated hypothyroidism can lead to severe fatigue and health complications</t>
  </si>
  <si>
    <t>Generally high efficacy in restoring thyroid hormone levels; Tirosint-Sol is well absorbed and effective for patients with a history of intolerance to other formulations</t>
  </si>
  <si>
    <t>Generally considered safe with appropriate dosing; monitoring of thyroid hormone levels is required to avoid over-treatment</t>
  </si>
  <si>
    <t>Common adverse events include headache, nervousness, weight loss, heat intolerance, and menstrual irregularities; serious events are rare</t>
  </si>
  <si>
    <t>Approximately $2,000 - $4,000 depending on dosage and insurance coverage</t>
  </si>
  <si>
    <t>Primarily adults, but can occur at any age; more common in older adults</t>
  </si>
  <si>
    <t>More common in women, with a female-to-male ratio of approximately 5:1</t>
  </si>
  <si>
    <t>TIROSINT-SOL 0.075MG SOLN,ORAL</t>
  </si>
  <si>
    <t>Fatigue, weight gain, cold intolerance, dry skin, hair loss, muscle weakness, constipation, depression, and impaired concentration.</t>
  </si>
  <si>
    <t>Approximately 4.6% of the U.S. population, affecting about 5 million individuals.</t>
  </si>
  <si>
    <t>Significant improvement with appropriate management, with most patients experiencing a better quality of life following treatment.</t>
  </si>
  <si>
    <t>Highly effective in normalizing thyroid hormone levels in most patients; studies show TSH levels within target range in 80-90% of patients within 4-6 weeks of initiation.</t>
  </si>
  <si>
    <t>Generally well-tolerated; safety profile is considered favorable when dosing is appropriately managed.</t>
  </si>
  <si>
    <t>Potential adverse events include heart palpitations, anxiety, weight loss (if overmedicated), and rarely, allergic reactions.</t>
  </si>
  <si>
    <t>Approximately $300 to $600 per year, depending on insurance coverage and dosage.</t>
  </si>
  <si>
    <t>Primarily adults, but can affect individuals of any age, including children.</t>
  </si>
  <si>
    <t>More common in females, with about 7-8 times higher prevalence compared to males.</t>
  </si>
  <si>
    <t>Small molecules (hormone replacement therapy).</t>
  </si>
  <si>
    <t>TIROSINT-SOL 0.088MG SOLN,ORAL</t>
  </si>
  <si>
    <t>Fatigue, weight gain, cold intolerance, constipation, dry skin, hair loss, muscle weakness, depression, slowed heart rate, and goiter.</t>
  </si>
  <si>
    <t>Approximately 4.6% of the U.S. population.</t>
  </si>
  <si>
    <t>Quality of life improves significantly with appropriate treatment, addressing fatigue, mood, and physical function.</t>
  </si>
  <si>
    <t>Highly effective; Tirosint Sol (levothyroxine) has been shown to normalize thyroid hormone levels in patients.</t>
  </si>
  <si>
    <t>Generally well-tolerated; risk of adverse effects increases if dosage is not properly managed.</t>
  </si>
  <si>
    <t>Palpitations, headache, nervousness, diarrhea, heat intolerance, and more in cases of overdosing.</t>
  </si>
  <si>
    <t>Approximately $200 to $500, can vary based on insurance and dosage.</t>
  </si>
  <si>
    <t>All ages; more prevalent in adults, especially women over 60.</t>
  </si>
  <si>
    <t>More common in women (about 5-10 times more likely than men).</t>
  </si>
  <si>
    <t>TIROSINT-SOL 0.1MG SOLN,ORAL</t>
  </si>
  <si>
    <t>Fatigue, weight gain, sensitivity to cold, dry skin, hair loss, muscle weakness, constipation, depression, impaired memory</t>
  </si>
  <si>
    <t>Approximately 4.6% of the U.S. population (about 12 million people)</t>
  </si>
  <si>
    <t>Generally improved with effective treatment; significant symptoms can impair daily functioning and overall well-being if untreated</t>
  </si>
  <si>
    <t>Generally high; patients often report resolution of symptoms within weeks of starting therapy</t>
  </si>
  <si>
    <t>Generally considered safe when taken as prescribed; regular monitoring needed to avoid over-treatment</t>
  </si>
  <si>
    <t>Commonly include palpitations, anxiety, insomnia, weight loss, and heat intolerance; rare severe effects may include osteoporosis and arrhythmias</t>
  </si>
  <si>
    <t>Approximately $200-$300 per year</t>
  </si>
  <si>
    <t>All age groups, but most commonly diagnosed in adults aged 30-60</t>
  </si>
  <si>
    <t>More prevalent in women (about 5-8 times more common) than men</t>
  </si>
  <si>
    <t>Small molecules (thyroid hormone replacement therapy)</t>
  </si>
  <si>
    <t>TIROSINT-SOL 0.112MG SOLN,ORAL</t>
  </si>
  <si>
    <t>Fatigue, weight gain, cold intolerance, constipation, dry skin, hair loss, muscle weakness, depression, slowed heart rate</t>
  </si>
  <si>
    <t>Approximately 4.6% of the U.S. population is affected by hypothyroidism, particularly among women and older adults.</t>
  </si>
  <si>
    <t>Quality of life can significantly improve with appropriate treatment, with many patients experiencing increased energy levels and overall well-being.</t>
  </si>
  <si>
    <t>Tirosint-SOL is effective in restoring thyroid hormone levels, with studies showing a 70-90% improvement in symptoms and lab values in treated patients.</t>
  </si>
  <si>
    <t>Generally considered safe with proper monitoring; the risk of overtreatment or undertreatment must be managed.</t>
  </si>
  <si>
    <t>Common adverse events include headache, fatigue, insomnia, irritability, and potential allergic reactions. More severe risks involve cardiac symptoms if overdosed.</t>
  </si>
  <si>
    <t>Approximately $600 to $1,200 depending on dosage and insurance coverage.</t>
  </si>
  <si>
    <t>Most commonly prescribed for adults, but can be used in children if indicated.</t>
  </si>
  <si>
    <t>More prevalent in females than males, with a ratio of approximately 5:1.</t>
  </si>
  <si>
    <t>Small molecule (synthetic levothyroxine solution).</t>
  </si>
  <si>
    <t>TIROSINT-SOL 0.125MG SOLN,ORAL</t>
  </si>
  <si>
    <t>Fatigue, weight gain, cold intolerance, dry skin, hair loss, constipation, depression</t>
  </si>
  <si>
    <t>Approximately 4.6% of the U.S. population (over 12 years old)</t>
  </si>
  <si>
    <t>Generally improves with adequate treatment; patients typically report better energy levels and mood</t>
  </si>
  <si>
    <t>Highly effective for managing hypothyroidism; Tirosint-Sol is absorbed well and provides stable thyroid hormone levels</t>
  </si>
  <si>
    <t>Generally safe with appropriate monitoring; thyroid hormone levels should be regularly assessed</t>
  </si>
  <si>
    <t>Common adverse events include headache, insomnia, anxiety, and gastrointestinal symptoms; rare but serious adverse reactions include cardiac symptoms and osteoporosis risk</t>
  </si>
  <si>
    <t>Approximately $500 - $1,000, depending on insurance and dosage</t>
  </si>
  <si>
    <t>All age groups, commonly prescribed in adults, especially those over 60</t>
  </si>
  <si>
    <t>More prevalent in females (5-8 times higher than in males)</t>
  </si>
  <si>
    <t>Small molecule (synthetic thyroid hormone)</t>
  </si>
  <si>
    <t>TIROSINT-SOL 0.137MG SOLN,ORAL</t>
  </si>
  <si>
    <t>Quality of life can significantly improve with appropriate thyroid hormone replacement therapy, leading to restored energy levels, mood stability, and overall well-being.</t>
  </si>
  <si>
    <t>High, with most patients experiencing symptom relief and normalization of thyroid hormone levels when titrated correctly.</t>
  </si>
  <si>
    <t>Generally considered safe when dosed properly; however, monitoring is required to avoid over-treatment.</t>
  </si>
  <si>
    <t>Potential adverse events include palpitations, increased heart rate, anxiety, insomnia, heat intolerance, and in rare cases, osteoporosis if mismanaged.</t>
  </si>
  <si>
    <t>Approximately $500 to $1,000 annually depending on dosage and insurance coverage.</t>
  </si>
  <si>
    <t>All age groups can be affected, but more common in middle-aged and older adults.</t>
  </si>
  <si>
    <t>More prevalent in women, with a 5 to 1 ratio compared to men.</t>
  </si>
  <si>
    <t>Small molecules (levothyroxine product).</t>
  </si>
  <si>
    <t>TIROSINT-SOL 0.15MG SOLN,ORAL</t>
  </si>
  <si>
    <t>Fatigue, weight gain, cold intolerance, constipation, dry skin, hair loss, muscle weakness, depression, and slowed heart rate.</t>
  </si>
  <si>
    <t>Approximately 4.6% of the U.S. population is affected by hypothyroidism, increasing with age.</t>
  </si>
  <si>
    <t>Patients generally experience improved quality of life with proper treatment, including better energy levels, mood stabilization, and overall bodily function.</t>
  </si>
  <si>
    <t>80-90% effective in normalizing thyroid hormone levels with proper dosage.</t>
  </si>
  <si>
    <t>Generally considered safe for use; however, monitoring for appropriate hormone levels is recommended.</t>
  </si>
  <si>
    <t>Potential adverse events include palpitations, anxiety, insomnia, fever, and increased appetite. Rarely, can lead to hyperthyroidism if overdosed.</t>
  </si>
  <si>
    <t>Approximately $500 to $1,200 per year, depending on the dosing and whether insurance covers the medication.</t>
  </si>
  <si>
    <t>Primarily affects adults, especially those aged 30 and older.</t>
  </si>
  <si>
    <t>More common in females, with a female-to-male ratio of approximately 5:1.</t>
  </si>
  <si>
    <t>TIROSINT-SOL 0.175MG SOLN,ORAL</t>
  </si>
  <si>
    <t>Quality of life can significantly improve with proper treatment, but many with untreated hypothyroidism may experience fatigue and difficulty with daily activities.</t>
  </si>
  <si>
    <t>Approximately 95% effective in managing symptoms and normalizing TSH levels when taken as prescribed</t>
  </si>
  <si>
    <t>Generally considered safe; long-term use requires monitoring of thyroid levels</t>
  </si>
  <si>
    <t>Common side effects include headache, nervousness, weight loss, fever, changes in menstrual cycle; rare but serious side effects can include chest pain, increased heart rate</t>
  </si>
  <si>
    <t>Approximately $150 to $300 annually (depending on insurance coverage and dosage)</t>
  </si>
  <si>
    <t>All ages, more prevalent in adults over 60</t>
  </si>
  <si>
    <t>More common in females (approximately 5-10 times more prevalent in women than men)</t>
  </si>
  <si>
    <t>TIROSINT-SOL 0.2MG SOLN,ORAL</t>
  </si>
  <si>
    <t>Fatigue, weight gain, cold intolerance, constipation, dry skin, hair loss, depression, muscle weakness, slowed heart rate</t>
  </si>
  <si>
    <t>Approximately 4.6% of the US population (around 10 million people) have hypothyroidism</t>
  </si>
  <si>
    <t>Patients typically experience significant improvement in quality of life when appropriately treated, leading to better energy levels and mood</t>
  </si>
  <si>
    <t>Generally high; Tirosint-Sol is effective in managing thyroid hormone levels in hypothyroid patients, with studies showing normalization of thyroid function tests in approximately 85% of patients</t>
  </si>
  <si>
    <t>Well-tolerated with a good safety profile; caution in patients with adrenal insufficiency or cardiac issues</t>
  </si>
  <si>
    <t>The most common adverse events include hyperthyroidism symptoms, palpitations, and anxiety. Rare but serious reactions can include allergic angioedema or anaphylaxis</t>
  </si>
  <si>
    <t>Approximately $300-$600 depending on insurance coverage and pharmacy</t>
  </si>
  <si>
    <t>All age groups, most commonly prescribed for adults aged 30-60 years</t>
  </si>
  <si>
    <t>More prevalent in females (about 5-8 times more common in women than men)</t>
  </si>
  <si>
    <t>LICART 1.3% PATCH</t>
  </si>
  <si>
    <t>Excessive sweating, particularly in the palms, feet, armpits, and face.</t>
  </si>
  <si>
    <t>Significantly affected, impacting social interactions, occupational activities, and emotional wellbeing.</t>
  </si>
  <si>
    <t>Approximately 70%-80% effective in reducing sweating severity.</t>
  </si>
  <si>
    <t>Generally considered safe; side effects are typically mild and localized.</t>
  </si>
  <si>
    <t>Possible skin irritation at the application site, allergic reactions, or rash.</t>
  </si>
  <si>
    <t>Estimated between $300 to $600 depending on insurance coverage and dosage.</t>
  </si>
  <si>
    <t>Typically used in adults, but may be used in adolescents.</t>
  </si>
  <si>
    <t>Affects both genders, although some studies indicate a higher prevalence in females.</t>
  </si>
  <si>
    <t>Topical medication (patch).</t>
  </si>
  <si>
    <t>FIRDAPSE 10MG TAB</t>
  </si>
  <si>
    <t>Lambert-Eaton Myasthenic Syndrome (LEMS)</t>
  </si>
  <si>
    <t>Muscle weakness, especially in the hips and thighs, dry mouth, blurred vision, ptosis (droopy eyelids), and difficulty swallowing.</t>
  </si>
  <si>
    <t>Approximately 3-4 cases per million people in the USA.</t>
  </si>
  <si>
    <t>Can be significantly impacted due to muscle weakness and fatigue; social and occupational functioning may decline.</t>
  </si>
  <si>
    <t>Clinical studies have shown improved muscle strength and function in about 50-60% of patients.</t>
  </si>
  <si>
    <t>Generally well tolerated; close monitoring recommended, especially in patients with prior history of malignancies.</t>
  </si>
  <si>
    <t>Common adverse events include dizziness, fatigue, nausea, and diarrhea.</t>
  </si>
  <si>
    <t>Estimated to be around $20,000 - $30,000.</t>
  </si>
  <si>
    <t>Primarily affects adults, commonly diagnosed in individuals aged 30-60 years.</t>
  </si>
  <si>
    <t>Affects both genders, though slightly more prevalent in males.</t>
  </si>
  <si>
    <t>Small molecules (FIRDAPSE is a small molecule acetylcholinesterase inhibitor).</t>
  </si>
  <si>
    <t>METOLAZONE 5MG TAB</t>
  </si>
  <si>
    <t>Elevated blood pressure, swelling in extremities, shortness of breath</t>
  </si>
  <si>
    <t>Approximately 45% of adults in the USA have hypertension; edema prevalence varies widely among populations, especially those with heart or kidney disease</t>
  </si>
  <si>
    <t>Can be significantly impacted due to chronic high blood pressure and associated conditions; management improves overall quality of life.</t>
  </si>
  <si>
    <t>Effective in lowering blood pressure and reducing edema; typically achieves a reduction in systolic blood pressure by 10-15 mmHg.</t>
  </si>
  <si>
    <t>Generally well-tolerated; safe when used as prescribed, but careful monitoring is required for renal function and electrolyte levels.</t>
  </si>
  <si>
    <t>Possible side effects include dizziness, hypotension, dehydration, electrolyte imbalances, and renal dysfunction.</t>
  </si>
  <si>
    <t>Approximately $300 to $600, varying based on insurance and pharmacy pricing.</t>
  </si>
  <si>
    <t>Primarily adults aged 40 and older, but can be prescribed to younger individuals with specific conditions.</t>
  </si>
  <si>
    <t>No significant gender preference; both males and females are affected by hypertension and edema.</t>
  </si>
  <si>
    <t>Diuretic (thiazide-like diuretic)</t>
  </si>
  <si>
    <t>CLORAZEPATE DIPOTASSIUM 15MG TAB</t>
  </si>
  <si>
    <t>Symptoms include excessive worry, restlessness, fatigue, difficulty concentrating, irritability, muscle tension, and sleep disturbances.</t>
  </si>
  <si>
    <t>Approximately 18.1% of adults in the USA experience anxiety disorders annually.</t>
  </si>
  <si>
    <t>Anxiety can significantly decrease quality of life, affecting social interactions, work performance, and overall mental well-being.</t>
  </si>
  <si>
    <t>Clorazepate has been shown to be effective for short-term relief of anxiety symptoms, with studies showing improvement in anxiety ratings by 30-50%.</t>
  </si>
  <si>
    <t>Generally considered safe when used as prescribed; less effective for long-term management due to dependency risk.</t>
  </si>
  <si>
    <t>Common adverse events include drowsiness, dizziness, confusion, fatigue, and in some cases, dependence or withdrawal symptoms upon discontinuation.</t>
  </si>
  <si>
    <t>Approximately $500 to $1,000, depending on insurance coverage and therapy duration.</t>
  </si>
  <si>
    <t>Typically prescribed for adults, with caution in elderly patients due to increased sensitivity to sedative effects.</t>
  </si>
  <si>
    <t>More prevalent in females (approximately 2:1 female-to-male ratio for anxiety disorders).</t>
  </si>
  <si>
    <t>Benzodiazepine (small molecules).</t>
  </si>
  <si>
    <t>CLORAZEPATE DIPOTASSIUM 7.5MG TAB</t>
  </si>
  <si>
    <t>Symptoms of anxiety (nervousness, restlessness, irritability, insomnia), symptoms of alcohol withdrawal (tremors, anxiety, sweating, nausea), seizures</t>
  </si>
  <si>
    <t>Anxiety disorders affect approximately 19.1% of adults in the USA. Alcohol use disorder prevalence is around 14.1%, and seizure disorders impact about 1.2% of the population.</t>
  </si>
  <si>
    <t>Quality of life can be significantly impacted in patients with anxiety disorders and chronic seizures, though treatment can improve functioning and well-being.</t>
  </si>
  <si>
    <t>Efficacy of clorazepate dipotassium in treating anxiety and alcohol withdrawal can reach 60-70% based on clinical response.</t>
  </si>
  <si>
    <t>Generally deemed safe for short-term use; however, long-term use carries risks of dependence and tolerance.</t>
  </si>
  <si>
    <t>Common adverse events include drowsiness, dizziness, confusion, and ataxia. Rare but serious events may include respiratory depression and allergic reactions.</t>
  </si>
  <si>
    <t>Estimated annual therapy costs are around $200-$600 depending on prescription coverage and dosage.</t>
  </si>
  <si>
    <t>Commonly prescribed for adults, particularly those aged 18-65 years; caution is advised in the elderly due to increased sensitivity to sedative medications.</t>
  </si>
  <si>
    <t>Prescribed to both genders, but anxiety disorders are more prevalent in females.</t>
  </si>
  <si>
    <t>CLORAZEPATE DIPOTASSIUM 3.75MG TAB</t>
  </si>
  <si>
    <t>Anxiety, agitation, insomnia, seizures (in alcohol withdrawal), muscle spasms</t>
  </si>
  <si>
    <t>Approximately 18.1% of adults experience anxiety disorders in a given year in the USA</t>
  </si>
  <si>
    <t>Chronic anxiety can significantly reduce quality of life, with potential impacts on social, occupational, and personal functioning</t>
  </si>
  <si>
    <t>Clorazepate has demonstrated efficacy in managing anxiety symptoms, often within a 30-minute timeframe after administration</t>
  </si>
  <si>
    <t>Generally considered safe when used as prescribed; risk increases with long-term use or high doses</t>
  </si>
  <si>
    <t>Drowsiness, dizziness, confusion, dependence, withdrawal symptoms, and increased risk of falls in the elderly</t>
  </si>
  <si>
    <t>Approximately $200 to $1,000 depending on insurance coverage and dosage</t>
  </si>
  <si>
    <t>Adults, though it can be prescribed to some older adolescents under medical guidance</t>
  </si>
  <si>
    <t>Both male and female; however, women are more frequently diagnosed with anxiety disorders</t>
  </si>
  <si>
    <t>PAROXETINE HCL 10MG/5ML SUSP,ORAL</t>
  </si>
  <si>
    <t>Symptoms include persistent sadness, loss of interest in activities, fatigue, changes in appetite, sleep disturbances, difficulty concentrating, feelings of worthlessness, and anxiety-related symptoms such as excessive worry or restlessness.</t>
  </si>
  <si>
    <t>Approximately 7.1% of adults in the USA experience MDD in any given year, with anxiety disorders being even more prevalent, affecting approximately 19.1% of adults annually.</t>
  </si>
  <si>
    <t>Paroxetine can significantly improve quality of life by reducing symptoms, leading to better emotional well-being and functioning in daily activities.</t>
  </si>
  <si>
    <t>Clinical trials suggest that paroxetine has a 50-70% response rate in reducing depressive and anxiety symptoms in appropriately diagnosed patients.</t>
  </si>
  <si>
    <t>Paroxetine is generally considered safe, but it should be prescribed with caution, especially considering its withdrawal effects and potential for inducing serotonin syndrome.</t>
  </si>
  <si>
    <t>Common adverse events include sexual dysfunction (25-30%), nausea, drowsiness, dry mouth, constipation, and weight gain. Serious adverse events can include increased risk of suicidal thoughts, especially in younger populations.</t>
  </si>
  <si>
    <t>The average annual cost of therapy with paroxetine can range from $300 to $1,200, depending on dosage and insurance coverage.</t>
  </si>
  <si>
    <t>Most commonly prescribed for adults (18-65 years), but can be prescribed off-label for older adults and adolescents with appropriate considerations.</t>
  </si>
  <si>
    <t>Both men and women can be affected by the conditions for which paroxetine is prescribed, but women are more likely to be diagnosed with depression and anxiety, possibly leading to higher utilization of the drug in females.</t>
  </si>
  <si>
    <t>Small molecules (specifically a selective serotonin reuptake inhibitor, SSRI).</t>
  </si>
  <si>
    <t>ESTAZOLAM 1MG TAB</t>
  </si>
  <si>
    <t>Anxiety disorders affect about 19% of adults in the USA annually.</t>
  </si>
  <si>
    <t>Anxiety disorders significantly reduce quality of life, impacting daily functioning, social interactions, and overall well-being.</t>
  </si>
  <si>
    <t>Estazolam is generally effective in reducing anxiety symptoms, with a response rate of approximately 70%.</t>
  </si>
  <si>
    <t>Considered safe when used as prescribed; however, there is a risk of dependence and withdrawal symptoms with prolonged use.</t>
  </si>
  <si>
    <t>Common adverse events include drowsiness, dizziness, headache, and memory impairment. Serious adverse events can lead to respiratory depression when combined with other CNS depressants.</t>
  </si>
  <si>
    <t>Approximately $300 to $600 depending on insurance coverage and dosing.</t>
  </si>
  <si>
    <t>Primarily adults (18 years and older), with cautious use in the elderly.</t>
  </si>
  <si>
    <t>Both genders are affected, though women are statistically more likely to seek treatment for anxiety disorders than men.</t>
  </si>
  <si>
    <t>Small molecule (benzodiazepine).</t>
  </si>
  <si>
    <t>ESTAZOLAM 2MG TAB</t>
  </si>
  <si>
    <t>Difficulty falling asleep, frequent awakenings, daytime fatigue, anxiety, nervousness</t>
  </si>
  <si>
    <t>Approximately 10% of adults in the USA suffer from insomnia, and anxiety disorders affect around 19% of the population.</t>
  </si>
  <si>
    <t>Significant improvements in quality of life can be observed with effective treatment, including better mood, performance, and social interactions.</t>
  </si>
  <si>
    <t>Generally effective with improvement in sleep latency and overall sleep quality for insomnia, and reduction in anxiety symptoms.</t>
  </si>
  <si>
    <t>Considered safe for short-term use; long-term safety is less established.</t>
  </si>
  <si>
    <t>Common side effects include drowsiness, dizziness, lightheadedness, and potential dependence.</t>
  </si>
  <si>
    <t>Approximately $1,500 to $2,000 depending on insurance coverage and frequency of prescriptions.</t>
  </si>
  <si>
    <t>Primarily adults aged 18-65, but can be prescribed for older adults as well.</t>
  </si>
  <si>
    <t>Used by both genders, though prevalence may be slightly higher in females.</t>
  </si>
  <si>
    <t>Small molecule hypnotic and anxiolytic.</t>
  </si>
  <si>
    <t>RIVFLOZA 80MG/0.5ML INJ</t>
  </si>
  <si>
    <t>Fatigue, fever, weight loss, easy bruising or bleeding, frequent infections, anemia, and pain in bones or joints.</t>
  </si>
  <si>
    <t>Approximately 21,000 new cases annually in the USA (about 4.5 per 100,000 people).</t>
  </si>
  <si>
    <t>Quality of life is significantly impacted during treatment and can remain affected long-term for survivors due to physical and emotional effects.</t>
  </si>
  <si>
    <t>Efficacy rates vary, with approximately 40-60% of patients achieving complete remission after initial induction therapy.</t>
  </si>
  <si>
    <t>Generally well-tolerated; however, specific safety profiles can vary based on individual patient factors and other concurrent treatments.</t>
  </si>
  <si>
    <t>Common adverse events include nausea, fatigue, vomiting, and risk of infection. More serious events can include febrile neutropenia and bleeding complications.</t>
  </si>
  <si>
    <t>Estimated at $100,000 - $200,000 per year, depending on treatment regimen and healthcare settings.</t>
  </si>
  <si>
    <t>Primarily adults, with a median age at diagnosis of 68 years.</t>
  </si>
  <si>
    <t>More common in males (approximately 1.5 times more than females).</t>
  </si>
  <si>
    <t>Monoclonal antibodies (RIVFLOZA is a specific combination of therapies used for certain hematologic malignancies).</t>
  </si>
  <si>
    <t>LACTASE 3000UNT TAB</t>
  </si>
  <si>
    <t>Approximately 25% of the Caucasian population, up to 70-90% of African American, Hispanic, and Asian populations in the USA</t>
  </si>
  <si>
    <t>Moderate impact; can significantly affect dietary choices and social situations</t>
  </si>
  <si>
    <t>Around 78% in reducing symptoms when taken before lactose-containing meals</t>
  </si>
  <si>
    <t>Generally considered safe; no significant safety concerns for most users</t>
  </si>
  <si>
    <t>Rarely may cause allergic reactions; potential for gastrointestinal side effects if taken improperly</t>
  </si>
  <si>
    <t>Approximately $100-$300 depending on frequency of use and brand</t>
  </si>
  <si>
    <t>All age groups, but commonly diagnosed in childhood and adulthood</t>
  </si>
  <si>
    <t>Enzyme replacement therapy (specifically, an enzyme preparation)</t>
  </si>
  <si>
    <t>MECLIZINE HCL 25MG TAB,CHEWABLE</t>
  </si>
  <si>
    <t>Nausea, vomiting, dizziness, spinning sensations (vertigo), imbalance</t>
  </si>
  <si>
    <t>Approximately 2-3% of the US population experiences severe motion sickness; vertigo affects around 30% of people at some point in their lives.</t>
  </si>
  <si>
    <t>Can significantly impact quality of life, particularly in those with frequent episodes; effective management can improve daily functioning and comfort.</t>
  </si>
  <si>
    <t>Efficacy rates for meclizine in treating motion sickness range from 70% to 80% based on patient reports.</t>
  </si>
  <si>
    <t>Generally considered safe when used as directed; side effects are usually mild.</t>
  </si>
  <si>
    <t>Common adverse events include drowsiness, dry mouth, blurred vision, and fatigue. Rarely, it may cause confusion or urinary retention.</t>
  </si>
  <si>
    <t>Estimated annual therapy costs can range from $100 to $300, depending on frequency of use.</t>
  </si>
  <si>
    <t>Approved for use in adults and children over 12 years of age; dosage adjustment may be needed for younger children.</t>
  </si>
  <si>
    <t>No significant gender differences in efficacy reported, although some studies suggest women may report higher incidence of motion sickness.</t>
  </si>
  <si>
    <t>BOROLEUM NASAL ANALGESIC</t>
  </si>
  <si>
    <t>Nasal congestion, sinus pressure, headache, facial pain, runny nose</t>
  </si>
  <si>
    <t>Approximately 20% of the US population experiences nasal congestion symptoms annually</t>
  </si>
  <si>
    <t>Can significantly impact quality of life by affecting sleep, daily activities, and productivity</t>
  </si>
  <si>
    <t>Generally effective in relieving symptoms of nasal congestion, with subjective improvement noted in user reports</t>
  </si>
  <si>
    <t>Generally considered safe when used as directed; topical analgesics have a low risk of systemic side effects</t>
  </si>
  <si>
    <t>Potential for local irritation, allergic reactions; rare systemic effects if used excessively</t>
  </si>
  <si>
    <t>Approximately $100 to $300 depending on usage and regional pricing</t>
  </si>
  <si>
    <t>Used across all age groups, more common in adults</t>
  </si>
  <si>
    <t>No significant gender differences in usage, but women may report higher levels of discomfort</t>
  </si>
  <si>
    <t>Topical analgesic (nasal analgesic formulation)</t>
  </si>
  <si>
    <t>KLISYRI 1% OINT</t>
  </si>
  <si>
    <t>Rough, scaly patches on sun-exposed skin, tenderness, redness, and sometimes itching or burning sensations.</t>
  </si>
  <si>
    <t>Approximately 10% of the population over 40 years old in the USA.</t>
  </si>
  <si>
    <t>Can significantly impact quality of life due to appearance, discomfort, and the risk of progression to skin cancer.</t>
  </si>
  <si>
    <t>Clinical trials show approximately 70% efficacy in achieving complete clearance of lesions.</t>
  </si>
  <si>
    <t>Generally well tolerated, with a safety profile that shows minimal systemic side effects.</t>
  </si>
  <si>
    <t>Common adverse events include localized irritation, erythema, burning, and stinging at the application site.</t>
  </si>
  <si>
    <t>Approximately $12,000 to $15,000 depending on treatment frequency and insurance coverage.</t>
  </si>
  <si>
    <t>Primarily adults aged 40 and older.</t>
  </si>
  <si>
    <t>More common in males than females.</t>
  </si>
  <si>
    <t>Topical therapy (small molecule).</t>
  </si>
  <si>
    <t>KLISYRI 1% OINT,TOP,PKT</t>
  </si>
  <si>
    <t>Rough, scaly patches on sun-exposed skin, redness, and tenderness in the affected area.</t>
  </si>
  <si>
    <t>Approximately 10-20% of adults in the U.S. over age 40 are affected by actinic keratosis, with higher prevalence in those with fair skin and significant sun exposure.</t>
  </si>
  <si>
    <t>Actinic keratosis can lead to dissatisfaction with skin appearance and may increase anxiety or concern regarding skin cancer risk, impacting overall quality of life.</t>
  </si>
  <si>
    <t>Clinical trials show KLISYRI (tirbanibulin) is effective, with a clearance rate of approximately 45-70% of lesions in treated patients after 28 days.</t>
  </si>
  <si>
    <t>Generally well-tolerated, with a low incidence of severe side effects, making it a safe option for many patients.</t>
  </si>
  <si>
    <t>Common adverse events include application site reactions such as erythema, peeling, and pruritus. Rarely, more serious reactions may occur.</t>
  </si>
  <si>
    <t>The estimated annual therapy costs for KLISYRI can be around $5,000 to $12,000 depending on the treatment frequency and insurance coverage.</t>
  </si>
  <si>
    <t>Primarily adults, generally over the age of 40.</t>
  </si>
  <si>
    <t>Affects all genders, with a slightly higher incidence in men due to greater cumulative sun exposure.</t>
  </si>
  <si>
    <t>Small molecule topical therapy.</t>
  </si>
  <si>
    <t>PACERONE TABLETS 200MG</t>
  </si>
  <si>
    <t>Ventricular Tachycardia</t>
  </si>
  <si>
    <t>Palpitations, dizziness, shortness of breath, fatigue, chest pain, and fainting.</t>
  </si>
  <si>
    <t>Approximately 2-3 million adults in the USA have AF, which increases with age.</t>
  </si>
  <si>
    <t>Patients with AF often experience a reduced quality of life due to anxiety, fatigue, and symptoms of arrhythmia.</t>
  </si>
  <si>
    <t>PACERONE (Amiodarone) effectively converts AF to normal sinus rhythm in around 30-50% of cases.</t>
  </si>
  <si>
    <t>Generally considered safe but requires monitoring due to potential side effects; long-term use may lead to thyroid and lung issues.</t>
  </si>
  <si>
    <t>Common adverse events include bradycardia, hypotension, pulmonary toxicity, and liver function abnormalities.</t>
  </si>
  <si>
    <t>Annual therapy costs can vary widely, typically between $500 to $2,000 without insurance.</t>
  </si>
  <si>
    <t>Commonly prescribed for adults aged 40 and older, particularly those with a history of heart disease.</t>
  </si>
  <si>
    <t>Affects both genders, but higher prevalence and complications may be seen in older men.</t>
  </si>
  <si>
    <t>Small molecule antiarrhythmic agent.</t>
  </si>
  <si>
    <t>VANDAZOLE 0.75% GEL,VAG</t>
  </si>
  <si>
    <t>Abnormal vaginal discharge, odor, itching, and irritation</t>
  </si>
  <si>
    <t>An estimated 29.2% of women in the USA experience bacterial vaginosis at some point in their lives.</t>
  </si>
  <si>
    <t>Quality of life may be affected due to discomfort and social stigma associated with the symptoms.</t>
  </si>
  <si>
    <t>Clinical studies show approximately 80-90% efficacy in treating bacterial vaginosis with agents like VANDASOLE.</t>
  </si>
  <si>
    <t>Generally regarded as safe for topical use; however, its safety profile should be evaluated based on individual health conditions.</t>
  </si>
  <si>
    <t>Possible local irritation, itching, burning sensation, or allergic reactions.</t>
  </si>
  <si>
    <t>Estimated cost for treatment may range from $300 to $600 per year, depending on frequency of use and prescription coverage.</t>
  </si>
  <si>
    <t>Primarily affects women of reproductive age (15-44 years).</t>
  </si>
  <si>
    <t>Topical gel treatment (anti-infective agent).</t>
  </si>
  <si>
    <t>BETHANECHOL CL 10MG TAB</t>
  </si>
  <si>
    <t>Urinary Retention</t>
  </si>
  <si>
    <t>Difficulty starting urination, weak stream, feeling of incomplete bladder emptying, urinary urgency</t>
  </si>
  <si>
    <t>Approximately 3-8% of the population may experience urinary retention at some point in their lives</t>
  </si>
  <si>
    <t>Can significantly impact daily activities, mental health, and overall quality of life due to discomfort and anxiety regarding urination</t>
  </si>
  <si>
    <t>Generally effective in promoting bladder contractions; success rates vary, with studies showing 60-80% efficacy in appropriate candidates</t>
  </si>
  <si>
    <t>Generally considered safe when used as directed; however, caution is advised in patients with certain conditions</t>
  </si>
  <si>
    <t>Common adverse events include abdominal cramps, diarrhea, excessive salivation, and sweating; less common but serious adverse events may include bradycardia or hypotension</t>
  </si>
  <si>
    <t>Estimated at $300 to $500, depending on the health insurance coverage and additional medical needs</t>
  </si>
  <si>
    <t>Primarily adults, but can be prescribed to children in specific cases</t>
  </si>
  <si>
    <t>More common in males, especially with age-related conditions such as prostate enlargement</t>
  </si>
  <si>
    <t>Small molecule (cholinergic agent)</t>
  </si>
  <si>
    <t>BETHANECHOL CL 25MG TAB</t>
  </si>
  <si>
    <t>Inability to urinate, abdominal distension, constipation, nausea, and vomiting</t>
  </si>
  <si>
    <t>Urinary retention affects approximately 0.5% to 1% of the general population; gastrointestinal atony prevalence varies and is less commonly quantified</t>
  </si>
  <si>
    <t>Significant improvement in quality of life for patients with urinary retention when effectively treated; gastrointestinal issues can severely impact daily activities if untreated</t>
  </si>
  <si>
    <t>Efficacy is approximately 60-70% for urinary retention and varies for gastrointestinal diseases depending on the cause</t>
  </si>
  <si>
    <t>Generally considered safe with appropriate use; caution in patients with certain conditions</t>
  </si>
  <si>
    <t>Common adverse events include increased salivation, sweating, abdominal cramping, diarrhea, and flushing</t>
  </si>
  <si>
    <t>Primarily adults; used cautiously in children under medical supervision</t>
  </si>
  <si>
    <t>No significant gender prevalence; used in both males and females</t>
  </si>
  <si>
    <t>BETHANECHOL CL 50MG TAB</t>
  </si>
  <si>
    <t>Difficulty urinating, weak urinary stream, urinary frequency, inability to empty the bladder</t>
  </si>
  <si>
    <t>Approximately 7-10% of adults experience urinary retention at some point in their lives, with higher rates in older adults</t>
  </si>
  <si>
    <t>Reduced quality of life due to discomfort, anxiety about urination, and potential need for catheterization</t>
  </si>
  <si>
    <t>Approximately 70-80% effective in increasing bladder contraction and improving urination</t>
  </si>
  <si>
    <t>Generally considered safe for use; however, monitoring is recommended for specific populations</t>
  </si>
  <si>
    <t>Common adverse events include abdominal cramping, diarrhea, excessive salivation, and sweating</t>
  </si>
  <si>
    <t>Approximately $300 to $600 depending on dosage and insurance coverage</t>
  </si>
  <si>
    <t>Primarily adults, especially those over 50 years old</t>
  </si>
  <si>
    <t>More common in males, but also prevalent in females with various underlying conditions</t>
  </si>
  <si>
    <t>DIVALPROEX SODIUM 125MG DR</t>
  </si>
  <si>
    <t>Mood swings, manic episodes, seizures, headache</t>
  </si>
  <si>
    <t>Approximately 2.6% for bipolar disorder, 1% for epilepsy, 12% for migraines in the USA</t>
  </si>
  <si>
    <t>Can improve significantly with proper management; however, chronic conditions may affect overall quality of life</t>
  </si>
  <si>
    <t>Efficacious in reducing manic episodes by approximately 50% in bipolar disorder, effective for seizure control in 50-70% of patients with epilepsy, and decreases migraine frequency by 50% in some individuals</t>
  </si>
  <si>
    <t>Generally well-tolerated; however, long-term use requires monitoring for liver function and blood parameters</t>
  </si>
  <si>
    <t>Common adverse events include nausea, drowsiness, dizziness, tremor, weight gain, and hair loss; serious but rare events include liver damage and pancreatitis</t>
  </si>
  <si>
    <t>Approximately $600 to $1,200 depending on insurance coverage</t>
  </si>
  <si>
    <t>Generally used in adults and children from age 2 years and older</t>
  </si>
  <si>
    <t>Prescribed across all genders, but specific studies may note variances in efficacy and adverse effects</t>
  </si>
  <si>
    <t>Small molecules (anticonvulsant/antimanic agent)</t>
  </si>
  <si>
    <t>XYREM 500MG/ML ORAL SOLN</t>
  </si>
  <si>
    <t>Excessive daytime sleepiness, cataplexy (sudden muscle weakness), sleep paralysis, hallucinations during sleep transitions</t>
  </si>
  <si>
    <t>Approximately 0.03% to 0.16% of the population in the USA</t>
  </si>
  <si>
    <t>Significantly impaired due to fatigue, disrupted sleep, and effects on daily activities; many patients struggle with employment and social interactions</t>
  </si>
  <si>
    <t>Clinical studies have shown XYREM to improve daytime sleepiness and reduce cataplexy episodes by 30-60% in patients with narcolepsy</t>
  </si>
  <si>
    <t>Generally well-tolerated, but careful monitoring is required due to side effects</t>
  </si>
  <si>
    <t>Dizziness, headache, nausea, enuresis, and potential for misuse and dependency</t>
  </si>
  <si>
    <t>Approximately $25,000 to $40,000 per year depending on dosage and insurance coverage</t>
  </si>
  <si>
    <t>Primarily adults; can be prescribed to adolescents (ages 7 and older)</t>
  </si>
  <si>
    <t>Affects both genders, with slight male predominance in prevalence</t>
  </si>
  <si>
    <t>Small molecule (sodium oxybate)</t>
  </si>
  <si>
    <t>XYWAV 500MG/ML ORAL SOLN</t>
  </si>
  <si>
    <t>Excessive daytime sleepiness, cataplexy (sudden loss of muscle tone), sleep paralysis, hallucinations, disrupted nighttime sleep.</t>
  </si>
  <si>
    <t>Approximately 0.02% to 0.05% of the population in the USA.</t>
  </si>
  <si>
    <t>Significantly impaired; patients often experience difficulties in daily activities and psychosocial functioning.</t>
  </si>
  <si>
    <t>70-80% reduction in daytime sleepiness and cataplexy episodes in clinical trials.</t>
  </si>
  <si>
    <t>Generally well-tolerated; patients should be monitored for effectiveness and side effects.</t>
  </si>
  <si>
    <t>Commonly reported are dizziness, somnolence, and headache; rare but serious risks include respiratory depression.</t>
  </si>
  <si>
    <t>Approximately $13,000 to $15,000 per year.</t>
  </si>
  <si>
    <t>Approved for adults and pediatric patients 7 years or older.</t>
  </si>
  <si>
    <t>Both genders are affected, but prevalence may vary slightly with higher rates reported in women.</t>
  </si>
  <si>
    <t>Small molecules (specifically a combination of sodium oxybate).</t>
  </si>
  <si>
    <t>VYXEOS LIPOSOME 44MG/100MG VIAL</t>
  </si>
  <si>
    <t>Symptoms can include fatigue, weakness, fever, easy bruising or bleeding, frequent infections, and pale skin.</t>
  </si>
  <si>
    <t>Approximately 20,000 new cases of AML are diagnosed in the USA annually, with therapy-related AML being a subset of this population.</t>
  </si>
  <si>
    <t>Quality of life can be significantly impacted due to the disease and its treatment, with patients often experiencing fatigue, emotional distress, and physical health decline.</t>
  </si>
  <si>
    <t>VYXEOS has been shown to improve survival rates compared to traditional chemotherapy in specific patient populations; overall response rates vary but can be in the range of 50-70%.</t>
  </si>
  <si>
    <t>VYXEOS is generally considered safe when used appropriately, but patients are monitored closely due to associated risks.</t>
  </si>
  <si>
    <t>Common adverse events include febrile neutropenia, bleeding events, infection, nausea, vomiting, and fatigue.</t>
  </si>
  <si>
    <t>The annual cost of therapy can vary greatly; however, it is estimated to be around $200,000 to $300,000.</t>
  </si>
  <si>
    <t>Most commonly prescribed for adults, typically ages 60 and older, but can be used in younger patients as well, depending on individual cases.</t>
  </si>
  <si>
    <t>Both males and females are affected, with a slight male predominance in incidence.</t>
  </si>
  <si>
    <t>Liposomal formulation of cytarabine and daunorubicin, classified as a combination chemotherapy agent.</t>
  </si>
  <si>
    <t>RYLAZE 10MG/0.5ML</t>
  </si>
  <si>
    <t>Fatigue, fever, frequent infections, easy bruising or bleeding, pale skin, bone or joint pain, swollen lymph nodes, and abdominal discomfort.</t>
  </si>
  <si>
    <t>Approximately 4,200 cases of ALL are diagnosed annually in the USA, with incidence rates around 1.6 cases per 100,000 people.</t>
  </si>
  <si>
    <t>Patients may experience significant impacts on daily life due to symptoms, treatment side effects, and long-term health complications. Quality of life improves after remission is achieved.</t>
  </si>
  <si>
    <t>RYLAZE has demonstrated high efficacy in reducing leukemic cells in patients with ALL, shown through clinical trials with complete remission rates around 80%.</t>
  </si>
  <si>
    <t>Generally well-tolerated; however, specific monitoring is required due to potential liver toxicity and hypersensitivity reactions.</t>
  </si>
  <si>
    <t>Common adverse events include elevation of liver enzymes, vomiting, fatigue, and infections. Serious adverse events can include allergic reactions and hepatic toxicity.</t>
  </si>
  <si>
    <t>The annual therapy cost for RYLAZE is estimated to be around $300,000 to $400,000.</t>
  </si>
  <si>
    <t>Primarily used in patients aged 1 year and older, including both adolescents and adults.</t>
  </si>
  <si>
    <t>ALL can occur in both males and females, though it is slightly more common in males.</t>
  </si>
  <si>
    <t>RYLAZE is a recombinant enzyme (asparaginase), classified under therapeutic enzymes and biologics.</t>
  </si>
  <si>
    <t>EPIDIOLEX 100MG/ML SOLN,ORAL</t>
  </si>
  <si>
    <t>Severe seizures, developmental delays, behavioral issues, and cognitive impairments</t>
  </si>
  <si>
    <t>Approximately 0.25 to 1 per 1,000 children in the USA</t>
  </si>
  <si>
    <t>Can significantly improve quality of life for patients and caregivers by reducing seizure frequency and severity</t>
  </si>
  <si>
    <t>Clinical studies have shown a reduction in seizure frequency by approximately 50% in some patients</t>
  </si>
  <si>
    <t>Generally well tolerated; however, it may still have some risks associated with long-term use</t>
  </si>
  <si>
    <t>Drowsiness, decreased appetite, fatigue, diarrhea, liver enzyme elevations</t>
  </si>
  <si>
    <t>Approximately $32,500 (varies based on insurance coverage and dosages)</t>
  </si>
  <si>
    <t>Primarily used in children, ages 1 year and older</t>
  </si>
  <si>
    <t>Cannabinoid (derived from cannabis)</t>
  </si>
  <si>
    <t>Dravet Syndrome</t>
  </si>
  <si>
    <t>ALINIA 500MG TAB</t>
  </si>
  <si>
    <t>Giardiasis</t>
  </si>
  <si>
    <t>Diarrhea, abdominal cramps, bloating, nausea, weight loss, fatigue</t>
  </si>
  <si>
    <t>Approximately 2-5% of the U.S. population annually</t>
  </si>
  <si>
    <t>Moderate to severe impact during acute episodes, with potential for chronic symptoms if untreated</t>
  </si>
  <si>
    <t>Approximately 90% effective in treating giardiasis in clinical settings</t>
  </si>
  <si>
    <t>Generally considered safe when used as directed; associated with minimal risk in healthy individuals</t>
  </si>
  <si>
    <t>Common adverse events include nausea, headache, and abdominal pain; serious adverse effects are rare</t>
  </si>
  <si>
    <t>Approximately $300-$500, depending on insurance and pharmacy pricing</t>
  </si>
  <si>
    <t>All age groups but especially common in children under 10 years</t>
  </si>
  <si>
    <t>No significant gender differences in prevalence or treatment outcomes</t>
  </si>
  <si>
    <t>Antimicrobial (specifically a nitroimidazole derivative)</t>
  </si>
  <si>
    <t>ALINIA 100MG/5ML SUSP,ORAL</t>
  </si>
  <si>
    <t>Diarrhea, abdominal cramps, bloating, nausea, fatigue, weight loss</t>
  </si>
  <si>
    <t>Approximately 2% to 5% of the U.S. population annually</t>
  </si>
  <si>
    <t>Can significantly affect daily activities and overall well-being during infection</t>
  </si>
  <si>
    <t>Approximately 90% effective in clinical trials for treating giardiasis</t>
  </si>
  <si>
    <t>Generally considered safe when used as directed; monitored for potential side effects</t>
  </si>
  <si>
    <t>Commonly reported adverse events include diarrhea, nausea, abdominal discomfort, and headache</t>
  </si>
  <si>
    <t>Estimated at $600 to $1,200 depending on insurance coverage and duration of therapy</t>
  </si>
  <si>
    <t>Approved for use in children over 1 year and adults</t>
  </si>
  <si>
    <t>No gender-specific prevalence; affects both males and females equally</t>
  </si>
  <si>
    <t>Antiparasitic agent (small molecule)</t>
  </si>
  <si>
    <t>PROCYSBI DELAYED RELEASE 25MG CAPS</t>
  </si>
  <si>
    <t>Cystinosis</t>
  </si>
  <si>
    <t>Growth failure, renal tubular Fanconi syndrome, ocular symptoms (corneal deposits leading to photophobia and tearing), hypothyroidism, and muscle weakness.</t>
  </si>
  <si>
    <t>Approximately 2,000 patients in the USA.</t>
  </si>
  <si>
    <t>Significant improvement in quality of life with proper treatment, but ongoing management is required for long-term health.</t>
  </si>
  <si>
    <t>High efficacy in reducing cystine levels and preventing organ damage; effective in delaying renal failure.</t>
  </si>
  <si>
    <t>Generally safe when monitored; main concern is adherence to dosing regimen to avoid toxicity.</t>
  </si>
  <si>
    <t>Common adverse events include headache, abdominal pain, nausea, vomiting, and potential renal impairment.</t>
  </si>
  <si>
    <t>Approximately $300,000 per year.</t>
  </si>
  <si>
    <t>Primarily children and young adults; can be prescribed at any age after diagnosis.</t>
  </si>
  <si>
    <t>Both males and females are affected equally.</t>
  </si>
  <si>
    <t>Small molecule drug (cystine-depleting agent).</t>
  </si>
  <si>
    <t>PROCYSBI DELAYED RELEASE 75MG CAPS</t>
  </si>
  <si>
    <t>Growth delays, kidney dysfunction, photophobia, pancreatitis, rickets, corneal deposits, muscular hypotonia</t>
  </si>
  <si>
    <t>Approximately 2,000 to 3,000 cases in the USA</t>
  </si>
  <si>
    <t>Significantly impacted due to chronic health issues; many patients require lifelong treatment and have ongoing health challenges</t>
  </si>
  <si>
    <t>Reduces cystine levels and associated complications; many studies show improved kidney function and overall health in treated patients</t>
  </si>
  <si>
    <t>Generally considered safe; however, long-term treatment requires monitoring for potential side effects</t>
  </si>
  <si>
    <t>Nausea, vomiting, diarrhea, abdominal pain, headache, tremors, and potential kidney complications</t>
  </si>
  <si>
    <t>Approximately $250,000 to $300,000</t>
  </si>
  <si>
    <t>Typically diagnosed in childhood; can affect individuals of all ages</t>
  </si>
  <si>
    <t>No significant gender predisposition; affects males and females equally</t>
  </si>
  <si>
    <t>Small molecules (cystine-depleting agent)</t>
  </si>
  <si>
    <t>PROCYSBI 75MG GRANULE PACKET</t>
  </si>
  <si>
    <t>Growth retardation, renal tubular Fanconi syndrome, ocular symptoms (photophobia, corneal deposits), muscle weakness, and liver complications.</t>
  </si>
  <si>
    <t>Approximately 1 in 100,000 live births in the USA.</t>
  </si>
  <si>
    <t>Patients often experience a significantly reduced quality of life due to the chronic management of symptoms and complications associated with cystinosis.</t>
  </si>
  <si>
    <t>60-70% in reducing cystine levels in leukocytes, which can delay the onset of complications when started early.</t>
  </si>
  <si>
    <t>Generally well-tolerated; regular monitoring is necessary to assess for potential adverse effects.</t>
  </si>
  <si>
    <t>Nausea, vomiting, diarrhea, headaches, and potential for renal adverse effects.</t>
  </si>
  <si>
    <t>Approximately $300,000 to $400,000 per year depending on the dosage and insurance coverage.</t>
  </si>
  <si>
    <t>Primarily diagnosed in childhood, but management continues throughout life; effects can be lifelong.</t>
  </si>
  <si>
    <t>Affects both males and females equally; no gender bias in prevalence.</t>
  </si>
  <si>
    <t>Small molecule (cystine-depleting agent).</t>
  </si>
  <si>
    <t>PROCYSBI 300MG GRANULE PACKET</t>
  </si>
  <si>
    <t>Renal Fanconi syndrome, growth retardation, developmental delays, photophobia, kidney failure, and corneal deposits leading to visual impairment.</t>
  </si>
  <si>
    <t>Approximately 2,000 people in the United States have cystinosis, making it a rare disease with a prevalence of about 1 in 100,000 live births.</t>
  </si>
  <si>
    <t>Chronic illness with significant impact on quality of life due to complications like renal disease, ophthalmologic issues, and need for long-term management; however, treatment can improve life expectancy and functionality.</t>
  </si>
  <si>
    <t>PROCYSBI (cysteamine bitartrate) has been shown to be effective in reducing cystine accumulation in cells, leading to improved kidney function and reduced complications; regular monitoring is essential for optimal outcomes.</t>
  </si>
  <si>
    <t>Generally considered safe when used as prescribed; monitoring of kidney function and growth is necessary; long-term use requires regular follow-up.</t>
  </si>
  <si>
    <t>Common adverse events include gastrointestinal disturbances (nausea, vomiting, abdominal pain), headache, and fatigue; serious adverse effects can include renal impairment and growth suppression if not closely monitored.</t>
  </si>
  <si>
    <t>Estimated costs can range from $20,000 to $30,000 per year.</t>
  </si>
  <si>
    <t>Primarily affects children and young adults; diagnosis often made in infancy or early childhood.</t>
  </si>
  <si>
    <t>No significant gender predisposition; affects males and females equally.</t>
  </si>
  <si>
    <t>Small molecule (cysteamine bitartrate).</t>
  </si>
  <si>
    <t>TIGLUTIK 50MG/10ML SUSP,ORAL</t>
  </si>
  <si>
    <t>Muscle weakness, difficulty speaking, difficulty swallowing, muscle cramps and twitching, respiratory problems</t>
  </si>
  <si>
    <t>Approximately 5.4 per 100,000 people (approximately 16,000 people in the USA)</t>
  </si>
  <si>
    <t>Significantly impacted due to progressive loss of function and independence</t>
  </si>
  <si>
    <t>Clinical studies have shown a modest impact on functional decline, with some patients experiencing slowed disease progression</t>
  </si>
  <si>
    <t>Generally well-tolerated, but monitoring for potential side effects is essential</t>
  </si>
  <si>
    <t>Gastrointestinal issues (e.g., nausea), respiratory effects, injection site reactions</t>
  </si>
  <si>
    <t>Approximately $100,000 to $150,000</t>
  </si>
  <si>
    <t>Primarily adults, typically between ages 40 and 70</t>
  </si>
  <si>
    <t>More common in males (approximately 60% male, 40% female)</t>
  </si>
  <si>
    <t>Small molecule drug (specifically a neuroprotective agent)</t>
  </si>
  <si>
    <t>KEDRAB 150UNT/ML INJ, 2ML</t>
  </si>
  <si>
    <t>Rabies</t>
  </si>
  <si>
    <t>Fever, headache, confusion, agitation, paralysis, hydrophobia, hallucinations, seizures, and eventually coma or death.</t>
  </si>
  <si>
    <t>Rabies is reported in about 1 to 3 cases annually in the USA, with higher incidence in certain animals.</t>
  </si>
  <si>
    <t>Rabies has a very poor quality of life outcome once symptoms appear; it is often fatal.</t>
  </si>
  <si>
    <t>Highly effective when administered post-exposure before symptoms develop.</t>
  </si>
  <si>
    <t>Generally safe when used appropriately; however, allergic reactions can occur.</t>
  </si>
  <si>
    <t>Localized pain at the injection site, fever, headache, allergic reactions.</t>
  </si>
  <si>
    <t>Costs may vary, but rabies post-exposure prophylaxis can range from $3,000 to $6,000 depending on circumstances.</t>
  </si>
  <si>
    <t>All age groups (most common in children due to higher exposure risks).</t>
  </si>
  <si>
    <t>No significant gender predilection.</t>
  </si>
  <si>
    <t>Monoclonal antibodies (immunoglobulins for post-exposure treatment).</t>
  </si>
  <si>
    <t>KEDRAB 150UNT/ML INJ, 10ML</t>
  </si>
  <si>
    <t>Fever, headache, confusion, agitation, hallucinations, paralysis, hydrophobia, difficulty swallowing, and seizures</t>
  </si>
  <si>
    <t>Approximately 1 to 3 cases per year in the USA, primarily from wildlife bites</t>
  </si>
  <si>
    <t>Poor, as rabies is almost universally fatal once clinical symptoms appear</t>
  </si>
  <si>
    <t>High efficacy when administered post-exposure before the onset of symptoms; prevention of disease is the key focus</t>
  </si>
  <si>
    <t>Generally safe, especially when given as a post-exposure treatment; however, there may be rare cases of allergic reactions</t>
  </si>
  <si>
    <t>Mild side effects like headache, nausea, or local reactions at the injection site; serious reactions are very rare</t>
  </si>
  <si>
    <t>Cost varies widely but can be roughly estimated at $1,500 to $5,000 depending on situational factors (e.g., location of exposure, type of rabies exposure prophylaxis required)</t>
  </si>
  <si>
    <t>All age groups, but specific considerations may apply for very young children or elderly patients</t>
  </si>
  <si>
    <t>No specific gender predisposition; used universally</t>
  </si>
  <si>
    <t>Monoclonal antibody therapy</t>
  </si>
  <si>
    <t>XEOMIN 50 UNIT/VIL INJ</t>
  </si>
  <si>
    <t>Involuntary muscle contractions, abnormal head posture, spasms around the eyes, chronic headaches</t>
  </si>
  <si>
    <t>Approximately 3 to 20 cases per 100,000 for cervical dystonia; blepharospasm prevalence is less than 1% of the population; chronic migraine affects around 1-2% of the population in the USA.</t>
  </si>
  <si>
    <t>Significantly impaired due to muscular spasms and associated pain; can affect daily activities, emotional well-being, and productivity.</t>
  </si>
  <si>
    <t>Studies indicate an efficacy rate of around 40-50% for reducing symptoms in patients with cervical dystonia and blepharospasm. Efficacy in chronic migraine can also improve headache days by 50%.</t>
  </si>
  <si>
    <t>Generally considered safe when administered properly; long-term use requires monitoring.</t>
  </si>
  <si>
    <t>Pain at the injection site, muscle weakness, headaches, dysphagia, fatigue, dry mouth, flu-like symptoms.</t>
  </si>
  <si>
    <t>Approximately $5,000 to $10,000, depending on treatment frequency and patient-specific factors.</t>
  </si>
  <si>
    <t>Primarily adults; typically used in individuals aged 18 and older.</t>
  </si>
  <si>
    <t>More common in females for conditions like cervical dystonia and chronic migraine.</t>
  </si>
  <si>
    <t>Botulinum toxin type A (small molecule therapy).</t>
  </si>
  <si>
    <t>XEOMIN 100 UNIT/VIL INJ</t>
  </si>
  <si>
    <t>Involuntary muscle contractions, abnormal posture, headaches (in chronic migraine), eyelid spasms (in blepharospasm)</t>
  </si>
  <si>
    <t>Approximately 3 cases per 100,000 people for cervical dystonia; blepharospasm affects around 1 in 20,000 people; chronic migraine affects about 1-2% of the population in the USA.</t>
  </si>
  <si>
    <t>Significant impairment due to pain and disability, affecting daily activities and mental health.</t>
  </si>
  <si>
    <t>Clinical studies have shown XEOMIN to reduce the severity of symptoms in cervical dystonia and chronic migraine in about 50-70% of patients.</t>
  </si>
  <si>
    <t>Generally well-tolerated; some patients may experience mild and temporary side effects.</t>
  </si>
  <si>
    <t>Common adverse events include injection site pain, headache, fatigue, and nausea. Rarely, it can cause dysphagia or muscle weakness.</t>
  </si>
  <si>
    <t>Costs can vary widely but typically range from $5,000 to $15,000 depending on treatment frequency and insurance coverage.</t>
  </si>
  <si>
    <t>Primarily adults, often in the 30-60 year age range.</t>
  </si>
  <si>
    <t>Affects both genders, but cervical dystonia is more prevalent in women.</t>
  </si>
  <si>
    <t>Botulinum toxin type A (small molecule).</t>
  </si>
  <si>
    <t>XEOMIN 200 UNIT/VIL INJ</t>
  </si>
  <si>
    <t>Involuntary muscle contractions, neck pain, abnormal head posture, and muscle spasms.</t>
  </si>
  <si>
    <t>Approximately 3 per 100,000 individuals in the USA.</t>
  </si>
  <si>
    <t>Significantly impacted due to physical discomfort and limitations in movement; patients often report lower quality of life scores.</t>
  </si>
  <si>
    <t>XEOMIN has shown efficacy rates of approximately 70% in reducing symptoms for individuals with cervical dystonia.</t>
  </si>
  <si>
    <t>Generally considered safe; however, the drug has a risk of side effects which can vary among patients.</t>
  </si>
  <si>
    <t>Common adverse events include injection site reactions, headache, muscle weakness, and flu-like symptoms.</t>
  </si>
  <si>
    <t>Approximately $7,000 to $15,000, depending on treatment frequency and healthcare coverage.</t>
  </si>
  <si>
    <t>Primarily adults (most commonly affects individuals aged 30-60).</t>
  </si>
  <si>
    <t>Affects both genders, but slightly more common in women.</t>
  </si>
  <si>
    <t>Botulinum toxin type A (biologic therapy).</t>
  </si>
  <si>
    <t>FINTEPLA 2.2MG/ML SOLN,ORAL</t>
  </si>
  <si>
    <t>Frequent and prolonged seizures, developmental delays, cognitive impairments, behavioral issues, and ataxia.</t>
  </si>
  <si>
    <t>Approximately 1 in 15,700 live births in the USA.</t>
  </si>
  <si>
    <t>Significantly impacted due to frequent seizures and associated developmental challenges, leading to reduced overall quality of life for patients and their families.</t>
  </si>
  <si>
    <t>Clinical trials have shown that FINTEPLA can reduce the frequency of seizures in patients with Dravet Syndrome.</t>
  </si>
  <si>
    <t>Generally well-tolerated; however, ongoing monitoring is required for potential adverse effects.</t>
  </si>
  <si>
    <t>Common adverse events include sedation, decreased appetite, diarrhea, and irritability.</t>
  </si>
  <si>
    <t>Approximately $130,000 - $150,000 per year, depending on dosage and insurance coverage.</t>
  </si>
  <si>
    <t>Approved for use in patients 2 years of age and older.</t>
  </si>
  <si>
    <t>Small molecule (specific to the cannabinoid receptor system).</t>
  </si>
  <si>
    <t>NAYZILAM 5MG/SPRAY</t>
  </si>
  <si>
    <t>Status Epilepticus</t>
  </si>
  <si>
    <t>Prolonged seizures, confusion, loss of consciousness, muscle spasms</t>
  </si>
  <si>
    <t>Approximately 150,000 cases of status epilepticus occur in the USA annually</t>
  </si>
  <si>
    <t>Status epilepticus can significantly decrease quality of life due to cognitive impairment and increased risk of injury</t>
  </si>
  <si>
    <t>NAYZILAM has shown efficacy in terminating seizure episodes with rapid onset of action</t>
  </si>
  <si>
    <t>Generally considered safe for use, with a favorable safety profile in acute settings</t>
  </si>
  <si>
    <t>Common adverse events include sedation, somnolence, dizziness, and potential respiratory depression</t>
  </si>
  <si>
    <t>Approximately $8,000 - $12,000</t>
  </si>
  <si>
    <t>Approved for use in adults and children aged 12 years and older</t>
  </si>
  <si>
    <t>No specific gender-based restrictions; used in both males and females</t>
  </si>
  <si>
    <t>Nasal spray formulation of the small molecule drug midazolam</t>
  </si>
  <si>
    <t>NOCDURNA 27.7MCG TAB,SUBLINGUAL</t>
  </si>
  <si>
    <t>Nocturia</t>
  </si>
  <si>
    <t>Frequent urination during the night, leading to disturbed sleep</t>
  </si>
  <si>
    <t>Approximately 10-20% of adults in the USA experience nocturia</t>
  </si>
  <si>
    <t>Significant impact on sleep quality and overall well-being, often leading to fatigue and decreased daily functioning</t>
  </si>
  <si>
    <t>Clinical studies show that NOCDURNA (desmopressin) is effective in reducing nocturnal urine production, with about 40-50% of patients experiencing significant improvement</t>
  </si>
  <si>
    <t>Generally well-tolerated; however, monitoring is needed for water retention and electrolyte imbalances</t>
  </si>
  <si>
    <t>Common adverse events include headache, nausea, and abdominal pain; serious adverse effects can include hyponatremia and seizures</t>
  </si>
  <si>
    <t>Approximately $1,200 - $2,000 depending on insurance coverage and patient out-of-pocket expenses</t>
  </si>
  <si>
    <t>Primarily in adults, commonly affecting individuals aged 50 and older</t>
  </si>
  <si>
    <t>Affects both men and women, but may be more prevalent in males due to prostate issues</t>
  </si>
  <si>
    <t>Small molecule (specifically a synthetic analog of vasopressin)</t>
  </si>
  <si>
    <t>NOCDURNA 55.3MCG TAB,SUBLINGUAL</t>
  </si>
  <si>
    <t>Increased frequency of urination at night, interrupted sleep, difficulty returning to sleep after urination</t>
  </si>
  <si>
    <t>Approximately 10% to 20% of adults in the USA experience nocturia, with prevalence increasing with age</t>
  </si>
  <si>
    <t>Nocturia significantly impacts quality of life, leading to sleep disturbances, fatigue, and decreased daily functioning</t>
  </si>
  <si>
    <t>Clinical studies show that NOCDURNA can reduce nocturnal voiding frequency by approximately 25% to 50%</t>
  </si>
  <si>
    <t>Generally considered safe when used as directed, but potential for side effects</t>
  </si>
  <si>
    <t>Common adverse events include dry mouth (20%), headache (10%), and dizziness (may lead to falls in some populations)</t>
  </si>
  <si>
    <t>Approximately $4,500 to $6,000 per year, depending on insurance coverage and dosage</t>
  </si>
  <si>
    <t>Primarily adults aged 50 years and older</t>
  </si>
  <si>
    <t>Affects both genders, but more prevalent in men due to prostate-related issues</t>
  </si>
  <si>
    <t>Small molecules (specifically, a sublingual formulation of Desmopressin)</t>
  </si>
  <si>
    <t>SEROQUEL 100MG TAB</t>
  </si>
  <si>
    <t>Hallucinations, delusions, disorganized thinking, mood swings, depression, mania</t>
  </si>
  <si>
    <t>Approximately 1% for schizophrenia and about 1-3% for bipolar disorder in the USA</t>
  </si>
  <si>
    <t>Can significantly improve the quality of life when effectively managed, as patients may see a decrease in symptoms and improved functioning</t>
  </si>
  <si>
    <t>Efficacy in reducing symptoms of schizophrenia and stabilizing mood in bipolar disorder; typically 60-70% response rate</t>
  </si>
  <si>
    <t>Generally considered safe but can have side effects; long-term use requires monitoring for metabolic changes</t>
  </si>
  <si>
    <t>Weight gain, sedation, dizziness, dry mouth, increased cholesterol levels, movement disorders</t>
  </si>
  <si>
    <t>Approximately $4,800 to $7,200 without insurance</t>
  </si>
  <si>
    <t>Approved for use in adolescents (13 years and older) to adults</t>
  </si>
  <si>
    <t>Equally prescribed to both males and females; some differences in side effects experienced</t>
  </si>
  <si>
    <t>SEROQUEL 50MG TAB</t>
  </si>
  <si>
    <t>For schizophrenia: hallucinations, delusions, disorganized thinking, and impaired functioning. For bipolar disorder: episodes of mania (elevated mood, increased activity) and depression (low mood, fatigue).</t>
  </si>
  <si>
    <t>Quality of life can be significantly impaired by symptoms, with effective treatment leading to improved functioning and social interaction.</t>
  </si>
  <si>
    <t>Efficacy of Seroquel in reducing symptoms of schizophrenia and managing mood episodes in bipolar disorder is generally rated as moderate to high based on clinical studies, with significant improvement in symptom scales.</t>
  </si>
  <si>
    <t>Generally considered safe when used as directed, though close monitoring is required for metabolic side effects.</t>
  </si>
  <si>
    <t>Common adverse events include sedation, weight gain, dry mouth, dizziness, and potential extrapyramidal symptoms.</t>
  </si>
  <si>
    <t>Approximately $5,000 to $10,000, depending on insurance coverage and patient out-of-pocket costs.</t>
  </si>
  <si>
    <t>Approved for use in adults and adolescents (ages 13-17) for bipolar disorder and schizophrenia.</t>
  </si>
  <si>
    <t>No significant gender bias in efficacy, but some studies suggest women may experience more side effects related to metabolism.</t>
  </si>
  <si>
    <t>SEROQUEL XR 300MG TAB</t>
  </si>
  <si>
    <t>Symptoms of schizophrenia include hallucinations, delusions, disorganized thinking, and impaired functioning. Symptoms of bipolar disorder include episodes of mania (elevated mood, increased energy) and depression (sadness, loss of interest).</t>
  </si>
  <si>
    <t>Schizophrenia affects approximately 1% of the population in the USA; bipolar disorder affects about 2.8% of adults in the USA.</t>
  </si>
  <si>
    <t>Quality of life can be significantly impaired due to the chronic nature of these disorders, with challenges in social functioning and daily activities.</t>
  </si>
  <si>
    <t>Seroquel XR is generally effective for managing symptoms of schizophrenia and bipolar disorder, with a response rate of about 70% in schizophrenia and variable efficacy in bipolar disorder depending on the phase.</t>
  </si>
  <si>
    <t>Generally well-tolerated, but may cause sedation, weight gain, and metabolic changes.</t>
  </si>
  <si>
    <t>Common adverse events include drowsiness, dry mouth, dizziness, constipation, and extrapyramidal symptoms. Serious adverse events can include metabolic syndrome and suicidal thoughts.</t>
  </si>
  <si>
    <t>Approximately $4,500 to $6,000 annually, depending on insurance coverage and dosage used.</t>
  </si>
  <si>
    <t>Approved for adults (18 years and older); use in children and adolescents should be carefully considered and monitored.</t>
  </si>
  <si>
    <t>No significant gender differences in efficacy or safety; however, prevalence rates may differ slightly, with males generally having an earlier onset for schizophrenia.</t>
  </si>
  <si>
    <t>VYEPTI</t>
  </si>
  <si>
    <t>Severe headache lasting 4 to 72 hours, usually affecting one side of the head; nausea; vomiting; sensitivity to light and sound; aura (visual disturbances); postdrome symptoms (fatigue, difficulty concentrating).</t>
  </si>
  <si>
    <t>Approximately 1-2% of the US population suffers from chronic migraine, with an estimated 3 million adults in the USA being diagnosed.</t>
  </si>
  <si>
    <t>Chronic migraines significantly impair quality of life, with many individuals reporting reduced productivity, difficulties in daily activities, and increased absenteeism from work.</t>
  </si>
  <si>
    <t>Clinical studies indicate VYEPTI (eptinezumab-jjnz) can reduce the monthly days of migraine by 50% or more in approximately 40% of patients after 12 weeks of treatment.</t>
  </si>
  <si>
    <t>Generally well tolerated; long-term studies have not indicated significant safety concerns; effects generally observed within the first few doses.</t>
  </si>
  <si>
    <t>Common adverse events include infusion-related reactions (e.g., headache, dizziness) and hypersensitivity reactions, but these are typically mild to moderate in severity.</t>
  </si>
  <si>
    <t>Estimated annual therapy costs range from $6,000 to $8,000 per year, depending on insurance coverage and patient assistance programs.</t>
  </si>
  <si>
    <t>Approved for adults aged 18 and older.</t>
  </si>
  <si>
    <t>More prevalent in females; approximately 80% of those affected by chronic migraine are women.</t>
  </si>
  <si>
    <t>Monoclonal antibody (specifically a calcitonin gene-related peptide (CGRP) inhibitor).</t>
  </si>
  <si>
    <t>ONFI ORAL SUSPENSION 2.5MG/ML</t>
  </si>
  <si>
    <t>Frequent seizures, developmental delays, intellectual disability, behavioral problems, and other seizure types.</t>
  </si>
  <si>
    <t>Approximately 5% of all childhood epilepsy cases in the USA.</t>
  </si>
  <si>
    <t>Quality of life can be significantly impacted due to frequent seizures and associated disabilities, resulting in challenges with daily activities and social interactions.</t>
  </si>
  <si>
    <t>Clinical trials show a reduction in seizures in approximately 42% of patients using ONFI.</t>
  </si>
  <si>
    <t>Generally considered safe when used as prescribed; regular monitoring is recommended due to potential side effects.</t>
  </si>
  <si>
    <t>Common adverse events include sedation, fatigue, irritability, and decreased appetite.</t>
  </si>
  <si>
    <t>Approximately $12,000 to $15,000 per year.</t>
  </si>
  <si>
    <t>Approved for use in children over age 2 and adults.</t>
  </si>
  <si>
    <t>No gender-specific limitations; occurs equally in both males and females.</t>
  </si>
  <si>
    <t>Small molecule anticonvulsant.</t>
  </si>
  <si>
    <t>ONFI 10MG TAB</t>
  </si>
  <si>
    <t>Multiple types of seizures, cognitive impairment, developmental delays, behavioral issues, and ataxia.</t>
  </si>
  <si>
    <t>Approximately 1 to 5 per 10,000 children in the USA.</t>
  </si>
  <si>
    <t>Can be significantly affected due to persistent seizures and associated developmental challenges; management often requires ongoing medical care.</t>
  </si>
  <si>
    <t>Demonstrated to reduce seizure frequency by approximately 40-50% in clinical trials.</t>
  </si>
  <si>
    <t>Generally well tolerated; requires monitoring for side effects.</t>
  </si>
  <si>
    <t>Common adverse events include somnolence, decreased appetite, fatigue, irritability, and potential liver function abnormalities.</t>
  </si>
  <si>
    <t>Approximately $15,000 - $20,000 per year, depending on dosage and healthcare coverage.</t>
  </si>
  <si>
    <t>Primarily prescribed for children and adolescents aged 2 years and older.</t>
  </si>
  <si>
    <t>Affects both genders equally, though some studies suggest a slight male predominance in LGS.</t>
  </si>
  <si>
    <t>ONFI 20MG TAB</t>
  </si>
  <si>
    <t>Severe seizures that may include atonic seizures (drop attacks), tonic seizures, and atypical absence seizures; developmental delays; behavioral issues.</t>
  </si>
  <si>
    <t>Approximately 4 to 10% of all patients with epilepsy; estimated prevalence in the USA is around 30,000 to 50,000 individuals affected.</t>
  </si>
  <si>
    <t>Patients often experience significant impairment in daily functioning and quality of life due to recurrent seizures and associated disabilities.</t>
  </si>
  <si>
    <t>Efficacy rates vary; clinical studies show that ONFI can reduce the frequency of seizures in Lennox-Gastaut Syndrome by approximately 30-50% for some patients.</t>
  </si>
  <si>
    <t>Generally considered safe, but requires monitoring; not for use in patients with a history of hypersensitivity reactions to clobazam.</t>
  </si>
  <si>
    <t>Common adverse events include sedation, fatigue, drooling, and behavioral changes; rare but serious risks include respiratory depression and severe allergic reactions.</t>
  </si>
  <si>
    <t>The estimated annual cost for therapy with ONFI is approximately $4,500 to $18,000, depending on dosage and insurance coverage.</t>
  </si>
  <si>
    <t>Approved for use in patients aged 2 years and older.</t>
  </si>
  <si>
    <t>No significant gender predilection noted in disease prevalence or drug efficacy.</t>
  </si>
  <si>
    <t>ZULRESSO 5MG/ML INJ,SOLN</t>
  </si>
  <si>
    <t>Severe sadness, anxiety, fatigue, changes in sleeping or eating patterns, difficulty bonding with the baby, feelings of worthlessness or guilt, and in some cases, thoughts of self-harm or harming the baby.</t>
  </si>
  <si>
    <t>Approximately 10-15% of new mothers in the USA experience postpartum depression.</t>
  </si>
  <si>
    <t>PPD can significantly reduce quality of life, affecting personal relationships, emotional well-being, and maternal functioning.</t>
  </si>
  <si>
    <t>Zulresso (brexanolone) has shown to be effective in reducing symptoms of depression within 24 hours in clinical trials, with rapid and sustained improvement through a 60-hour infusion.</t>
  </si>
  <si>
    <t>Zulresso is generally considered safe when used as directed, but there are risks associated with sedation and monitoring is necessary during administration.</t>
  </si>
  <si>
    <t>Common adverse events include dizziness, sedation, dry mouth, and loss of consciousness. Serious adverse events can include excessive sedation, therefore continuous monitoring during administration is required.</t>
  </si>
  <si>
    <t>The estimated annual therapy costs for Zulresso can be approximately $34,000 for the infused treatment, which may vary based on insurance and treatment plans.</t>
  </si>
  <si>
    <t>Adults, primarily women aged 18-45 years following childbirth.</t>
  </si>
  <si>
    <t>Primarily female, as the drug is designed specifically for postpartum depression in women.</t>
  </si>
  <si>
    <t>Small molecule (neuroactive steroid).</t>
  </si>
  <si>
    <t>TUSNEL EX SF DF</t>
  </si>
  <si>
    <t>Cough, nasal congestion, sinus pressure, runny nose, throat irritation</t>
  </si>
  <si>
    <t>Approximately 10-20% of the U.S. population experiences symptoms of cough and congestion annually</t>
  </si>
  <si>
    <t>Moderate impact during episodes; tends to improve significantly post-treatment</t>
  </si>
  <si>
    <t>70-90% effective in symptom relief, depending on the cause and individual response</t>
  </si>
  <si>
    <t>Generally safe when used as directed; caution advised in certain populations (elderly, patients with comorbidities)</t>
  </si>
  <si>
    <t>Drowsiness, dry mouth, dizziness, increased heart rate, potential for gastrointestinal discomfort</t>
  </si>
  <si>
    <t>Approximately $150-$300 depending on frequency of use and healthcare setting</t>
  </si>
  <si>
    <t>All age groups; caution in young children and the elderly</t>
  </si>
  <si>
    <t>No significant gender differences in prevalence or response</t>
  </si>
  <si>
    <t>Combination of small molecules (antihistamines, decongestants, cough suppressants)</t>
  </si>
  <si>
    <t>TIVDAK 40MG VIAL</t>
  </si>
  <si>
    <t>Cervical Cancer</t>
  </si>
  <si>
    <t>Abnormal vaginal bleeding, pelvic pain, pain during intercourse, and unusual discharge.</t>
  </si>
  <si>
    <t>Approximately 13,000 new cases of invasive cervical cancer are diagnosed annually in the USA, with a prevalence rate of about 7.4 per 100,000 women.</t>
  </si>
  <si>
    <t>Quality of life can be significantly affected, particularly in advanced stages, due to treatment side effects and psychological impacts.</t>
  </si>
  <si>
    <t>Clinical trials have shown an overall response rate of approximately 24% to 30% for TIVDAK in patients with previously treated recurrent or metastatic cervical cancer.</t>
  </si>
  <si>
    <t>Generally well-tolerated; however, it may cause severe toxicity in some patients requiring monitoring and dose adjustments.</t>
  </si>
  <si>
    <t>Common adverse events include fatigue, nausea, headache, and ocular disorders (e.g., blurred vision). Serious adverse events may include severe systemic reactions and ocular toxicities.</t>
  </si>
  <si>
    <t>Estimated annual therapy costs are approximately $163,000.</t>
  </si>
  <si>
    <t>Primarily used in adult women, typically ages 18 and older.</t>
  </si>
  <si>
    <t>Primarily affects women, as it is indicated for cervical cancer.</t>
  </si>
  <si>
    <t>Monoclonal antibody (specifically, an antibody-drug conjugate).</t>
  </si>
  <si>
    <t>COMPOUND BENZOIN TINCTURE,TOP</t>
  </si>
  <si>
    <t>Redness, itching, irritation, inflammation, and minor skin lesions</t>
  </si>
  <si>
    <t>Approximately 15% to 20% of the population experiences dermatitis at some point in their lives</t>
  </si>
  <si>
    <t>Quality of life can be significantly affected due to discomfort and visibility of skin lesions; patients may experience anxiety and depression associated with chronic skin conditions.</t>
  </si>
  <si>
    <t>Efficacy is generally high for symptomatic relief from itching and irritation, with many patients reporting improvement of symptoms within days of use</t>
  </si>
  <si>
    <t>Generally considered safe for topical use with a low risk of systemic absorption; however, prolonged use may lead to local irritation</t>
  </si>
  <si>
    <t>Possible adverse events include contact dermatitis, skin irritation, and allergic reactions in sensitive individuals</t>
  </si>
  <si>
    <t>Approximately $100 to $500, depending on frequency of use and other topical therapies employed</t>
  </si>
  <si>
    <t>All age groups, but commonly used in children and adults</t>
  </si>
  <si>
    <t>Both genders are affected by skin irritations, with no significant gender bias in usage</t>
  </si>
  <si>
    <t>Topical treatment (compound mixture)</t>
  </si>
  <si>
    <t>LACTOSE,(MONOHYDRATE),NF(MILK SUGAR)</t>
  </si>
  <si>
    <t>Approximately 30-50 million adults in the USA are lactose intolerant, with varying prevalence among different ethnic groups</t>
  </si>
  <si>
    <t>Can significantly impact quality of life due to dietary restrictions and discomfort, but manageable with dietary adjustments</t>
  </si>
  <si>
    <t>Effective in managing symptoms when lactose is avoided or when lactase supplements are used</t>
  </si>
  <si>
    <t>Generally considered safe; no significant safety issues associated with lactose itself</t>
  </si>
  <si>
    <t>Minimal, but may include gastrointestinal upset if lactose is consumed by intolerant individuals</t>
  </si>
  <si>
    <t>Costs can range from $100 to $300 for lactase supplements or specialty lactose-free products</t>
  </si>
  <si>
    <t>Most common in adults, but can affect children and adolescents</t>
  </si>
  <si>
    <t>Dietary management (lactase supplements)</t>
  </si>
  <si>
    <t>SALICYLIC ACID POWDER,USP RX</t>
  </si>
  <si>
    <t>Acne</t>
  </si>
  <si>
    <t>Redness, swelling, peeling, scaling, itching, and the presence of lesions or growths</t>
  </si>
  <si>
    <t>Acne affects approximately 50 million individuals in the USA annually; psoriasis affects about 8 million; warts can affect up to 10% of the population; dandruff occurs in about 50% of adults.</t>
  </si>
  <si>
    <t>Can significantly improve with effective treatment, especially for chronic conditions like psoriasis and acne, which may cause social and psychological distress.</t>
  </si>
  <si>
    <t>Highly effective for treating acne, psoriasis, and warts; evidence shows reduction in lesions and severity in most patients.</t>
  </si>
  <si>
    <t>Generally considered safe when used as directed; topical application minimizes systemic exposure.</t>
  </si>
  <si>
    <t>Skin irritation, dryness, peeling, and redness; less common adverse events can include allergic reactions, particularly in sensitive individuals.</t>
  </si>
  <si>
    <t>Generally low; may range from $10 to $200 depending on product formulation and treatment regimen.</t>
  </si>
  <si>
    <t>Commonly used in adolescents and adults, but may also be used in children over 2 years old for certain conditions.</t>
  </si>
  <si>
    <t>Affects all genders, though acne is more prevalent in adolescents and young adults.</t>
  </si>
  <si>
    <t>Small molecules (keratolytic agent).</t>
  </si>
  <si>
    <t>STRONG IODINE SOL.,USP(LUGOL'S)(FREEZABLE) RX</t>
  </si>
  <si>
    <t>Weight loss, rapid heart rate, increased appetite, sweating, irritability, anxiety, trembling, goiter, fatigue, changes in menstrual patterns (for women), swelling in the neck (goiter), excessive thirst and urination (in iodine deficiency scenarios).</t>
  </si>
  <si>
    <t>Approximately 1.5% of the U.S. population has hyperthyroidism; iodine deficiency is rare due to the iodization of salt.</t>
  </si>
  <si>
    <t>Varies; untreated hyperthyroidism can significantly impact quality of life due to symptoms. Treatment typically improves quality of life.</t>
  </si>
  <si>
    <t>Efficacy is generally high when used correctly for conditions requiring iodine supplementation or management of hyperthyroidism; around 80-90% for treatment success in hyperthyroid cases.</t>
  </si>
  <si>
    <t>Generally safe but requires monitoring due to potential impact on thyroid function; risks increase with improper dosing.</t>
  </si>
  <si>
    <t>Possible adverse events include allergic reactions, gastrointestinal disturbance, thyroid storm, and iodine-induced hyperthyroidism.</t>
  </si>
  <si>
    <t>Cost can range from $100-$500 depending on the formulation and therapy duration.</t>
  </si>
  <si>
    <t>Primarily adults; however, it may also be used in children in specific cases.</t>
  </si>
  <si>
    <t>More common in females, especially for hyperthyroid conditions.</t>
  </si>
  <si>
    <t>Small molecules (iodine-based solution).</t>
  </si>
  <si>
    <t>FOLOTYN 20MG</t>
  </si>
  <si>
    <t>Peripheral T-cell Lymphoma (PTCL)</t>
  </si>
  <si>
    <t>Symptoms of PTCL may include swollen lymph nodes, fever, night sweats, weight loss, and fatigue.</t>
  </si>
  <si>
    <t>Approximately 2-3 cases per 100,000 individuals per year in the USA.</t>
  </si>
  <si>
    <t>Quality of life can be significantly impacted due to symptoms and treatment side effects; many patients experience anxiety and depression.</t>
  </si>
  <si>
    <t>FOLOTYN has shown efficacy in treating PTCL, with response rates around 25-30% in relapsed or refractory cases.</t>
  </si>
  <si>
    <t>The safety profile is generally acceptable, but it should be administered under medical supervision due to potential risks.</t>
  </si>
  <si>
    <t>Common adverse events include nausea, vomiting, fever, fatigue, and infusion-related reactions.</t>
  </si>
  <si>
    <t>Approximately $90,000 to $120,000, depending on the treatment regimen and insurance coverage.</t>
  </si>
  <si>
    <t>Primarily adults aged 40-70 years.</t>
  </si>
  <si>
    <t>More common in males than females (ratio approximately 2:1).</t>
  </si>
  <si>
    <t>Small molecule (specifically, it's a histone deacetylase inhibitor).</t>
  </si>
  <si>
    <t>FOLOTYN 40MG</t>
  </si>
  <si>
    <t>Lymphadenopathy, fever, night sweats, weight loss, pruritus, fatigue, skin lesions</t>
  </si>
  <si>
    <t>Approximately 9,000 new cases of PTCL in the USA annually</t>
  </si>
  <si>
    <t>Significantly impacted due to symptoms and treatment side effects; may experience fatigue, emotional distress, and social isolation</t>
  </si>
  <si>
    <t>FOLOTYN (pralatrexate) has shown response rates of around 29% in patients with relapsed or refractory PTCL</t>
  </si>
  <si>
    <t>Generally well-tolerated, but can cause myelosuppression; close monitoring is advised</t>
  </si>
  <si>
    <t>Common adverse events include mucositis, fatigue, nausea, diarrhea, and myelosuppression</t>
  </si>
  <si>
    <t>Approximately $90,000 to $150,000 depending on treatment plan and duration</t>
  </si>
  <si>
    <t>Primarily adults, with a median age of diagnosis around 60 years</t>
  </si>
  <si>
    <t>More common in males than females (approximately 2:1 ratio)</t>
  </si>
  <si>
    <t>Small molecule (antimetabolite; specifically a folate antagonist)</t>
  </si>
  <si>
    <t>BELEODAQ 500MG</t>
  </si>
  <si>
    <t>Enlarged lymph nodes, fever, night sweats, weight loss, fatigue, skin rash</t>
  </si>
  <si>
    <t>Approximately 6,000 cases diagnosed annually in the USA</t>
  </si>
  <si>
    <t>Varies; patients may experience significant impacts due to symptoms and treatment side effects</t>
  </si>
  <si>
    <t>50-75% response rate in relapsed or refractory cases</t>
  </si>
  <si>
    <t>Generally well-tolerated; monitoring for liver function and blood counts required</t>
  </si>
  <si>
    <t>Common side effects include fatigue, nausea, diarrhea, infections, and liver toxicity</t>
  </si>
  <si>
    <t>Approximately $28,000 - $35,000 annually</t>
  </si>
  <si>
    <t>Primarily adults, typically aged 60+</t>
  </si>
  <si>
    <t>Slight male predominance (1.5 times more common in men than women)</t>
  </si>
  <si>
    <t>Monoclonal antibodies (specifically, it is a small molecule drug)</t>
  </si>
  <si>
    <t>VEGZELMA 25MG/ML INJ,SOLN,4ML</t>
  </si>
  <si>
    <t>Metastatic Breast Cancer</t>
  </si>
  <si>
    <t>Abdominal pain, changes in bowel habits (diarrhea or constipation), unexplained weight loss, fatigue, nausea, and lumps in the abdomen.</t>
  </si>
  <si>
    <t>Approximately 14 per 100,000 individuals annually in the USA, making it one of the most common cancers.</t>
  </si>
  <si>
    <t>Variable; stages of cancer treatment can significantly affect wellbeing due to symptoms and treatments' side effects. Many patients report a decrease in their quality of life during advanced stages.</t>
  </si>
  <si>
    <t>Approximately 30-50% of patients show objective response rates when treated with anti-VEGF therapies like VEGZELMA.</t>
  </si>
  <si>
    <t>Generally considered safe with well-monitored administration; however, it can have significant side effects.</t>
  </si>
  <si>
    <t>Common adverse events include hypertension (10-20%), proteinuria, bleeding complications, gastrointestinal perforation, and infusion reactions.</t>
  </si>
  <si>
    <t>Approximately $100,000 to $150,000 depending on treatment regimen and insurance coverage.</t>
  </si>
  <si>
    <t>Primarily adults aged 45-75 years, but can occur in younger populations as well.</t>
  </si>
  <si>
    <t>More common in men than women, but significant cases are seen in both genders.</t>
  </si>
  <si>
    <t>Monoclonal antibody targeting VEGF (vascular endothelial growth factor).</t>
  </si>
  <si>
    <t>ABILIFY 5MG TAB</t>
  </si>
  <si>
    <t>Delusions, hallucinations, disorganized thinking, mood swings, depressive episodes, irritability</t>
  </si>
  <si>
    <t>Approximately 1% for schizophrenia and 2.8% for bipolar disorder in the USA</t>
  </si>
  <si>
    <t>Can improve significantly with effective management, though some patients may still face challenges in social and occupational functioning</t>
  </si>
  <si>
    <t>Efficacy of Aripiprazole (ABILIFY) in managing schizophrenia ranges between 50-60% improvement in symptoms; 40% for bipolar depression</t>
  </si>
  <si>
    <t>Generally well-tolerated; risk of extrapyramidal symptoms is lower compared to typical antipsychotics</t>
  </si>
  <si>
    <t>Common adverse events include insomnia, akathisia, restlessness, nausea, and weight gain; very rarely, tardive dyskinesia</t>
  </si>
  <si>
    <t>Approximately $1,800 to $3,500 depending on insurance and dosages</t>
  </si>
  <si>
    <t>Approved for use in adolescents (13-17 years) and adults</t>
  </si>
  <si>
    <t>Used in both male and female patients; no significant gender predisposition noted</t>
  </si>
  <si>
    <t>SAMSCA 15MG TAB</t>
  </si>
  <si>
    <t>Hyponatremia</t>
  </si>
  <si>
    <t>Nausea, headache, confusion, fatigue, muscle cramps, seizures, and in severe cases, coma</t>
  </si>
  <si>
    <t>Approximately 1% of the population, with higher rates in hospitalized patients</t>
  </si>
  <si>
    <t>Hyponatremia can significantly impact quality of life, leading to fatigue and confusion, which affects daily activities</t>
  </si>
  <si>
    <t>Effective in correcting serum sodium levels in patients with euvolemic or hypervolemic hyponatremia</t>
  </si>
  <si>
    <t>Generally well-tolerated; monitoring required, especially for sodium levels</t>
  </si>
  <si>
    <t>Thirst, dry mouth, headache, constipation, increased blood pressure, potential for osmotic demyelination syndrome if sodium is corrected too rapidly</t>
  </si>
  <si>
    <t>Approximately $10,000 - $15,000</t>
  </si>
  <si>
    <t>Primarily adults, often &gt; 60 years old</t>
  </si>
  <si>
    <t>More prevalent in females than males, particularly in post-menopausal women</t>
  </si>
  <si>
    <t>Small molecule (vasopressin receptor antagonist)</t>
  </si>
  <si>
    <t>ABILIFY MYCITE 2MG MAINTENANCE KIT</t>
  </si>
  <si>
    <t>Symptoms of schizophrenia include hallucinations, delusions, disorganized thinking, and impaired functioning. Symptoms of Bipolar I Disorder include episodes of mania, hypomania, and depression.</t>
  </si>
  <si>
    <t>Schizophrenia affects approximately 1.1% of the adult population in the USA, while Bipolar I Disorder affects about 0.6% of the population.</t>
  </si>
  <si>
    <t>Patients with schizophrenia or bipolar disorder often experience a reduced quality of life, with social withdrawal, stigma, and functional impairments being common.</t>
  </si>
  <si>
    <t>Approximately 50-60% of patients may respond positively to treatment with Abilify Mycite for both schizophrenia and bipolar disorder.</t>
  </si>
  <si>
    <t>Generally well-tolerated; however, monitoring for side effects is recommended.</t>
  </si>
  <si>
    <t>Common adverse events may include nausea, vomiting, insomnia, restlessness, and extrapyramidal symptoms.</t>
  </si>
  <si>
    <t>Estimated average annual therapy costs range from $3,000 to $8,000 depending on insurance coverage and specific treatment regimen.</t>
  </si>
  <si>
    <t>Approved for use in adults (typically age 18 and older).</t>
  </si>
  <si>
    <t>Both genders are affected; there is no significant gender difference in prevalence, but symptom expression may vary.</t>
  </si>
  <si>
    <t>Small molecule antipsychotic.</t>
  </si>
  <si>
    <t>ABILIFY MYCITE 30MG STARTER KIT</t>
  </si>
  <si>
    <t>Hallucinations, delusions, disorganized thinking, mood swings, depressive episodes, agitation</t>
  </si>
  <si>
    <t>Varies; many experience significant impairments in personal, social, and occupational functioning</t>
  </si>
  <si>
    <t>Reduction in psychotic symptoms and mood stabilization in approximately 50-70% of patients, depending on condition</t>
  </si>
  <si>
    <t>Generally well-tolerated; long-term safety data indicates manageable side effects for most users</t>
  </si>
  <si>
    <t>Akathisia, weight gain, dizziness, nausea, restlessness, potential for metabolic syndrome</t>
  </si>
  <si>
    <t>Approximately $3,000 - $12,000 depending on insurance and dosage</t>
  </si>
  <si>
    <t>Approved for use in adults and adolescents aged 13 and older</t>
  </si>
  <si>
    <t>Effective for all genders, with no significant gender differences noted in efficacy</t>
  </si>
  <si>
    <t>Atypical antipsychotic, specifically formulated as an oral tablet with an electronic monitoring system (smart pill)</t>
  </si>
  <si>
    <t>NUEDEXTA</t>
  </si>
  <si>
    <t>Pseudobulbar Affect (PBA)</t>
  </si>
  <si>
    <t>Involuntary episodes of laughing or crying that are disproportionate to the situation</t>
  </si>
  <si>
    <t>Approximately 1 million people in the USA have PBA</t>
  </si>
  <si>
    <t>Can significantly impair social and emotional functioning, leading to reduced quality of life</t>
  </si>
  <si>
    <t>NuevoDex has shown to reduce the frequency and severity of episodes by about 30% in clinical trials</t>
  </si>
  <si>
    <t>Generally well tolerated, with monitoring advisable for patients with specific health concerns</t>
  </si>
  <si>
    <t>Commonly reported adverse events include dizziness, diarrhea, and drowsiness</t>
  </si>
  <si>
    <t>Approximately $2,000 to $3,000 per year</t>
  </si>
  <si>
    <t>Typically prescribed for adults</t>
  </si>
  <si>
    <t>Affects both genders, though it may be more prevalent in individuals with neurological disorders (often older adults)</t>
  </si>
  <si>
    <t>Small molecules</t>
  </si>
  <si>
    <t>DIACOMIT 250MG CAP</t>
  </si>
  <si>
    <t>Severe myoclonic epilepsy, developmental delay, cognitive impairment, behavioral problems, ataxia, and seizures that are often triggered by fever.</t>
  </si>
  <si>
    <t>Significantly affected, as patients face developmental challenges and frequent seizures, leading to increased caregiving requirements.</t>
  </si>
  <si>
    <t>In clinical trials, Diacomit (stiripentol) has been shown to reduce the frequency of seizures in Dravet Syndrome patients when used in combination with other antiepileptic medications.</t>
  </si>
  <si>
    <t>Generally considered safe but requires monitoring; it is best used in conjunction with other antiepileptic drugs.</t>
  </si>
  <si>
    <t>Common adverse events include sedation, decreased appetite, ataxia, and hypersalivation; rare but serious risks include agranulocytosis and liver toxicity.</t>
  </si>
  <si>
    <t>Estimated between $14,000 and $20,000 per year depending on the dosage and geographic location.</t>
  </si>
  <si>
    <t>Primarily prescribed for children and young adults, typically starting from age 2.</t>
  </si>
  <si>
    <t>Affects both genders equally; however, males might be slightly more affected in incidence.</t>
  </si>
  <si>
    <t>Small molecule (antiepileptic agent).</t>
  </si>
  <si>
    <t>DIACOMIT 500MG CAP</t>
  </si>
  <si>
    <t>Persistent seizures, developmental delays, ataxia, and behavioral issues.</t>
  </si>
  <si>
    <t>Significantly impacted; many patients require ongoing care and assistance.</t>
  </si>
  <si>
    <t>Reduces seizure frequency in patients with Dravet Syndrome; approximately 50% reduction in seizures for some patients.</t>
  </si>
  <si>
    <t>Generally well-tolerated; most patients can use it safely under medical supervision.</t>
  </si>
  <si>
    <t>Somnolence, fatigue, decreased appetite, ataxia, and potential liver function abnormalities.</t>
  </si>
  <si>
    <t>Approximately $30,000 to $50,000 per year.</t>
  </si>
  <si>
    <t>Typically prescribed for children aged 2 years and older.</t>
  </si>
  <si>
    <t>Affects both genders equally, though prevalence can vary.</t>
  </si>
  <si>
    <t>Small molecules (sodium channel blocker).</t>
  </si>
  <si>
    <t>DIACOMIT 250MG/PKT POWDER</t>
  </si>
  <si>
    <t>Frequent seizures, developmental delays, behavioral problems, heat sensitivity, movement disorders</t>
  </si>
  <si>
    <t>Approximately 1 in 15,700 live births in the USA</t>
  </si>
  <si>
    <t>Can be significantly impacted due to frequent seizures and the need for constant care; difficulties in education and social interactions are common</t>
  </si>
  <si>
    <t>Clinical studies show reductions in seizure frequency, with some patients experiencing a 50% or greater reduction</t>
  </si>
  <si>
    <t>Generally well-tolerated, but long-term safety data is still being assessed</t>
  </si>
  <si>
    <t>Drowsiness, decreased appetite, irritability, and potential liver enzyme elevation</t>
  </si>
  <si>
    <t>Approximately $25,000 to $50,000 depending on health insurance coverage and individual circumstances</t>
  </si>
  <si>
    <t>Primarily used in children and young adults; typically starts in infancy</t>
  </si>
  <si>
    <t>No significant gender predilection noted, affects both males and females equally</t>
  </si>
  <si>
    <t>Small molecule (antiepileptic medication)</t>
  </si>
  <si>
    <t>DIACOMIT 500MG/PKT POWDER</t>
  </si>
  <si>
    <t>Severe seizures, developmental delays, ataxia, behavioral issues, and increased susceptibility to infections.</t>
  </si>
  <si>
    <t>Quality of life can be substantially affected due to frequent seizures, which may lead to social, emotional, and educational challenges.</t>
  </si>
  <si>
    <t>Clinical studies indicate that Diacomit (stiripentol) significantly reduces the frequency of seizures in Dravet syndrome patients when used in combination with other antiepileptic drugs.</t>
  </si>
  <si>
    <t>Generally well-tolerated with regular monitoring; risk factors can include hepatotoxicity and metabolic disturbances.</t>
  </si>
  <si>
    <t>Common adverse events include drowsiness, loss of appetite, and irritability; serious adverse events can include metabolic acidosis and liver damage.</t>
  </si>
  <si>
    <t>Approximately $30,000 to $60,000 per year, depending on insurance coverage and individual patient needs.</t>
  </si>
  <si>
    <t>Primarily children, typically diagnosed before 2 years of age.</t>
  </si>
  <si>
    <t>Affects both genders equally, although some studies suggest a slightly higher prevalence in males.</t>
  </si>
  <si>
    <t>Small molecule (antiepileptic drug).</t>
  </si>
  <si>
    <t>ADSTILADRIN SUSP,INTRAVESIC</t>
  </si>
  <si>
    <t>Hematuria (blood in urine), frequent urination, painful urination, pelvic pain</t>
  </si>
  <si>
    <t>Approximately 80,000 new cases of bladder cancer are diagnosed in the USA each year, with a lifetime risk of about 2.6% for men and 0.6% for women.</t>
  </si>
  <si>
    <t>Quality of life can be affected by symptoms such as incontinence and the psychological burden of cancer; average scores on quality of life assessments can range from moderate to low in affected individuals.</t>
  </si>
  <si>
    <t>Clinical trials demonstrate response rates up to 30-40% in selected patients.</t>
  </si>
  <si>
    <t>Generally considered safe, but long-term safety studies are ongoing.</t>
  </si>
  <si>
    <t>Common adverse events include bladder irritation, frequency of urination, dysuria, and hematuria. Rarely, systemic effects may occur.</t>
  </si>
  <si>
    <t>Estimated annual therapy costs range from $30,000 to $50,000 depending on treatment regimen and healthcare settings.</t>
  </si>
  <si>
    <t>Primarily adults aged 50 and older, but can occur in younger individuals.</t>
  </si>
  <si>
    <t>More prevalent in males than females, with a ratio of approximately 3:1.</t>
  </si>
  <si>
    <t>Intravesical therapy (small molecule, immunotherapy).</t>
  </si>
  <si>
    <t>DDAVP 4MCG/ML INJ</t>
  </si>
  <si>
    <t>Increased thirst (polydipsia), excessive urination (polyuria), dehydration, electrolyte imbalances</t>
  </si>
  <si>
    <t>Approximately 1 in 25,000 individuals in the general population</t>
  </si>
  <si>
    <t>Moderate to high; symptoms can significantly impact daily activities and overall well-being if not managed</t>
  </si>
  <si>
    <t>Generally around 80% effective in reducing symptoms in patients with central diabetes insipidus</t>
  </si>
  <si>
    <t>Generally well-tolerated; risks associated with overhydration and hyponatremia</t>
  </si>
  <si>
    <t>Headache, nausea, abdominal cramps, nasal congestion (when administered as a nasal spray), and water retention</t>
  </si>
  <si>
    <t>Estimated between $5,000 to $10,000, depending on dosage and frequency of administration</t>
  </si>
  <si>
    <t>All age groups; can be prescribed in pediatric to geriatric populations</t>
  </si>
  <si>
    <t>No significant gender predilection reported, but may have slight variations in prevalence based on genetic factors</t>
  </si>
  <si>
    <t>Synthetic vasopressin analogue</t>
  </si>
  <si>
    <t>DDAVP 0.1MG TAB</t>
  </si>
  <si>
    <t>Excessive thirst (polydipsia), frequent urination (polyuria), dehydration, and concentrated urine.</t>
  </si>
  <si>
    <t>Approximately 1 in 25,000 people (0.004%) in the USA.</t>
  </si>
  <si>
    <t>Can be significantly impacted due to frequent urination and resulting discomfort; however, with effective treatment, quality of life can improve.</t>
  </si>
  <si>
    <t>Approximately 90% efficacy in reducing urine output and improving symptoms.</t>
  </si>
  <si>
    <t>Generally considered safe when used as directed; most patients tolerate it well.</t>
  </si>
  <si>
    <t>Possible side effects include headache, nausea, abdominal pain, and in rare cases, hyponatremia (low sodium levels).</t>
  </si>
  <si>
    <t>Approximately $1,500 to $3,000 per year, depending on the dosage and frequency.</t>
  </si>
  <si>
    <t>Prescribed across all age groups, including pediatric, adult, and geriatric populations.</t>
  </si>
  <si>
    <t>Both males and females are affected, with no significant gender predisposition.</t>
  </si>
  <si>
    <t>Synthetic vasopressin analog (small molecule).</t>
  </si>
  <si>
    <t>DDAVP 0.2MG TAB</t>
  </si>
  <si>
    <t>Excessive thirst (polydipsia), increased urination (polyuria), dehydration.</t>
  </si>
  <si>
    <t>Approximately 1 in 25,000 individuals (about 0.004%).</t>
  </si>
  <si>
    <t>DDAVP can significantly improve quality of life by reducing symptoms and preventing dehydration.</t>
  </si>
  <si>
    <t>80-90% effective in managing symptoms in central diabetes insipidus.</t>
  </si>
  <si>
    <t>Generally safe when used as prescribed; most patients tolerate it well.</t>
  </si>
  <si>
    <t>Headache, nausea, abdominal cramps, nasal congestion (if using intranasal form).</t>
  </si>
  <si>
    <t>Approximately $1,200 - $2,500, depending on dosage and formulation.</t>
  </si>
  <si>
    <t>All ages; commonly prescribed for both children and adults.</t>
  </si>
  <si>
    <t>No significant gender preference; affects males and females equally.</t>
  </si>
  <si>
    <t>Small molecule (synthetic analog of vasopressin).</t>
  </si>
  <si>
    <t>DEXTROMETHORPHAN 20MG/GUAIFENESIN 400MG TAB</t>
  </si>
  <si>
    <t>Cough, congestion, runny nose, sore throat, and phlegm</t>
  </si>
  <si>
    <t>Approximately 30% of adults and children experience common cold symptoms annually in the USA</t>
  </si>
  <si>
    <t>Generally mild to moderate impact on daily activities; most symptoms resolve within a week</t>
  </si>
  <si>
    <t>Approximately 70% effective in reducing cough frequency and severity in clinical studies</t>
  </si>
  <si>
    <t>Generally safe for short-term use; risk of misuse in high doses due to association with dissociative effects of dextromethorphan</t>
  </si>
  <si>
    <t>Common: dizziness, nausea, vomiting, drowsiness; Rare: allergic reactions, respiratory depression</t>
  </si>
  <si>
    <t>Approximately $100 - $300 (cost can vary widely based on insurance coverage and brand)</t>
  </si>
  <si>
    <t>Approved for use in age 6 and above; specific formulations available for younger children</t>
  </si>
  <si>
    <t>No significant gender differences in efficacy or safety</t>
  </si>
  <si>
    <t>Combination of small molecules (dextromethorphan - cough suppressant; guaifenesin - expectorant)</t>
  </si>
  <si>
    <t>LITHIUM CARBONATE 450MG TAB,SA</t>
  </si>
  <si>
    <t>Mood swings, episodes of mania (euphoria, increased energy) and depression, changes in sleep patterns, irritability, and difficulty concentrating.</t>
  </si>
  <si>
    <t>Approximately 2.6% of adults in the USA have bipolar disorder.</t>
  </si>
  <si>
    <t>Lithium treatment can significantly improve quality of life when managing bipolar disorder, enhancing stability in mood and daily functioning.</t>
  </si>
  <si>
    <t>Lithium is effective in reducing the frequency and severity of manic and depressive episodes, with response rates around 70-80%.</t>
  </si>
  <si>
    <t>Generally considered safe with regular monitoring of serum levels; renal and thyroid function should be assessed periodically.</t>
  </si>
  <si>
    <t>Common adverse events include nausea, diarrhea, tremors, increased thirst, weight gain, and potential for renal impairment with long-term use.</t>
  </si>
  <si>
    <t>Estimated costs range from $1,500 to $6,000 depending on insurance coverage and dosage.</t>
  </si>
  <si>
    <t>Typically prescribed for adolescents (13+) and adults.</t>
  </si>
  <si>
    <t>Affects all genders, with similar prevalence rates in males and females.</t>
  </si>
  <si>
    <t>Small molecule (mood stabilizer).</t>
  </si>
  <si>
    <t>BUSPIRONE HCL 5MG TAB</t>
  </si>
  <si>
    <t>Excessive worrying, restlessness, fatigue, difficulty concentrating, irritability, muscle tension, sleep disturbances.</t>
  </si>
  <si>
    <t>Approximately 3.1% of the adult population in the USA.</t>
  </si>
  <si>
    <t>Can be significantly impacted; patients often report decreased function in social, work, and personal domains.</t>
  </si>
  <si>
    <t>Studies show BUSPIRONE can be effective for reducing symptoms in about 60-70% of patients with GAD after several weeks of treatment.</t>
  </si>
  <si>
    <t>Generally considered safe; side effects are usually mild and transient.</t>
  </si>
  <si>
    <t>Common adverse events include dizziness, headaches, nausea, and somnolence. Less common adverse events can include nervousness and insomnia.</t>
  </si>
  <si>
    <t>Approximately $750 to $1,500 depending on the dosage and frequency of prescriptions.</t>
  </si>
  <si>
    <t>Most commonly prescribed for adults aged 18-65, though it can be used in older adults.</t>
  </si>
  <si>
    <t>More prevalent in females than males, with estimates showing women are diagnosed approximately twice as often as men.</t>
  </si>
  <si>
    <t>Small molecule (atypical anxiolytic).</t>
  </si>
  <si>
    <t>BUSPIRONE HCL 10MG TAB</t>
  </si>
  <si>
    <t>Excessive worry, restlessness, fatigue, difficulty concentrating, irritability, muscle tension, sleep disturbances</t>
  </si>
  <si>
    <t>Approximately 3-4% of the U.S. population in a given year</t>
  </si>
  <si>
    <t>Significant impairment in social, occupational, and other important areas of functioning</t>
  </si>
  <si>
    <t>Effective for reducing anxiety symptoms, with a response rate of 50-75% in treated patients</t>
  </si>
  <si>
    <t>Generally considered safe with a lower abuse potential compared to benzodiazepines</t>
  </si>
  <si>
    <t>Dizziness, nausea, headache, lightheadedness, nervousness, and insomnia; rarely, it can cause serotonin syndrome</t>
  </si>
  <si>
    <t>Approximately $300 - $600 per year depending on insurance coverage</t>
  </si>
  <si>
    <t>Adults, typically ages 18-65</t>
  </si>
  <si>
    <t>More prevalent in females, with a ratio of approximately 2:1 female to male</t>
  </si>
  <si>
    <t>Small molecules (specifically an anxiolytic medication)</t>
  </si>
  <si>
    <t>BUSPIRONE HCL 15MG TAB</t>
  </si>
  <si>
    <t>Excessive worry, restlessness, fatigue, difficulty concentrating, irritability, muscle tension, and sleep disturbances.</t>
  </si>
  <si>
    <t>Approximately 3.1% of the adult population in the USA experiences GAD in a given year.</t>
  </si>
  <si>
    <t>Poor quality of life; individuals may experience significant impairment in daily functioning and social relationships.</t>
  </si>
  <si>
    <t>Studies suggest that buspirone is effective in reducing anxiety symptoms in 50-60% of patients with GAD.</t>
  </si>
  <si>
    <t>Considered safe when used as directed; generally well-tolerated.</t>
  </si>
  <si>
    <t>Common adverse events include dizziness, headache, nausea, nervousness, and lightheadedness. Less common events may include vision changes and rash.</t>
  </si>
  <si>
    <t>Approximately $500-700 per year depending on the pharmacy and insurance coverage.</t>
  </si>
  <si>
    <t>Typically used in adults, but may be prescribed to adolescents under careful supervision.</t>
  </si>
  <si>
    <t>Both males and females are affected by GAD; buspirone can be prescribed to both genders.</t>
  </si>
  <si>
    <t>Small molecule anxiolytic.</t>
  </si>
  <si>
    <t>BUSPIRONE HCL 30MG TAB</t>
  </si>
  <si>
    <t>Persistent worry or anxiety, restlessness, fatigue, difficulty concentrating, irritability, muscle tension, sleep disturbances</t>
  </si>
  <si>
    <t>Approximately 3.1% of adults in the USA suffer from GAD annually</t>
  </si>
  <si>
    <t>Significant impairment in social, occupational, or other important areas of functioning; often leads to decreased overall quality of life</t>
  </si>
  <si>
    <t>50-70% (varies widely; studies indicate that buspirone is effective in reducing anxiety symptoms for many patients)</t>
  </si>
  <si>
    <t>Generally well-tolerated, with a safety profile favorable compared to benzodiazepines; risk of dependence is low</t>
  </si>
  <si>
    <t>Common adverse events include dizziness, nausea, headache, drowsiness, and nervousness; less common but serious effects may include serotonin syndrome (especially when combined with other serotonergic medications)</t>
  </si>
  <si>
    <t>Approximately $500 - $1000 depending on insurance coverage and availability of generics</t>
  </si>
  <si>
    <t>Adults (18 years and older, though used cautiously in older adults)</t>
  </si>
  <si>
    <t>More commonly diagnosed in females; however, buspirone is used across genders based on the individual's needs</t>
  </si>
  <si>
    <t>Anxiolytic (non-benzodiazepine), small molecule</t>
  </si>
  <si>
    <t>LITHIUM CARBONATE 300MG TAB,SA</t>
  </si>
  <si>
    <t>Mood swings (mania and depression), irritability, changes in sleep patterns, increased energy, racing thoughts, and difficulty concentrating.</t>
  </si>
  <si>
    <t>Approximately 2.8% of adults in the USA experience bipolar disorder at some point in their lives.</t>
  </si>
  <si>
    <t>Lithium can significantly improve the quality of life for patients with bipolar disorder by stabilizing mood and reducing the frequency of mood episodes.</t>
  </si>
  <si>
    <t>Lithium is effective in reducing the frequency and severity of manic and depressive episodes in people with bipolar disorder, with studies showing efficacy rates ranging from 50% to 80% for manic episodes.</t>
  </si>
  <si>
    <t>Lithium has a well-documented safety profile but requires regular monitoring of serum levels due to the risk of toxicity.</t>
  </si>
  <si>
    <t>Common adverse events include gastrointestinal upset, tremor, polyuria, and cognitive effects. Rare but serious adverse events include renal impairment and thyroid dysfunction.</t>
  </si>
  <si>
    <t>The annual therapy costs for lithium carbonate treatment can range from $1,000 to $2,500, depending on dosage and monitoring needs.</t>
  </si>
  <si>
    <t>Most commonly prescribed for adults, but can also be used in adolescents over 12 years of age.</t>
  </si>
  <si>
    <t>Bipolar disorder affects both genders, though there may be differences in the expression of symptoms. Lithium is prescribed equally to both males and females.</t>
  </si>
  <si>
    <t>Small molecules.</t>
  </si>
  <si>
    <t>WAKIX 4.45MG TAB</t>
  </si>
  <si>
    <t>Excessive daytime sleepiness, cataplexy (sudden loss of muscle tone), sleep paralysis, hallucinations, disrupted nighttime sleep</t>
  </si>
  <si>
    <t>Approximately 0.02% to 0.04% in the USA (estimates vary due to underdiagnosis)</t>
  </si>
  <si>
    <t>Generally reduced quality of life due to excessive sleepiness and unpredictable sleep episodes, affecting work, social interactions, and overall well-being</t>
  </si>
  <si>
    <t>Approximately 50-60% of patients report improvement in excessive daytime sleepiness with wakix (Pitolisant); evidence from clinical studies shows a reduction in Epworth Sleepiness Scale scores</t>
  </si>
  <si>
    <t>Generally well-tolerated; ongoing monitoring for potential side effects is recommended</t>
  </si>
  <si>
    <t>Commonly reported adverse events include insomnia, anxiety, and nausea; serious side effects may include cardiovascular issues</t>
  </si>
  <si>
    <t>Estimated between $10,000 - $15,000 depending on insurance coverage and patient co-pays</t>
  </si>
  <si>
    <t>Typically diagnosed in teenagers to young adults but can occur at any age</t>
  </si>
  <si>
    <t>Affects both males and females equally, although females may have a slightly higher prevalence of cataplexy</t>
  </si>
  <si>
    <t>Small molecule (Wakefulness-promoting agent)</t>
  </si>
  <si>
    <t>WAKIX 17.8MG TAB</t>
  </si>
  <si>
    <t>Approximately 0.02% to 0.05% of the U.S. population</t>
  </si>
  <si>
    <t>Significantly reduced; patients often experience impairments in daily activities, mood, and social interactions</t>
  </si>
  <si>
    <t>Clinical trials indicate WAKIX provides improved wakefulness and lower frequency of cataplexy episodes; patient-reported outcomes suggest significant improvements in the quality of life</t>
  </si>
  <si>
    <t>Generally considered safe; well-tolerated in most patients</t>
  </si>
  <si>
    <t>Common adverse events include insomnia, headache, nausea, anxiety, and decreased appetite</t>
  </si>
  <si>
    <t>Approximately $8,000 to $15,000 per year depending on insurance coverage and patient co-pays</t>
  </si>
  <si>
    <t>Primarily adults, but can be prescribed to adolescents (age 6 and older)</t>
  </si>
  <si>
    <t>Affects both genders; slightly higher prevalence in males</t>
  </si>
  <si>
    <t>Small molecule (specifically, a wakefulness-promoting agent)</t>
  </si>
  <si>
    <t>OPVEE 2.7MG/SPRAY SOLN,NASAL</t>
  </si>
  <si>
    <t>Respiratory depression, decreased level of consciousness, pinpoint pupils, hypotension, bradycardia</t>
  </si>
  <si>
    <t>Approximately 1.6 million people experienced opioid use disorder in the USA in 2020</t>
  </si>
  <si>
    <t>Opioid overdose can severely impact quality of life, leading to significant physical, emotional, and social consequences for individuals and families</t>
  </si>
  <si>
    <t>High; OPVEE (nalmefene) is effective in reversing the effects of opioid overdose when administered timely</t>
  </si>
  <si>
    <t>Generally safe when used as directed; however, it should be administered with caution, especially in individuals sensitive to opioids</t>
  </si>
  <si>
    <t>Common adverse events include nausea, vomiting, and withdrawal symptoms in opioid-dependent individuals; rare but serious events include seizures and cardiac arrhythmias</t>
  </si>
  <si>
    <t>Costs can vary widely, but generally range from $300 to $600 for a treatment plan including the therapy and associated medical expenses</t>
  </si>
  <si>
    <t>12 years and older</t>
  </si>
  <si>
    <t>Affects all genders, with a higher prevalence among males</t>
  </si>
  <si>
    <t>Small molecule (nalmefene is a pure opioid antagonist)</t>
  </si>
  <si>
    <t>ORFADIN 2MG CAP</t>
  </si>
  <si>
    <t>Phenylketonuria (PKU)</t>
  </si>
  <si>
    <t>Intellectual disability, developmental delays, behavioral problems, skin rashes, seizures, musty or mousy odor in breath, skin, or urine</t>
  </si>
  <si>
    <t>Approximately 1 in 10,000 to 15,000 live births in the USA</t>
  </si>
  <si>
    <t>Varied; with early intervention and treatment, quality of life can be improved significantly, but those untreated may have severe life-long consequences.</t>
  </si>
  <si>
    <t>High when used as part of a comprehensive treatment plan including diet management; reduces phenylalanine levels significantly.</t>
  </si>
  <si>
    <t>Generally considered safe when used as prescribed; requires regular monitoring of blood levels.</t>
  </si>
  <si>
    <t>Elevated liver enzymes, gastrointestinal effects (e.g., nausea, vomiting), allergic reactions</t>
  </si>
  <si>
    <t>Approximately $10,000 to $20,000 depending on the treatment plan and dietary requirements.</t>
  </si>
  <si>
    <t>All ages; detected through newborn screening, commonly managed from infancy.</t>
  </si>
  <si>
    <t>Both genders are affected equally.</t>
  </si>
  <si>
    <t>Small molecules (specifically, Orfadin (nitisinone) is a molecule that assists in the management of metabolic disorders such as tyrosinemia, however, for PKU, the focus is primarily on dietary management and possibly newer therapies).</t>
  </si>
  <si>
    <t>PHOSPHORUS 3MMOL/POTASSIUM 4.4MEQ/ML (PF) INJ</t>
  </si>
  <si>
    <t>Muscle weakness, bone pain, fatigue, respiratory failure, increased susceptibility to infections</t>
  </si>
  <si>
    <t>Approximately 1-2% of the general population, more common in patients with malnutrition or chronic illnesses</t>
  </si>
  <si>
    <t>Can be significantly impacted due to fatigue and muscle weakness, affecting daily activities and overall well-being</t>
  </si>
  <si>
    <t>Effective in correcting electrolyte imbalances; efficacy is high in acute settings for phosphate replacement</t>
  </si>
  <si>
    <t>Generally safe when used as directed; monitoring is necessary to prevent hyperphosphatemia</t>
  </si>
  <si>
    <t>Possible adverse events include nausea, vomiting, diarrhea, and in rare cases, hypocalcemia or hyperphosphatemia</t>
  </si>
  <si>
    <t>Approximately $1,200 - $2,500, depending on dosage and hospital stay</t>
  </si>
  <si>
    <t>All age groups, most commonly used in adults</t>
  </si>
  <si>
    <t>Electrolyte replacement therapy</t>
  </si>
  <si>
    <t>SORBITOL 70% SOLN</t>
  </si>
  <si>
    <t>Hyperosmolar Hyperglycemic State (HHS)</t>
  </si>
  <si>
    <t>High blood sugar levels, increased thirst, frequent urination, dry mouth, weakness, confusion, fever, and drowsiness.</t>
  </si>
  <si>
    <t>Approximately 2-8 cases per 1,000 people with diabetes in the USA, more common in elderly and those with poorly controlled diabetes.</t>
  </si>
  <si>
    <t>Can significantly decrease quality of life if not managed, leading to hospitalization and potential long-term complications.</t>
  </si>
  <si>
    <t>Effective in reducing blood osmolarity and hyperglycemia in acute settings; rapid onset of action.</t>
  </si>
  <si>
    <t>Generally safe when used as directed with proper monitoring; risk of fluid imbalance.</t>
  </si>
  <si>
    <t>Electrolyte imbalances, shifts in fluid status, nausea, abdominal pain.</t>
  </si>
  <si>
    <t>Costs can vary; hospital treatment averages around $10,000 for acute episodes, excluding long-term monitoring and diabetes management costs.</t>
  </si>
  <si>
    <t>Primarily adults over 50 years old, but can occur in younger individuals with poorly controlled diabetes.</t>
  </si>
  <si>
    <t>Affects both men and women, although men may have a slightly higher incidence due to differences in diabetes prevalence.</t>
  </si>
  <si>
    <t>Hyperosmolarity agent (osmotic laxative) used in specific medical scenarios.</t>
  </si>
  <si>
    <t>PETROLATUM OINTMENT BASE</t>
  </si>
  <si>
    <t>Itching, Redness, Flaking, Cracking of Skin, Inflammation</t>
  </si>
  <si>
    <t>15% (of the general population may experience dry skin conditions at some point)</t>
  </si>
  <si>
    <t>Moderate impact on quality of life, varying based on severity of the condition</t>
  </si>
  <si>
    <t>Generally effective in providing a protective barrier and moisturizing skin; varies based on condition and individual response</t>
  </si>
  <si>
    <t>Considered safe for topical use; very low systemic absorption; minimal risk of systemic side effects</t>
  </si>
  <si>
    <t>Rare; may include local irritation, allergic reactions</t>
  </si>
  <si>
    <t>Approximately $30 - $200, depending on the formulation and usage frequency</t>
  </si>
  <si>
    <t>Both genders equally affected; usage may vary slightly based on condition prevalence in each gender</t>
  </si>
  <si>
    <t>Topical emollient (not a prescription drug, classified as an over-the-counter topical agent)</t>
  </si>
  <si>
    <t>SODIUM NITROPRUSSIDE 50MG/2ML INJ</t>
  </si>
  <si>
    <t>Hypertensive Crisis</t>
  </si>
  <si>
    <t>Severe hypertension (high blood pressure), headaches, visual disturbances, palpitations, shortness of breath, chest pain, and signs of heart failure.</t>
  </si>
  <si>
    <t>Hypertensive crisis affects approximately 1-2% of the adult population in the USA annually.</t>
  </si>
  <si>
    <t>Treatment with sodium nitroprusside can rapidly reduce blood pressure and alleviate symptoms, potentially improving quality of life during acute episodes, but long-term use is not common due to safety concerns.</t>
  </si>
  <si>
    <t>Sodium nitroprusside is highly effective in rapidly lowering blood pressure, often within minutes, making it suitable for hypertensive emergencies.</t>
  </si>
  <si>
    <t>Generally safe for acute use under medical supervision, but there are risks associated with prolonged infusion due to potential toxicity (cyanide toxicity).</t>
  </si>
  <si>
    <t>Possible adverse events include hypotension (low blood pressure), headache, dizziness, reflex tachycardia, nausea, and, in rare cases, cyanide toxicity.</t>
  </si>
  <si>
    <t>The estimated annual therapy costs can vary, but acute administration costs in a hospital setting can range from $1,000 to $5,000 depending on the duration and setting of the treatment.</t>
  </si>
  <si>
    <t>Primarily adults, although it can be used in pediatric populations under strict medical supervision.</t>
  </si>
  <si>
    <t>Both genders are affected; however, hypertensive crises may be more prevalent in males due to higher rates of underlying risk factors.</t>
  </si>
  <si>
    <t>Small molecules (nitroprusside is a nitric oxide donor).</t>
  </si>
  <si>
    <t>EMERPHED SO4 5MG/ML INJ,SYR,5ML</t>
  </si>
  <si>
    <t>Difficulty breathing, swelling of the face and throat, rapid heartbeat, rash, nausea, vomiting, low blood pressure</t>
  </si>
  <si>
    <t>Anaphylaxis occurs in about 1.6% of the population in the USA each year.</t>
  </si>
  <si>
    <t>Severe allergic reactions can significantly impact quality of life due to anxiety and the need for constant preparedness (carrying EpiPens, etc.).</t>
  </si>
  <si>
    <t>Ephedrine and related medications can be highly effective in acute settings for reversing severe symptoms; often rated above 90% in clinical settings when used appropriately.</t>
  </si>
  <si>
    <t>Generally considered safe when monitored; however, it requires proper administration technique.</t>
  </si>
  <si>
    <t>Common adverse events include increased heart rate, anxiety, tremors, headache, dizziness.</t>
  </si>
  <si>
    <t>Total annual costs can vary widely, generally around $600-$1200 for emergency treatment and follow-up.</t>
  </si>
  <si>
    <t>All age groups, though usage in children must be carefully dosed.</t>
  </si>
  <si>
    <t>Both genders equally affected.</t>
  </si>
  <si>
    <t>Small molecules / sympathomimetics.</t>
  </si>
  <si>
    <t>BRUKINSA 80MG CAP,ORAL</t>
  </si>
  <si>
    <t>Mantle Cell Lymphoma</t>
  </si>
  <si>
    <t>Swollen lymph nodes, fatigue, weight loss, fever, night sweats, and abdominal pain.</t>
  </si>
  <si>
    <t>Approximately 3,000 new cases annually in the USA.</t>
  </si>
  <si>
    <t>Considerable impact due to aggressive nature of the disease and treatment side effects, but effective treatment can improve quality of life significantly.</t>
  </si>
  <si>
    <t>Clinical trials have shown overall response rates of around 80% and complete response rates nearing 30-40%.</t>
  </si>
  <si>
    <t>Generally well-tolerated; however, monitoring is required due to potential for significant adverse effects.</t>
  </si>
  <si>
    <t>Common adverse events include diarrhea (up to 60%), neutropenia (30%), and fatigue (20%).</t>
  </si>
  <si>
    <t>Approximately $100,000 to $200,000 per year.</t>
  </si>
  <si>
    <t>Primarily adults, with a median age of diagnosis around 65 years.</t>
  </si>
  <si>
    <t>Slightly more common in males (ratio of 2:1).</t>
  </si>
  <si>
    <t>Small molecule kinase inhibitor (Bruton tyrosine kinase inhibitor).</t>
  </si>
  <si>
    <t>SANDOSTATIN 50MCG/ML INJ</t>
  </si>
  <si>
    <t>Enlarged hands and feet, facial changes (e.g., prominent jaw), joint pain, headaches, vision problems, flushing, diarrhea (in certain neuroendocrine tumors)</t>
  </si>
  <si>
    <t>Approximately 3-4 cases per 100,000 people for acromegaly; prevalence of neuroendocrine tumors varies widely, estimated around 5-8 cases per 100,000 people</t>
  </si>
  <si>
    <t>Can be significantly impacted by symptoms; successful treatment often improves quality of life but may require ongoing management</t>
  </si>
  <si>
    <t>Effective in reducing growth hormone levels and alleviating symptoms; can shrink tumors in patients with neuroendocrine tumors</t>
  </si>
  <si>
    <t>Generally well-tolerated; long-term use requires monitoring for potential complications</t>
  </si>
  <si>
    <t>Common adverse events include gastrointestinal disturbances (e.g., diarrhea, abdominal pain), gallbladder issues, and injection site reactions</t>
  </si>
  <si>
    <t>Approximately $20,000 - $50,000 depending on dosage, duration, and specific treatment regimen</t>
  </si>
  <si>
    <t>Typically adults diagnosed in middle age (30-50 years), but can vary</t>
  </si>
  <si>
    <t>Slightly more common in males for acromegaly; neuroendocrine tumors affect both genders, though specific types may have gender predilections</t>
  </si>
  <si>
    <t>Somatostatin analogue (small molecules)</t>
  </si>
  <si>
    <t>SANDOSTATIN 100MCG/ML INJ</t>
  </si>
  <si>
    <t>Enlarged hands and feet, facial changes (such as enlargement of the jaw and forehead), joint pain, headaches, vision problems, excessive sweating, increased skin thickness</t>
  </si>
  <si>
    <t>Acromegaly is estimated to affect about 3 to 14 per million people annually in the USA; neuroendocrine tumors have an estimated prevalence of approximately 2-5 per 100,000 people</t>
  </si>
  <si>
    <t>Quality of life can be significantly affected due to physical symptoms and psychosocial issues associated with the disease; improvement in symptoms can lead to enhanced quality of life</t>
  </si>
  <si>
    <t>Reduces levels of growth hormone (GH) and insulin-like growth factor 1 (IGF-1); effective in controlling symptoms in acromegaly and slowing the progression of neuroendocrine tumors</t>
  </si>
  <si>
    <t>Generally well tolerated; however, it requires monitoring for gallbladder function and glucose levels due to risk of insulin dysregulation</t>
  </si>
  <si>
    <t>Common adverse events include gastrointestinal disturbances (nausea, diarrhea), injection site reactions, and gallbladder complications</t>
  </si>
  <si>
    <t>Approximately $30,000 to $50,000 depending on the treatment regimen and healthcare coverage</t>
  </si>
  <si>
    <t>Most commonly diagnosed in adults aged 30-50 years</t>
  </si>
  <si>
    <t>Affects both genders equally, although some studies suggest a slightly higher incidence in men</t>
  </si>
  <si>
    <t>Somatostatin analog (synthetic peptide)</t>
  </si>
  <si>
    <t>SANDOSTATIN 500MCG/ML INJ</t>
  </si>
  <si>
    <t>Enlarged extremities, facial changes, headaches, sweating, joint pain, vision problems, and symptoms related to hormone excess (like glucose intolerance).</t>
  </si>
  <si>
    <t>Acromegaly affects approximately 3-4 per million people per year in the USA; neuroendocrine tumors have an estimated prevalence of 2-5 per 100,000 individuals.</t>
  </si>
  <si>
    <t>Patients experience decreased quality of life due to symptoms and psychosocial impacts; often rated significantly lower than the general population.</t>
  </si>
  <si>
    <t>Approximately 50-70% of patients respond adequately to Sandostatin in controlling growth hormone levels and reducing symptoms.</t>
  </si>
  <si>
    <t>Generally well-tolerated, with a safety profile considered acceptable for long-term use; monitoring of glucose levels is advised.</t>
  </si>
  <si>
    <t>Common adverse events include gastrointestinal issues (diarrhea, nausea), injection site reactions, and potential gallbladder problems; severe reactions are rare.</t>
  </si>
  <si>
    <t>Estimated annual therapy costs can range from $50,000 to $80,000 depending on treatment duration and dosing frequency.</t>
  </si>
  <si>
    <t>Approved for use in adults and children; however, it is more commonly treated in adults.</t>
  </si>
  <si>
    <t>Affects both genders, but acromegaly may be slightly more prevalent in males.</t>
  </si>
  <si>
    <t>Somatostatin analog, classified as a small molecule.</t>
  </si>
  <si>
    <t>COSENTYX PEN (1 PEN)</t>
  </si>
  <si>
    <t>Joint pain, stiffness, swelling, skin rashes, scaly patches</t>
  </si>
  <si>
    <t>Approximately 3.1% of the U.S. population for psoriasis; ~0.1-0.5% for psoriatic arthritis.</t>
  </si>
  <si>
    <t>Significant improvement in quality of life with long-term treatment; a reduction in disease symptoms can lead to better physical and emotional well-being.</t>
  </si>
  <si>
    <t>Clinical trials report 75% of patients achieve at least a 75% reduction in psoriasis symptoms (PASI 75) with proper use.</t>
  </si>
  <si>
    <t>Generally safe for use in adults but monitored for infections and allergic reactions; long-term safety data support its use.</t>
  </si>
  <si>
    <t>Upper respiratory infections, injection site reactions, headaches, fatigue; rare cases of serious infections or anaphylaxis.</t>
  </si>
  <si>
    <t>Approximately $40,000 to $50,000 per year depending on dosing and insurance coverage.</t>
  </si>
  <si>
    <t>Adults (Typically 18 years and older).</t>
  </si>
  <si>
    <t>No specific gender preference; both men and women can be affected.</t>
  </si>
  <si>
    <t>Monoclonal antibody (IL-17A inhibitor).</t>
  </si>
  <si>
    <t>COSENTYX (1 SYRINGE)</t>
  </si>
  <si>
    <t>Joint pain, stiffness, swelling, skin lesions, itching, fatigue</t>
  </si>
  <si>
    <t>Approximately 1%-3% of the US population for psoriasis; about 0.1%-0.5% for psoriatic arthritis</t>
  </si>
  <si>
    <t>Significantly decreased quality of life due to chronic pain and skin lesions; patients may experience social stigma</t>
  </si>
  <si>
    <t>Approximately 70% of patients see an improvement in symptoms after 12 weeks of therapy</t>
  </si>
  <si>
    <t>Generally considered safe; monitored for infection risk and cardiovascular issues</t>
  </si>
  <si>
    <t>Common adverse events include upper respiratory infections, injection site reactions, and gastrointestinal discomfort</t>
  </si>
  <si>
    <t>Approximately $50,000 - $70,000 per year</t>
  </si>
  <si>
    <t>Both genders are affected, though psoriasis may be more common in men, while psoriatic arthritis prevalence is similar between genders</t>
  </si>
  <si>
    <t>Monoclonal antibody</t>
  </si>
  <si>
    <t>MEKINIST 2MG TAB</t>
  </si>
  <si>
    <t>Changes in existing moles, the appearance of new moles, asymmetry, irregular borders, multiple colors, diameter larger than 6mm, itching or bleeding of moles</t>
  </si>
  <si>
    <t>Approximately 22.5 per 100,000 individuals in the USA</t>
  </si>
  <si>
    <t>Varies; treatment may significantly impact quality of life depending on stage and treatment response</t>
  </si>
  <si>
    <t>Approximately 30-50% overall response rate for BRAF-mutant melanoma</t>
  </si>
  <si>
    <t>Generally well-tolerated, but monitoring for side effects is essential</t>
  </si>
  <si>
    <t>Common adverse events include rash (30-50%), fatigue (30%), diarrhea (15-20%), liver enzyme elevations (15%), and other skin issues</t>
  </si>
  <si>
    <t>Estimated at $100,000 to $150,000 per year</t>
  </si>
  <si>
    <t>Adults, typically ages 18-75, more common in older populations</t>
  </si>
  <si>
    <t>More prevalent in males than females, but treatment is applicable to all genders</t>
  </si>
  <si>
    <t>Small molecule (BRAF inhibitor)</t>
  </si>
  <si>
    <t>TYKERB 250MG TAB</t>
  </si>
  <si>
    <t>HER2-Positive Breast Cancer</t>
  </si>
  <si>
    <t>Symptoms may include a lump in the breast, changes in breast shape, swelling, skin irritation, or discharge from the nipple.</t>
  </si>
  <si>
    <t>Approximately 20-25% of breast cancer cases in the USA are HER2-positive; this represents about 15,000 to 20,000 new cases annually.</t>
  </si>
  <si>
    <t>Quality of life can vary significantly, but treatment with TYKERB can lead to improved outcomes in terms of disease control and symptom management, potentially enhancing overall well-being.</t>
  </si>
  <si>
    <t>TYKERB has shown a 30-50% increase in progression-free survival when combined with letrozole or other endocrine therapy in women with HER2-positive breast cancer.</t>
  </si>
  <si>
    <t>Generally well tolerated; however, careful monitoring is necessary as it may have side effects.</t>
  </si>
  <si>
    <t>Common adverse events include diarrhea, nausea, fatigue, rash, and liver function abnormalities.</t>
  </si>
  <si>
    <t>Estimated annual therapy costs are around $100,000 to $120,000, depending on the regimen and healthcare plan.</t>
  </si>
  <si>
    <t>Primarily adults, most commonly used in women aged 30-65 years.</t>
  </si>
  <si>
    <t>Primarily female, as breast cancer predominantly affects women; however, men can also develop breast cancer.</t>
  </si>
  <si>
    <t>Small molecule targeted therapy (specifically a tyrosine kinase inhibitor).</t>
  </si>
  <si>
    <t>TAFINLAR 50MG CAP</t>
  </si>
  <si>
    <t>Changes in an existing mole, new growths on the skin, itching, bleeding, or ulceration of a mole, asymmetry or irregular borders of a mole.</t>
  </si>
  <si>
    <t>Approximately 5.9 per 100,000 individuals per year in the USA (about 101,000 diagnosed annually).</t>
  </si>
  <si>
    <t>Quality of life can be significantly impacted due to physical appearance, anxiety related to cancer, and treatment side effects.</t>
  </si>
  <si>
    <t>Clinical studies show about 30-50% response rates in patients with BRAF V600E/K mutation-positive melanoma.</t>
  </si>
  <si>
    <t>Generally well tolerated; safety profile has been established in clinical trials.</t>
  </si>
  <si>
    <t>Common adverse events include pyrexia (fever), fatigue, rash, nausea, and diarrhea. Serious adverse events can include hepatotoxicity, pneumonitis, and cardiomyopathy.</t>
  </si>
  <si>
    <t>Approximately $80,000 to $100,000 (varies based on insurance coverage).</t>
  </si>
  <si>
    <t>Primarily adults (most common in those aged 30-65 years).</t>
  </si>
  <si>
    <t>Slightly more prevalent in men than women (ratio approximately 1.5:1).</t>
  </si>
  <si>
    <t>Small molecule (BRAF inhibitor).</t>
  </si>
  <si>
    <t>RYDAPT 25MG CAPSULE</t>
  </si>
  <si>
    <t>Fatigue, fever, easy bruising, bleeding, bone pain, abdominal pain, skin rashes (in systemic mastocytosis), and gastrointestinal symptoms.</t>
  </si>
  <si>
    <t>AML has an estimated incidence of 19,500 cases annually in the USA; systemic mastocytosis is rarer, with approximately 200-300 cases per million people.</t>
  </si>
  <si>
    <t>Quality of life can be significantly impacted due to the chronic nature of the diseases and associated symptoms, leading to increased emotional distress and physical limitations.</t>
  </si>
  <si>
    <t>Rydapt has shown efficacy in improving response rates in patients with specific mutations in AML and in systemic mastocytosis; specific response rates vary by disease subtype.</t>
  </si>
  <si>
    <t>Generally well-tolerated, but safety must be monitored, especially due to potential interactions with other therapies and underlying conditions.</t>
  </si>
  <si>
    <t>Common adverse events include headache, diarrhea, nausea, fatigue, and liver enzyme elevations. Serious events may include hemorrhage and infection.</t>
  </si>
  <si>
    <t>Approximately $100,000 - $150,000 per year, depending on dosing and healthcare costs.</t>
  </si>
  <si>
    <t>Primarily adults, typically ages 18 and older.</t>
  </si>
  <si>
    <t>More prevalent in males for AML; systemic mastocytosis shows a more equal gender distribution.</t>
  </si>
  <si>
    <t>Small molecule inhibitor (kit inhibitor).</t>
  </si>
  <si>
    <t>SANDOSTATIN LAR DEPOT 10MG INJ</t>
  </si>
  <si>
    <t>Enlarged hands and feet, facial changes (coarsening of features), joint pain, headaches, vision problems, excessive sweating</t>
  </si>
  <si>
    <t>Approximately 3 to 4 cases per million for acromegaly; neuroendocrine tumors have varying prevalence depending on type but estimated 5-7 cases per 100,000 for gastrointestinal neuroendocrine tumors</t>
  </si>
  <si>
    <t>Significantly impacted due to symptoms, particularly with physical changes and comorbidities; improved with effective treatment</t>
  </si>
  <si>
    <t>Approximately 50-80% of patients respond to treatment with reduced growth hormone levels and symptom alleviation</t>
  </si>
  <si>
    <t>Generally safe, especially when monitored; recommended to assess liver and gallbladder function</t>
  </si>
  <si>
    <t>Common adverse events include gastrointestinal disturbances (nausea, diarrhea), injection site reactions, headache, and fatigue</t>
  </si>
  <si>
    <t>Approximately $18,000 - $30,000 depending on insurance coverage and treatment duration</t>
  </si>
  <si>
    <t>No significant gender predisposition; occurs in both males and females</t>
  </si>
  <si>
    <t>Somatostatin analog (small molecule)</t>
  </si>
  <si>
    <t>SANDOSTATIN LAR DEPOT 20MG INJ</t>
  </si>
  <si>
    <t>Enlarged hands and feet, facial changes (coarsening of features), joint pain, headaches, excessive sweating, fatigue, and gastrointestinal symptoms including severe diarrhea and flushing in VIPoma.</t>
  </si>
  <si>
    <t>Acromegaly has a prevalence of approximately 3 to 14 cases per million people in the USA; VIPomas are rare, with an estimated incidence of less than 1 case per million.</t>
  </si>
  <si>
    <t>Patients with acromegaly often report a reduced quality of life due to physical symptoms, emotional challenges, and complications associated with the disease.</t>
  </si>
  <si>
    <t>SANDOSTATIN LAR has shown efficacy in normalizing growth hormone levels and reducing tumor size in acromegaly patients, with response rates around 50%.</t>
  </si>
  <si>
    <t>Generally well-tolerated; most patients experience manageable side effects; it is important to monitor liver function and gastrointestinal function.</t>
  </si>
  <si>
    <t>Common adverse events include gastrointestinal symptoms (diarrhea, abdominal pain), injection site reactions, and gallbladder disease.</t>
  </si>
  <si>
    <t>Estimated at $30,000 to $50,000 per year, depending on the dosing schedule and insurance coverage.</t>
  </si>
  <si>
    <t>Primarily adults aged 30-60 years, though it can occur in younger patients.</t>
  </si>
  <si>
    <t>More common in males, but acromegaly affects both genders.</t>
  </si>
  <si>
    <t>Somatostatin analog (small molecule).</t>
  </si>
  <si>
    <t>KYMRIAH INJ,SUSP</t>
  </si>
  <si>
    <t>Fatigue, fever, increased susceptibility to infections, easy bruising or bleeding, swollen lymph nodes, weight loss, anemia, bone pain.</t>
  </si>
  <si>
    <t>ALL occurs in approximately 4,000 new cases per year in the USA; LBCL is more common, with about 20,000 new cases annually.</t>
  </si>
  <si>
    <t>Varies; the severity of symptoms and treatment side effects can significantly impact daily functioning and emotional well-being.</t>
  </si>
  <si>
    <t>Clinical trials have shown KYMRIAH to achieve remission rates of approximately 80-90% in patients with refractory ALL.</t>
  </si>
  <si>
    <t>Generally well-tolerated; however, monitoring for side effects is crucial.</t>
  </si>
  <si>
    <t>Cytokine Release Syndrome (CRS), Neurological events, febrile neutropenia, and infections.</t>
  </si>
  <si>
    <t>Approximately $373,000.</t>
  </si>
  <si>
    <t>Primarily for children and young adults (up to 25 years old) for ALL; adult patients for LBCL.</t>
  </si>
  <si>
    <t>Both genders affected, but ALL is slightly more common in males.</t>
  </si>
  <si>
    <t>CAR T-cell therapy (gene therapy).</t>
  </si>
  <si>
    <t>MEKINIST 0.05MG/ML SOLN,ORAL</t>
  </si>
  <si>
    <t>The symptoms of melanoma can include changes in existing moles, new moles that appear, moles that itch, bleed, or become painful, and lesions that are asymmetrical or have irregular borders.</t>
  </si>
  <si>
    <t>Approximately 1 in 38 men and 1 in 58 women will be diagnosed with melanoma in their lifetime in the USA, with an estimated prevalence of around 200,000 cases annually.</t>
  </si>
  <si>
    <t>Treatment with Mekinist can improve quality of life by controlling disease progression, but possible side effects may impact daily living activities.</t>
  </si>
  <si>
    <t>Clinical studies have shown that Mekinist, in combination with another agent (e.g., Tafinlar), can lead to an objective response rate of approximately 60-70% in patients with BRAF V600E/K-mutation-positive melanoma.</t>
  </si>
  <si>
    <t>Mekinist is generally well tolerated, but patients require monitoring for potential side effects and drug interactions.</t>
  </si>
  <si>
    <t>Common adverse events include skin rash (50%), diarrhea (32%), fatigue (27%), and elevated liver enzymes (up to 16%). Severe adverse events can occur but are less common.</t>
  </si>
  <si>
    <t>The annual cost of therapy can exceed $150,000 depending on the duration of treatment and healthcare utilization.</t>
  </si>
  <si>
    <t>Generally prescribed for adults, predominantly those aged 18 to 75.</t>
  </si>
  <si>
    <t>Melanoma affects both genders, but men are at a higher risk than women, often diagnosed at a younger age.</t>
  </si>
  <si>
    <t>Small molecule inhibitor (specifically, a selective inhibitor of the mitogen-activated protein kinase (MAPK) pathway).</t>
  </si>
  <si>
    <t>COSENTYX 25MG/ML INJ,SOLN</t>
  </si>
  <si>
    <t>Approximately 2-3% of the U.S. population for psoriasis; psoriatic arthritis affects about 30% of psoriasis patients</t>
  </si>
  <si>
    <t>Significant improvement in quality of life for patients with effective management</t>
  </si>
  <si>
    <t>Clinical studies show efficacy rates of 50-80% in improving psoriatic symptoms and joint inflammation</t>
  </si>
  <si>
    <t>Generally well tolerated with a manageable side effect profile</t>
  </si>
  <si>
    <t>Common adverse events include upper respiratory infections, injection site reactions, and headache</t>
  </si>
  <si>
    <t>Approximately $40,000 to $50,000 per year, depending on insurance coverage and dosages</t>
  </si>
  <si>
    <t>Adults aged 18 years and older</t>
  </si>
  <si>
    <t>Affects both genders, with slightly higher prevalence in men for ankylosing spondylitis, while psoriasis has a more uniform distribution</t>
  </si>
  <si>
    <t>Monoclonal Antibody (IL-17A antagonist)</t>
  </si>
  <si>
    <t>FABHALTA 200MG CAP</t>
  </si>
  <si>
    <t>Alopecia Areata</t>
  </si>
  <si>
    <t>Patchy hair loss on the scalp or other areas of the body, potential complete loss of all hair (alopecia totalis or alopecia universalis).</t>
  </si>
  <si>
    <t>Approximately 2% of the U.S. population.</t>
  </si>
  <si>
    <t>Hair loss can significantly affect self-esteem and emotional well-being. Patients may experience anxiety and depression.</t>
  </si>
  <si>
    <t>Clinical trials indicate efficacy rates of about 30%-50% for hair regrowth in patients treated with janus kinase inhibitors like Fabhalta.</t>
  </si>
  <si>
    <t>Generally well tolerated, but long-term safety data is limited.</t>
  </si>
  <si>
    <t>Potential for infection, nausea, headache, and changes in liver enzyme levels.</t>
  </si>
  <si>
    <t>Approximately $20,000 - $30,000, depending on insurance coverage and patient-specific circumstances.</t>
  </si>
  <si>
    <t>Generally seen in individuals aged 2 to 40, but can occur at any age.</t>
  </si>
  <si>
    <t>Affects both males and females equally, but may present differently across genders.</t>
  </si>
  <si>
    <t>Small molecule (JAK inhibitor).</t>
  </si>
  <si>
    <t>ZYNYZ 25MG/ML INJ,SOLN</t>
  </si>
  <si>
    <t>Fatigue, fever, frequent infections, easy bruising or bleeding, pale skin, shortness of breath, bone or joint pain.</t>
  </si>
  <si>
    <t>Approximately 3,600 new cases annually in the USA (about 1.2 cases per 100,000 children per year).</t>
  </si>
  <si>
    <t>Quality of life can vary widely; treatment often leads to temporary decline but can improve post-treatment, though long-term monitoring is essential.</t>
  </si>
  <si>
    <t>Efficacy is high; most patients show improvement with appropriate therapy, especially in childhood cases.</t>
  </si>
  <si>
    <t>Generally well-tolerated; safety profile is favorable in most patients, but requires monitoring.</t>
  </si>
  <si>
    <t>Common adverse events include febrile neutropenia, infection, fatigue, nausea, and allergic reactions.</t>
  </si>
  <si>
    <t>Approximately $65,000 to $100,000 per year, depending on treatment regimen and healthcare setting.</t>
  </si>
  <si>
    <t>Mainly affects children (from infancy to around 19 years), but can occur in adults.</t>
  </si>
  <si>
    <t>Slightly more prevalent in males than females (1.5:1 ratio).</t>
  </si>
  <si>
    <t>Small molecules (as part of combination chemotherapy).</t>
  </si>
  <si>
    <t>PEMAZYRE 4.5MG TAB</t>
  </si>
  <si>
    <t>Cholangiocarcinoma (Bile Duct Cancer)</t>
  </si>
  <si>
    <t>Jaundice, abdominal pain, weight loss, itchy skin, dark urine, pale stools, and fever.</t>
  </si>
  <si>
    <t>Approximately 2.2 per 100,000 individuals in the USA, with around 8,000 new cases diagnosed annually.</t>
  </si>
  <si>
    <t>Generally low due to symptoms and the advanced nature of most cases at diagnosis; treatment can improve symptoms but not always survival.</t>
  </si>
  <si>
    <t>In patients with locally advanced or metastatic cholangiocarcinoma with a specific genetic mutation (IDH1), Pemazyre (pemigatinib) has shown overall response rates of approximately 35%.</t>
  </si>
  <si>
    <t>Commonly well-tolerated, but patients require monitoring for toxicity and adverse effects.</t>
  </si>
  <si>
    <t>The most common adverse events include hyperphosphatemia (77%), fatigue (47%), nausea (30%), and diarrhea (24%).</t>
  </si>
  <si>
    <t>Approximately $200,000 to $250,000 per year.</t>
  </si>
  <si>
    <t>Primarily prescribed for adults, typically ages 40-75.</t>
  </si>
  <si>
    <t>More common in males than females, with a male-to-female ratio of about 2:1.</t>
  </si>
  <si>
    <t>Small molecule inhibitor (specifically, an IDH1 inhibitor).</t>
  </si>
  <si>
    <t>PEMAZYRE 9MG TAB</t>
  </si>
  <si>
    <t>Jaundice, abdominal pain, weight loss, itching, nausea, and fever</t>
  </si>
  <si>
    <t>Approximately 2 per 100,000 people in the USA; estimated at about 3,000 new cases annually</t>
  </si>
  <si>
    <t>Poor; can significantly affect daily functioning and emotional well-being due to symptoms and treatment side effects</t>
  </si>
  <si>
    <t>Clinical trials indicate overall response rates of approximately 30% in patients with FGFR2 alterations</t>
  </si>
  <si>
    <t>Generally well tolerated, but monitoring is required</t>
  </si>
  <si>
    <t>Common adverse events include hyperphosphatemia, diarrhea, fatigue, nausea, and abdominal pain</t>
  </si>
  <si>
    <t>Approximately $23,000 - $27,000 per year</t>
  </si>
  <si>
    <t>Primarily adults aged 40-70</t>
  </si>
  <si>
    <t>More common in males than females (male-to-female ratio approximately 2:1)</t>
  </si>
  <si>
    <t>Small molecule inhibitor (specifically an FGFR inhibitor)</t>
  </si>
  <si>
    <t>PEMAZYRE 13.5MG TAB</t>
  </si>
  <si>
    <t>Jaundice, abdominal pain, weight loss, itching, fever, nausea</t>
  </si>
  <si>
    <t>Approximately 2 per 100,000 individuals in the USA</t>
  </si>
  <si>
    <t>Can be significantly impacted; many patients experience fatigue and pain that can affect daily activities and emotional well-being</t>
  </si>
  <si>
    <t>Approximately 35% of patients show a response to treatment</t>
  </si>
  <si>
    <t>Generally well-tolerated; regular monitoring required for liver function and potential adverse reactions</t>
  </si>
  <si>
    <t>Common adverse events include diarrhea, elevated liver enzymes, fatigue, naus?a, and rash</t>
  </si>
  <si>
    <t>Approximately $200,000 - $300,000</t>
  </si>
  <si>
    <t>Primarily adults (median age of diagnosis 65 years)</t>
  </si>
  <si>
    <t>Slightly more prevalent in males compared to females (ratio approximately 1.5:1)</t>
  </si>
  <si>
    <t>Small molecule inhibitor (targeted therapy)</t>
  </si>
  <si>
    <t>METRONIDAZOLE 1% GEL,TOP</t>
  </si>
  <si>
    <t>Symptoms of bacterial vaginosis include vaginal discharge, odor, irritation, and itching. Symptoms of rosacea include facial redness, visible blood vessels, and bumps resembling acne.</t>
  </si>
  <si>
    <t>Bacterial vaginosis affects approximately 29% of women of reproductive age in the USA. Rosacea affects about 16 million Americans, with a prevalence of roughly 1-10% of the population.</t>
  </si>
  <si>
    <t>Quality of life can be significantly affected by both conditions; bacterial vaginosis can lead to social embarrassment and discomfort while rosacea can result in psychological distress and social anxiety.</t>
  </si>
  <si>
    <t>Metronidazole 1% gel shows high efficacy rates, with studies indicating a treatment success rate of around 75-80% for bacterial vaginosis and 80-90% for rosacea.</t>
  </si>
  <si>
    <t>Generally, metronidazole gel is considered safe, with minimal systemic absorption, though allergies and skin irritations can occur.</t>
  </si>
  <si>
    <t>Common adverse events may include local irritation, burning, dryness, and a metallic taste upon absorption.</t>
  </si>
  <si>
    <t>Costs for metronidazole 1% gel range from $200 to $400 per year depending on insurance coverage and pharmacy pricing.</t>
  </si>
  <si>
    <t>Primarily for adults, typically used in patients aged 18 years and older.</t>
  </si>
  <si>
    <t>Predominantly used in females for bacterial vaginosis; however, rosacea affects both genders, albeit more frequently in females.</t>
  </si>
  <si>
    <t>Topical antibiotic (small molecule).</t>
  </si>
  <si>
    <t>METRONIDAZOLE 0.75% CREAM,TOP</t>
  </si>
  <si>
    <t>Unusual vaginal discharge, odor, itching, burning; red, inflamed skin; pimples and bumps on the face</t>
  </si>
  <si>
    <t>Approximately 15% of women of reproductive age for bacterial vaginosis; rosacea affects about 14 million Americans (predominantly adults)</t>
  </si>
  <si>
    <t>Can significantly impact quality of life due to discomfort, embarrassment, and psychosocial effects</t>
  </si>
  <si>
    <t>70-90% effective in treating bacterial vaginosis; effectiveness in rosacea can be around 50-70%</t>
  </si>
  <si>
    <t>Generally safe when used topically; pregnancy category B, indicating no evidence of harm</t>
  </si>
  <si>
    <t>Localized irritation, burning, redness at the application site; rare systemic effects</t>
  </si>
  <si>
    <t>Approximately $300 to $600, depending on insurance and duration of therapy</t>
  </si>
  <si>
    <t>Primarily adults; more common in individuals aged 18-50 for bacterial vaginosis and adults over 30 for rosacea</t>
  </si>
  <si>
    <t>More common in women for bacterial vaginosis; rosacea affects men and women but is more severe in women</t>
  </si>
  <si>
    <t>Topical antimicrobial agent (0.75% metronidazole cream)</t>
  </si>
  <si>
    <t>METRONIDAZOLE 0.75% GEL,TOP</t>
  </si>
  <si>
    <t>Abnormal vaginal discharge, fishy odor, itching, burning sensation</t>
  </si>
  <si>
    <t>Approximately 29.2% of women in the USA have bacterial vaginosis at some point in their lives</t>
  </si>
  <si>
    <t>Can significantly impact quality of life due to discomfort and psychosocial effects</t>
  </si>
  <si>
    <t>Generally effective with a success rate of about 75-90%</t>
  </si>
  <si>
    <t>Generally considered safe when used as directed</t>
  </si>
  <si>
    <t>Common adverse events include local irritation, burning, dryness, and rash</t>
  </si>
  <si>
    <t>Approximately $500 to $1,000 depending on insurance coverage and treatment duration</t>
  </si>
  <si>
    <t>Predominantly females</t>
  </si>
  <si>
    <t>Topical gel (antimicrobial agent)</t>
  </si>
  <si>
    <t>AMOXAPINE 50MG TAB</t>
  </si>
  <si>
    <t>Depressed mood, loss of interest in activities, fatigue, changes in appetite, insomnia or hypersomnia, feelings of worthlessness, difficulty concentrating, anxiety, irritability, and panic attacks.</t>
  </si>
  <si>
    <t>Approximately 7% of adults in the USA experience depression annually, and anxiety disorders affect around 31% of adults at some point in their lives.</t>
  </si>
  <si>
    <t>Reduced significantly in individuals with untreated major depressive disorder and anxiety; improvement often noted with treatment.</t>
  </si>
  <si>
    <t>Efficacy rates around 60-70% for response in MDD based on clinical studies.</t>
  </si>
  <si>
    <t>Generally well-tolerated; risk of side effects leads to discontinuation rates of approximately 20%.</t>
  </si>
  <si>
    <t>Common adverse events include sedation, dry mouth, constipation, blurred vision, and weight gain. Serious adverse events may include seizures and cardiovascular effects.</t>
  </si>
  <si>
    <t>Approximately $500 to $1,500 depending on insurance coverage and additional treatment requirements.</t>
  </si>
  <si>
    <t>Primarily adults (18-65 years), although it may be used in younger patients under careful supervision.</t>
  </si>
  <si>
    <t>More frequently prescribed to female patients, aligning with higher prevalence rates of depression and anxiety in women.</t>
  </si>
  <si>
    <t>Small molecule antidepressant (specifically a tricyclic antidepressant).</t>
  </si>
  <si>
    <t>AMOXAPINE 100MG TAB</t>
  </si>
  <si>
    <t>Sadness, hopelessness, anxiety, lack of interest, fatigue, changes in appetite, difficulty concentrating, insomnia, agitation</t>
  </si>
  <si>
    <t>Approximately 7% of the U.S. population experiences depression annually, with anxiety disorders affecting about 18% of adults.</t>
  </si>
  <si>
    <t>Depression and anxiety significantly impair quality of life; patients often report reduced social functioning, work productivity, and overall satisfaction with life.</t>
  </si>
  <si>
    <t>Amoxapine has been shown to be effective in reducing symptoms of depression and anxiety, with improvements noted in approximately 60-75% of patients within 4-6 weeks.</t>
  </si>
  <si>
    <t>Generally considered safe when prescribed appropriately; however, caution is advised in patients with a history of certain medical conditions.</t>
  </si>
  <si>
    <t>Common adverse events include sedation, dry mouth, constipation, dizziness, and akathisia. Potential serious effects include tardive dyskinesia and seizure risk.</t>
  </si>
  <si>
    <t>Approximately $200 to $1,000, depending on insurance coverage and pharmacy pricing.</t>
  </si>
  <si>
    <t>Primarily prescribed for adults, but may also be used in adolescents with caution.</t>
  </si>
  <si>
    <t>More commonly prescribed to females, although it is used across all genders.</t>
  </si>
  <si>
    <t>Small molecule antidepressant (tricyclic antidepressant).</t>
  </si>
  <si>
    <t>DIAZEPAM 5MG/5ML SOLN,ORAL</t>
  </si>
  <si>
    <t>Anxiety, agitation, muscle spasms, seizures, insomnia, alcohol withdrawal symptoms, tremors</t>
  </si>
  <si>
    <t>Anxiety disorders affect approximately 18.1% of adults in the USA annually; about 5% of the population experiences seizures in their lifetime.</t>
  </si>
  <si>
    <t>Significant improvement in quality of life reported in patients with anxiety and seizure disorders receiving effective treatment; however, potential dependency issues can negatively impact life quality.</t>
  </si>
  <si>
    <t>Diazepam is effective in reducing anxiety symptoms and managing seizures, with response rates varying, but generally around 70-90% in anxiety treatment settings.</t>
  </si>
  <si>
    <t>Generally considered safe when used correctly; risk exists for dependency, especially in long-term use.</t>
  </si>
  <si>
    <t>Common adverse events include drowsiness, fatigue, ataxia, dizziness; rare events include respiratory depression and anaphylactic reactions.</t>
  </si>
  <si>
    <t>Approximate annual therapy costs range from $500 to $1,500 depending on dosage and insurance coverage.</t>
  </si>
  <si>
    <t>Primarily used in adults but can be prescribed in specific circumstances for children, typically over 6 months of age.</t>
  </si>
  <si>
    <t>Effective for all genders, with some studies indicating women may have a higher prevalence of anxiety disorders.</t>
  </si>
  <si>
    <t>VITAMIN C 250MG TAB</t>
  </si>
  <si>
    <t>Fatigue, weakness, anemia, swollen gums, joint pain, and skin issues (such as petechiae and hyperkeratosis)</t>
  </si>
  <si>
    <t>Approximately 0.2% of the U.S. population is estimated to have vitamin C deficiency; extremely rare due to widespread access to diet and supplements</t>
  </si>
  <si>
    <t>Vitamin C is essential for overall health; deficiency can negatively impact quality of life by contributing to fatigue and general malaise</t>
  </si>
  <si>
    <t>Highly effective in reversing symptoms of deficiency; rapid improvement noted with doses of vitamin C</t>
  </si>
  <si>
    <t>Generally recognized as safe; no significant safety concerns when used at recommended doses</t>
  </si>
  <si>
    <t>Rare; may include gastrointestinal upset, diarrhea, and nausea if taken in excessive amounts</t>
  </si>
  <si>
    <t>Typically low, around $15 to $50 depending on brand and quantity</t>
  </si>
  <si>
    <t>All age groups; particularly important for those with restricted diets or absorption issues</t>
  </si>
  <si>
    <t>No significant gender differences in need or response to vitamin C supplementation</t>
  </si>
  <si>
    <t>Dietary supplement / vitamin</t>
  </si>
  <si>
    <t>VITAMIN C CHEWABLE 250MG TAB</t>
  </si>
  <si>
    <t>Fatigue, weakness, swollen gums, joint pain, bruising, and anemia</t>
  </si>
  <si>
    <t>Approximately 0.001% in the general population; more common in individuals with limited access to fresh fruits and vegetables</t>
  </si>
  <si>
    <t>Can significantly improve with treatment, restoring energy and reducing symptoms</t>
  </si>
  <si>
    <t>High; Vitamin C is effective in reversing symptoms of deficiency</t>
  </si>
  <si>
    <t>Generally considered safe; high doses may lead to gastrointestinal disturbances</t>
  </si>
  <si>
    <t>Diarrhea, nausea, abdominal cramps (common with excessive intake)</t>
  </si>
  <si>
    <t>Approximately $10 - $30 (depending on brand and dosage)</t>
  </si>
  <si>
    <t>All age groups, particularly those with dietary restrictions</t>
  </si>
  <si>
    <t>No specific gender predominance; affects all genders equally</t>
  </si>
  <si>
    <t>Small molecule (nutritional supplement)</t>
  </si>
  <si>
    <t>LUTEIN 15MG SOFT GEL</t>
  </si>
  <si>
    <t>Blurred vision, Difficulty seeing in low light, A gradual loss of vision, Distorted vision, Dark or empty areas in the center of vision</t>
  </si>
  <si>
    <t>Approximately 10% of individuals aged 50 and older in the USA have some form of AMD.</t>
  </si>
  <si>
    <t>Can significantly impact daily activities and overall quality of life, as vision loss may impede work, driving, and self-care tasks.</t>
  </si>
  <si>
    <t>Lutein is believed to help protect against macular degeneration by filtering harmful blue light and supporting overall eye health; however, definitive studies on efficacy are limited.</t>
  </si>
  <si>
    <t>Generally considered safe for most individuals when taken within recommended doses; however, individuals should consult healthcare providers before starting supplementation.</t>
  </si>
  <si>
    <t>Rare, but may include gastrointestinal discomfort or allergy in sensitive individuals.</t>
  </si>
  <si>
    <t>Approximately $30 to $100, depending on the brand and retail price.</t>
  </si>
  <si>
    <t>Primarily adults aged 50 and older, but can be used by younger individuals for preventive measures.</t>
  </si>
  <si>
    <t>Both genders; no significant gender differences in usage patterns.</t>
  </si>
  <si>
    <t>Dietary Supplement (not classified as a pharmaceutical drug).</t>
  </si>
  <si>
    <t>VITAMIN C 1000MG TAB</t>
  </si>
  <si>
    <t>Fatigue, depression, swollen and bleeding gums, joint pain, anemia, dry skin</t>
  </si>
  <si>
    <t>Approximately 0.1% for severe scurvy; common cold has an annual incidence of 20-30% in the USA</t>
  </si>
  <si>
    <t>Generally positive if deficiency is corrected; vitamin C can enhance well-being and immune function.</t>
  </si>
  <si>
    <t>Effective in preventing and treating scurvy; mixed evidence for cold prevention</t>
  </si>
  <si>
    <t>Generally considered safe; overdose can lead to gastrointestinal disturbances</t>
  </si>
  <si>
    <t>Nausea, diarrhea, stomach cramps, headaches, insomnia (rare)</t>
  </si>
  <si>
    <t>Approximately $10-$20 depending on brand and form (tablet, capsule, etc.)</t>
  </si>
  <si>
    <t>All age groups, with special consideration for infants and elderly</t>
  </si>
  <si>
    <t>No significant gender differences reported in usage or effects</t>
  </si>
  <si>
    <t>Dietary supplement (not classified as a drug in the traditional sense)</t>
  </si>
  <si>
    <t>VITAMIN C COMPLEX 500MG TR TAB</t>
  </si>
  <si>
    <t>Fatigue, weakness, irritability, gum disease, joint pain, anemia, dry skin, and easy bruising</t>
  </si>
  <si>
    <t>Approximately 0.5% of the population in the USA exhibits symptoms of vitamin C deficiency, with higher rates in certain demographics, such as the elderly or those with limited dietary intake</t>
  </si>
  <si>
    <t>Vitamin C deficiency can significantly impair quality of life due to physical symptoms and fatigue; however, supplementation often leads to improvement</t>
  </si>
  <si>
    <t>Efficacy of Vitamin C is generally high, particularly in correcting deficiency symptoms and preventing scurvy</t>
  </si>
  <si>
    <t>High safety profile with minimal risk of adverse effects when taken at recommended levels</t>
  </si>
  <si>
    <t>Gastrointestinal upset, nausea, diarrhea, and, in very high doses, potential kidney stones</t>
  </si>
  <si>
    <t>Approximately $10 - $30 for over-the-counter vitamin C supplements</t>
  </si>
  <si>
    <t>All age groups; especially prevalent in older adults and those with specific dietary limitations</t>
  </si>
  <si>
    <t>No significant gender-based differences in deficiency prevalence</t>
  </si>
  <si>
    <t>Dietary supplement (vitamin)</t>
  </si>
  <si>
    <t>ECHINACEA 350MG/GOLDEN SEAL 100MG CAP</t>
  </si>
  <si>
    <t>Runny nose, sore throat, cough, sneezing, fatigue, headache</t>
  </si>
  <si>
    <t>Approximately 1 billion cases per year in the USA (common cold)</t>
  </si>
  <si>
    <t>Mild to moderate, often affected during illness due to symptoms</t>
  </si>
  <si>
    <t>Mixed results; some studies suggest modest improvements in symptom duration</t>
  </si>
  <si>
    <t>Generally considered safe for short-term use; limited adverse effects reported</t>
  </si>
  <si>
    <t>Gastrointestinal upset, rash, allergic reactions in some individuals</t>
  </si>
  <si>
    <t>$20-$50 depending on brand and dosage frequency</t>
  </si>
  <si>
    <t>All ages, but use is generally more common in adults</t>
  </si>
  <si>
    <t>No significant gender difference in use or effectiveness</t>
  </si>
  <si>
    <t>Herbal supplement</t>
  </si>
  <si>
    <t>ZINC LOZENGES W/VITC LEMON TAB</t>
  </si>
  <si>
    <t>Nasal congestion, sore throat, cough, runny nose, sneezing, headache, fatigue</t>
  </si>
  <si>
    <t>Approximately 30 million cases of the common cold occur annually in the USA</t>
  </si>
  <si>
    <t>Mild to moderate impact; most people recover within a week</t>
  </si>
  <si>
    <t>Moderate; zinc lozenges may reduce the duration and severity of cold symptoms but results can vary</t>
  </si>
  <si>
    <t>Generally considered safe when used as directed; however, long-term use or high doses can lead to adverse effects</t>
  </si>
  <si>
    <t>Nausea, bad taste, oral irritation, gastrointestinal discomfort</t>
  </si>
  <si>
    <t>Approximately $20–$50 for over-the-counter use</t>
  </si>
  <si>
    <t>All age groups, most commonly affects children and young adults</t>
  </si>
  <si>
    <t>No significant gender difference in prevalence</t>
  </si>
  <si>
    <t>Dietary supplement/over-the-counter formulation (not classified as a single pharmaceutical drug)</t>
  </si>
  <si>
    <t>ZINC GLUCONATE 100MG TAB</t>
  </si>
  <si>
    <t>Nasal congestion, sore throat, runny nose, cough, sneezing, fatigue</t>
  </si>
  <si>
    <t>Approximately 50 million cases annually in the USA</t>
  </si>
  <si>
    <t>Mild to moderate impact during acute illness, generally returns to normal after recovery</t>
  </si>
  <si>
    <t>Some studies suggest efficacy in reducing the duration of symptoms by about 1-2 days when taken within 24 hours of symptom onset</t>
  </si>
  <si>
    <t>Generally considered safe; recommended dosage guidelines are important to follow</t>
  </si>
  <si>
    <t>Possible side effects include nausea, bad taste in the mouth, diarrhea, and stomach upset</t>
  </si>
  <si>
    <t>Estimated at $10 to $30 for over-the-counter purchases</t>
  </si>
  <si>
    <t>Commonly used in all age groups, particularly adults and children aged 6 and older</t>
  </si>
  <si>
    <t>No significant gender differences in usage or efficacy</t>
  </si>
  <si>
    <t>VITAMIN C W/ROSEHIPS 500MG TAB</t>
  </si>
  <si>
    <t>Fatigue, weakness, swollen and painful joints, bleeding gums, and skin issues (bruising, dry skin)</t>
  </si>
  <si>
    <t>Approximately 0.1% to 0.5% of the general population in the USA is at risk, potentially higher in certain vulnerable populations (e.g., the elderly, individuals with restricted diets)</t>
  </si>
  <si>
    <t>Vitamin C deficiency can lead to significant decreases in quality of life due to fatigue and pain. Treatment with Vitamin C improves overall well-being and energy levels.</t>
  </si>
  <si>
    <t>Highly effective in treating and preventing Vitamin C deficiency symptoms; rapid improvement typically seen within days of treatment</t>
  </si>
  <si>
    <t>Generally safe when taken at recommended doses; high doses can cause gastrointestinal disturbances</t>
  </si>
  <si>
    <t>Mild gastrointestinal upset (nausea, diarrhea), occasionally kidney stones with excessive long-term use</t>
  </si>
  <si>
    <t>Approximately $20 to $50, depending on dosage and brand</t>
  </si>
  <si>
    <t>All age groups; especially important in infants and the elderly</t>
  </si>
  <si>
    <t>No significant gender differences in risk or efficacy</t>
  </si>
  <si>
    <t>Dietary supplement (not classified as a traditional pharmaceutical drug)</t>
  </si>
  <si>
    <t>VALERIAN ROOT 500 MG CAPSULE</t>
  </si>
  <si>
    <t>Difficulty sleeping, restlessness, anxiety, irritability, stress</t>
  </si>
  <si>
    <t>Approximately 30% of adults report symptoms of insomnia in the USA; generalized anxiety disorder affects about 3.1% of the adult population annually.</t>
  </si>
  <si>
    <t>Poor quality of life due to disrupted sleep, increased stress levels, and social withdrawal</t>
  </si>
  <si>
    <t>Generally rated as moderately effective for improving sleep quality and reducing anxiety symptoms in some studies, with effectiveness varying by individual</t>
  </si>
  <si>
    <t>Considered safe for most people when taken as directed; however, long-term safety data is limited</t>
  </si>
  <si>
    <t>Commonly reported side effects include headache, dizziness, gastrointestinal disturbances, and daytime drowsiness</t>
  </si>
  <si>
    <t>Approx. $100 - $300 for regular use depending on brand and additional supplements</t>
  </si>
  <si>
    <t>Primarily adults (18-65 years), but can be used in older adults as well with caution</t>
  </si>
  <si>
    <t>Generally used by both genders, but studies suggest higher usage among women</t>
  </si>
  <si>
    <t>Herbal supplement (botanical product)</t>
  </si>
  <si>
    <t>VITAMIN C CHEWABLE 500MG TAB</t>
  </si>
  <si>
    <t>Fatigue, weakness, swollen and bleeding gums, joint pain, anemia, and skin issues</t>
  </si>
  <si>
    <t>Approximately 0.4% of the population in the USA is estimated to have vitamin C deficiency, with higher rates in older adults and individuals with limited dietary intake.</t>
  </si>
  <si>
    <t>Vitamin C is essential for overall health; adequate levels contribute to improved immune function, skin health, and may enhance quality of life.</t>
  </si>
  <si>
    <t>High efficacy in correcting vitamin C deficiency symptoms, particularly in individuals with scurvy or poor dietary intake.</t>
  </si>
  <si>
    <t>Generally considered safe when taken in appropriate amounts; excessive intake can lead to side effects.</t>
  </si>
  <si>
    <t>Mild gastrointestinal disturbances (e.g., diarrhea, nausea, abdominal cramps) are common at high doses.</t>
  </si>
  <si>
    <t>Approximately $10 to $20 for over-the-counter forms, depending on brand and formulation.</t>
  </si>
  <si>
    <t>All age groups, particularly older adults, and individuals with specific dietary restrictions.</t>
  </si>
  <si>
    <t>No significant gender differences in deficiency prevalence; however, women may be more likely to take vitamins during pregnancy or lactation.</t>
  </si>
  <si>
    <t>Nutritional supplement (vitamin)</t>
  </si>
  <si>
    <t>ASCORBIC ACID 500MG CAP</t>
  </si>
  <si>
    <t>Fatigue, swollen gums, joint pain, anemia, bruising, and slow wound healing</t>
  </si>
  <si>
    <t>Approximately 0.1% for scurvy due to vitamin C deficiency in the general population, but higher in specific vulnerable groups (e.g., the elderly, alcoholics)</t>
  </si>
  <si>
    <t>Significantly impacts quality of life due to symptoms like pain and fatigue; improvement is noted with treatment</t>
  </si>
  <si>
    <t>Generally high; studies suggest that vitamin C is effective in resolving deficiency and associated symptoms within days to weeks</t>
  </si>
  <si>
    <t>Generally considered safe when taken at recommended doses; high doses can lead to gastrointestinal disturbances</t>
  </si>
  <si>
    <t>Diarrhea, nausea, abdominal cramps, and sometimes kidney stones if taken in very high doses</t>
  </si>
  <si>
    <t>Approximately $20 - $100 depending on dosage and frequency of use</t>
  </si>
  <si>
    <t>All age groups, but particularly relevant for elderly, malnourished, or leading a sedentary lifestyle</t>
  </si>
  <si>
    <t>No significant gender differences in prevalence or symptoms</t>
  </si>
  <si>
    <t>Vitamins (nutraceutical)</t>
  </si>
  <si>
    <t>VITAMIN C COMPLEX 1000MG TR TAB</t>
  </si>
  <si>
    <t>Fatigue, weakness, muscle and joint pain, swollen and bleeding gums, easy bruising, and dry skin</t>
  </si>
  <si>
    <t>Scurvy is rare in developed countries, with less than 0.1% prevalence in the USA; Vitamin C deficiency occurs in approximately 10-15% of the general population</t>
  </si>
  <si>
    <t>Vitamin C plays a crucial role in collagen synthesis, immune function, and antioxidant protection, enhancing overall health and quality of life.</t>
  </si>
  <si>
    <t>High efficacy for treating Vitamin C deficiency; effective in preventing and treating scurvy.</t>
  </si>
  <si>
    <t>Generally regarded as safe with low toxicity; upper limit established at 2000 mg/day for adults.</t>
  </si>
  <si>
    <t>Minimal, may include gastrointestinal discomfort, diarrhea, or stomach cramps at high doses.</t>
  </si>
  <si>
    <t>Approximately $30 to $100 depending on the brand and dosage form.</t>
  </si>
  <si>
    <t>All age groups; recommended intake varies by age and sex.</t>
  </si>
  <si>
    <t>No significant gender differences in Vitamin C deficiency; both sexes can benefit from supplementation.</t>
  </si>
  <si>
    <t>Dietary supplement; classified as vitamins (Water-soluble vitamins).</t>
  </si>
  <si>
    <t>TIBSOVO 250MG TAB</t>
  </si>
  <si>
    <t>Fatigue, fever, easy bruising or bleeding, frequent infections, pale skin, shortness of breath, weight loss</t>
  </si>
  <si>
    <t>Approximately 20,000 new cases annually in the USA</t>
  </si>
  <si>
    <t>Varies among individuals; often adversely affected during treatment due to symptoms and side effects</t>
  </si>
  <si>
    <t>Approximately 50-70% response rate in patients with IDH1 mutations</t>
  </si>
  <si>
    <t>Generally well-tolerated but requires monitoring for liver function and blood counts</t>
  </si>
  <si>
    <t>Diarrhea, hepatotoxicity, fatigue, nausea, vomiting, and increase in liver enzymes</t>
  </si>
  <si>
    <t>Approximately $120,000</t>
  </si>
  <si>
    <t>Adults, typically aged 60 and older</t>
  </si>
  <si>
    <t>Slightly more common in males</t>
  </si>
  <si>
    <t>Small molecule inhibitor</t>
  </si>
  <si>
    <t>ASPARLAS 750UNIT/ML INJ,SOLN</t>
  </si>
  <si>
    <t>Fatigue, fever, easy bruising or bleeding, frequent infections, weight loss, and bone or joint pain.</t>
  </si>
  <si>
    <t>Approximately 5,000 new cases of ALL diagnosed per year in the USA, representing about 1% of all cancers.</t>
  </si>
  <si>
    <t>Varies significantly; treatment can impact daily activities and mental health; many survivors report long-term side effects affecting quality of life.</t>
  </si>
  <si>
    <t>ASPARLAS has shown efficacy rates (complete remission) of about 75-80% in treating ALL when used as part of a multiagent chemotherapy regimen.</t>
  </si>
  <si>
    <t>Generally well-tolerated; however, monitoring for hypersensitivity and serious side effects is required.</t>
  </si>
  <si>
    <t>Common adverse events include allergic reactions, infusion-related reactions, pancreatitis, and neurologic effects such as seizures.</t>
  </si>
  <si>
    <t>Estimated annual therapy costs can range from $100,000 to $200,000 depending on the treatment regimen and healthcare costs.</t>
  </si>
  <si>
    <t>Primarily used in pediatric patients (ages 1-18) but may also be prescribed in younger adults.</t>
  </si>
  <si>
    <t>Affects both males and females, but there is a slightly higher incidence in males (approximately 1.5:1 ratio).</t>
  </si>
  <si>
    <t>Monoclonal antibody (targeted therapy).</t>
  </si>
  <si>
    <t>ONCASPAR 750U/ML (PF) INJ,SOLN,5ML VIL</t>
  </si>
  <si>
    <t>Fatigue, fever, frequent infections, easy bruising or bleeding, pale skin, shortness of breath, bone pain, swollen lymph nodes.</t>
  </si>
  <si>
    <t>Approximately 4,000 new cases annually in the USA (0.13 per 100,000 people).</t>
  </si>
  <si>
    <t>Varies widely; affected by disease stage, treatment side effects, and individual support systems. Improved outcomes can lead to better quality of life post-treatment.</t>
  </si>
  <si>
    <t>Clinical studies indicate efficacy rates in achieving remission of approximately 80-90% in children; lower in adults.</t>
  </si>
  <si>
    <t>Generally well tolerated; however, it requires careful monitoring of liver function and potential hypersensitivity reactions.</t>
  </si>
  <si>
    <t>Common adverse events include liver function test abnormalities, hypertriglyceridemia, and allergic reactions.</t>
  </si>
  <si>
    <t>Estimated between $75,000 - $150,000 depending on treatment regimen and supportive care requirements.</t>
  </si>
  <si>
    <t>Primarily pediatric (children and adolescents), but can occur in adults as well.</t>
  </si>
  <si>
    <t>Affects both genders, but there is a slightly higher prevalence in males.</t>
  </si>
  <si>
    <t>Enzyme replacement therapy (specifically a pegylated form of L-asparaginase).</t>
  </si>
  <si>
    <t>FILSUVEZ 10% GEL,TOP</t>
  </si>
  <si>
    <t>Epidermolysis Bullosa</t>
  </si>
  <si>
    <t>Blistering of the skin and mucous membranes, pain, potential complications from wounds, risk of infections</t>
  </si>
  <si>
    <t>Approximately 1 in 50,000 live births in the USA</t>
  </si>
  <si>
    <t>Significantly impacted due to chronic pain, frequent wounds, and medical care requirements</t>
  </si>
  <si>
    <t>Clinical studies have shown improved wound healing and reduced blister formation</t>
  </si>
  <si>
    <t>Generally well-tolerated, with a focus on topical application minimizing systemic effects</t>
  </si>
  <si>
    <t>Local skin irritation, allergic reactions, and potential for infection at application site</t>
  </si>
  <si>
    <t>Estimated between $15,000 to $50,000 depending on the severity and extent of treatment</t>
  </si>
  <si>
    <t>All ages, but primarily affects infants and children</t>
  </si>
  <si>
    <t>Topical gel (biologic/advanced therapy)</t>
  </si>
  <si>
    <t>CUROSURF 80MG/ML SUSP,INTRATRACHEAL</t>
  </si>
  <si>
    <t>Difficulty breathing, rapid breathing, grunting sounds while breathing, cyanosis (bluish skin color due to lack of oxygen), low oxygen levels in blood.</t>
  </si>
  <si>
    <t>Approximately 1-3% in live births in the USA; higher rates in premature infants.</t>
  </si>
  <si>
    <t>Significant short-term impact on infants; long-term outcomes can vary, with some infants developing chronic lung conditions, contributing to reduced quality of life.</t>
  </si>
  <si>
    <t>Generally very effective in reducing mortality and morbidity associated with RDS; studies show a reduction in the need for mechanical ventilation and improvement in oxygenation.</t>
  </si>
  <si>
    <t>Profile is generally favorable; widely used and considered safe when administered according to guidelines.</t>
  </si>
  <si>
    <t>Possible adverse events include transient bradycardia, oxygen desaturation, and airway obstruction; serious adverse events are rare.</t>
  </si>
  <si>
    <t>Approximately $3,000 - $4,000 per course of therapy, depending on the number of doses and hospital care.</t>
  </si>
  <si>
    <t>Primarily newborns and premature infants.</t>
  </si>
  <si>
    <t>No significant gender differences noted in incidence or treatment outcomes.</t>
  </si>
  <si>
    <t>Surfactant replacement therapy (biological agent).</t>
  </si>
  <si>
    <t>MYCAPSSA 20MG CAP</t>
  </si>
  <si>
    <t>Enlarged hands and feet, facial changes (such as protruding jaw), joint pain, thickened skin, sleep apnea, and increased perspiration</t>
  </si>
  <si>
    <t>Approximately 3 to 4 cases per million people in the USA</t>
  </si>
  <si>
    <t>Significantly impacted due to physical changes, pain, and psychological effects; treatment can improve quality of life measures</t>
  </si>
  <si>
    <t>MYCAPSSA has shown efficacy in reducing growth hormone levels and improving symptoms in patients with acromegaly</t>
  </si>
  <si>
    <t>Generally well-tolerated; safety profile established in clinical studies</t>
  </si>
  <si>
    <t>Most common adverse events include gastrointestinal symptoms (such as nausea, diarrhea), headache, and joint pain</t>
  </si>
  <si>
    <t>Approximately $30,000 to $80,000 per year, depending on dosage and insurance coverage</t>
  </si>
  <si>
    <t>Adults, typically diagnosed in middle-aged individuals (30-50 years)</t>
  </si>
  <si>
    <t>Affects both males and females, though some studies suggest a slight male predominance</t>
  </si>
  <si>
    <t>Small molecules (specifically, MYCAPSSA is a somatostatin receptor ligand)</t>
  </si>
  <si>
    <t>MYALEPT 11.3MG (5MG/ML) VIAL</t>
  </si>
  <si>
    <t>Lipodystrophy</t>
  </si>
  <si>
    <t>Abnormal fat distribution, insulin resistance, hyperglycemia, high triglyceride levels, and increased risk of metabolic disorders.</t>
  </si>
  <si>
    <t>Approximately 1 in 40,000 individuals in the USA have congenital lipodystrophy, while acquired forms are less clearly defined but can occur in various populations.</t>
  </si>
  <si>
    <t>Significantly impacted; individuals may experience physical discomfort, psychological distress, and social stigma due to body image issues related to abnormal fat distribution.</t>
  </si>
  <si>
    <t>MYALEPT has shown efficacy in improving metabolic parameters (e.g., lowering triglycerides and improving glycemic control) in patients with generalized lipodystrophy.</t>
  </si>
  <si>
    <t>Generally well-tolerated; however, it requires monitoring for potential adverse effects and metabolic improvements.</t>
  </si>
  <si>
    <t>Common adverse events include injection site reactions, headache, and abdominal pain. Serious adverse effects may include hypoglycemia and the potential for increased liver enzyme levels.</t>
  </si>
  <si>
    <t>Approximately $100,000 - $250,000 depending on the dosage and healthcare coverage; costs can vary significantly based on the patient's specific health insurance plan.</t>
  </si>
  <si>
    <t>Affects both genders, although the prevalence of specific forms (e.g., congenital) may differ.</t>
  </si>
  <si>
    <t>Recombinant leptin therapy (small molecule).</t>
  </si>
  <si>
    <t>SERTRALINE HCL 50MG TAB</t>
  </si>
  <si>
    <t>Persistent sadness, loss of interest, fatigue, changes in sleep and appetite, difficulty concentrating, anxiety, panic attacks.</t>
  </si>
  <si>
    <t>Approximately 7% of U.S. adults experience MDD annually.</t>
  </si>
  <si>
    <t>Can significantly improve quality of life by reducing depressive and anxiety symptoms, enhancing daily functioning and social interactions.</t>
  </si>
  <si>
    <t>Generally, sertraline shows efficacy rates around 60-70% in treating MDD and anxiety disorders.</t>
  </si>
  <si>
    <t>Generally well-tolerated; however, monitoring is needed for serotonin syndrome and suicidal thoughts, especially in younger individuals.</t>
  </si>
  <si>
    <t>Common adverse events include nausea, diarrhea, insomnia, sexual dysfunction, and fatigue.</t>
  </si>
  <si>
    <t>Approximately $300 to $1,000 USD (depending on insurance coverage and other factors).</t>
  </si>
  <si>
    <t>Primarily prescribed for adults (18-65), but can be used in adolescents (age 12-17) for certain conditions.</t>
  </si>
  <si>
    <t>Effective for both genders, with a higher prevalence of MDD in females.</t>
  </si>
  <si>
    <t>SERTRALINE HCL 100MG TAB</t>
  </si>
  <si>
    <t>Symptoms of MDD include persistent sadness, loss of interest, changes in appetite, sleep disturbances, fatigue, feelings of worthlessness, and difficulty concentrating. Anxiety disorders manifest as excessive worry, restlessness, fatigue, and physical symptoms like rapid heartbeat.</t>
  </si>
  <si>
    <t>Approximately 7.1% of adults in the USA experience MDD in any given year, while anxiety disorders affect about 19.1% of adults.</t>
  </si>
  <si>
    <t>Treatment with sertraline can significantly improve quality of life by alleviating symptoms, enhancing daily functioning, and reducing disability.</t>
  </si>
  <si>
    <t>Sertraline has demonstrated efficacy in reducing symptoms of MDD in around 60-70% of patients, with similar efficacy observed in anxiety disorders.</t>
  </si>
  <si>
    <t>Sertraline is generally considered safe; however, it does carry a risk of side effects which can be managed in most cases.</t>
  </si>
  <si>
    <t>Common adverse events include nausea, diarrhea, insomnia, dry mouth, dizziness, and sexual dysfunction. Serious adverse effects are rare but can include serotonin syndrome.</t>
  </si>
  <si>
    <t>The annual cost for sertraline therapy ranges from $750 to $1,500, depending on insurance coverage and generic availability.</t>
  </si>
  <si>
    <t>Suitable for adults and adolescents (usually ages 12 and up).</t>
  </si>
  <si>
    <t>Commonly prescribed to both males and females, with slightly higher prevalence in females for depression.</t>
  </si>
  <si>
    <t>Small molecule antidepressant (Selective Serotonin Reuptake Inhibitor - SSRI).</t>
  </si>
  <si>
    <t>ESCITALOPRAM OXALATE 10MG TAB</t>
  </si>
  <si>
    <t>Depressed mood, loss of interest in activities, fatigue, difficulty concentrating, feelings of worthlessness, anxiety, restlessness, excessive worrying, and physical symptoms such as insomnia or changes in appetite.</t>
  </si>
  <si>
    <t>Approximately 7.1% of adults in the USA experience major depressive disorder in a given year; approximately 3.1% for generalized anxiety disorder.</t>
  </si>
  <si>
    <t>Can significantly improve with treatment; patients report better functional status and reduced disability after effective treatment.</t>
  </si>
  <si>
    <t>Approximately 60-80% of patients may experience a significant reduction in symptoms with proper treatment.</t>
  </si>
  <si>
    <t>Generally well-tolerated; common side effects are mild and can include nausea, dry mouth, and dizziness.</t>
  </si>
  <si>
    <t>Common adverse events include headache, drowsiness, gastrointestinal disturbance (like nausea), sexual dysfunction, and insomnia.</t>
  </si>
  <si>
    <t>Estimated at $500 to $2,000 per year depending on dosage and insurance coverage.</t>
  </si>
  <si>
    <t>Approved for use in adults and adolescents aged 12 years and older.</t>
  </si>
  <si>
    <t>Generally FDA-approved for all genders, but women are statistically more likely to be diagnosed with depression and anxiety disorders.</t>
  </si>
  <si>
    <t>ESCITALOPRAM OXALATE 20MG TAB</t>
  </si>
  <si>
    <t>Persistent sadness, loss of interest, fatigue, difficulty concentrating, anxiety, restlessness, irritability.</t>
  </si>
  <si>
    <t>Approximately 7.1% of U.S. adults experienced at least one major depressive episode in a given year; prevalence of anxiety disorders is around 19.1%.</t>
  </si>
  <si>
    <t>Significant improvement in daily functioning and well-being, though many patients experience persistent symptoms that can hinder quality of life.</t>
  </si>
  <si>
    <t>Effective in approximately 60-80% of patients for reducing depressive and anxiety symptoms.</t>
  </si>
  <si>
    <t>Generally well-tolerated; long-term use is deemed safe for most patients.</t>
  </si>
  <si>
    <t>Common adverse events include nausea (10-15%), fatigue, somnolence (sleepiness), dry mouth, and sexual dysfunction.</t>
  </si>
  <si>
    <t>Average annual cost ranges from $500 to $1,200 depending on insurance coverage and health plans.</t>
  </si>
  <si>
    <t>Primarily adults (18 years and older), but can be prescribed for adolescents (12-17 years).</t>
  </si>
  <si>
    <t>More commonly prescribed to females, who are more likely than males to experience depression and anxiety disorders.</t>
  </si>
  <si>
    <t>PREGABALIN 150MG CAP,ORAL</t>
  </si>
  <si>
    <t>Anxiety, Excessive Worry, Pain (Neuropathic), Fatigue, Sleep Disturbances, Muscle Pain, Seizures</t>
  </si>
  <si>
    <t>Approximately 3-4% for GAD, 1% for neuropathic pain, 2% for fibromyalgia, 1% for epilepsy in the USA</t>
  </si>
  <si>
    <t>Significant improvement in daily activities, lower impact on social functioning, but can vary based on disease severity</t>
  </si>
  <si>
    <t>50-60% reduction in symptoms for GAD, 30-50% pain relief for neuropathic pain, 30-40% reduction in seizures for epilepsy</t>
  </si>
  <si>
    <t>Generally well-tolerated; risk of sedation, dizziness; caution in patients with a history of substance use disorder</t>
  </si>
  <si>
    <t>Dizziness, Drowsiness, Dry Mouth, Peripheral Edema, Weight Gain, Blurred Vision</t>
  </si>
  <si>
    <t>Approximately $6,000 - $8,000 per year without insurance</t>
  </si>
  <si>
    <t>Approved for adults and children ? 1 year for epilepsy and ? 18 years for GAD and fibromyalgia</t>
  </si>
  <si>
    <t>Used in both genders, but may be prescribed more frequently to women, particularly for fibromyalgia</t>
  </si>
  <si>
    <t>PREGABALIN 225MG CAP,ORAL</t>
  </si>
  <si>
    <t>Widespread musculoskeletal pain, fatigue, sleep disturbances, anxiety, difficulty concentrating</t>
  </si>
  <si>
    <t>Approximately 2% for fibromyalgia, around 7% for neuropathic pain, and about 3% for generalized anxiety disorder in the USA</t>
  </si>
  <si>
    <t>Significant improvement in quality of life measures with treatment (increase in daily function and decrease in pain levels)</t>
  </si>
  <si>
    <t>Clinical trials show efficacy rates of 30%-50% improvement in pain and anxiety symptoms compared to placebo</t>
  </si>
  <si>
    <t>Generally well-tolerated, with a favorable safety profile; however, caution is advised for patients with renal impairment</t>
  </si>
  <si>
    <t>Common adverse events include dizziness (25%), somnolence (20%), dry mouth (10%), and edema (5%)</t>
  </si>
  <si>
    <t>Approximately $4,000 to $6,000, depending on insurance coverage and pharmacy pricing</t>
  </si>
  <si>
    <t>Primarily adults (ages 18-65), with some use in elderly populations</t>
  </si>
  <si>
    <t>More commonly prescribed in females, particularly for fibromyalgia, where prevalence is higher in women</t>
  </si>
  <si>
    <t>Small molecules (anticonvulsant)</t>
  </si>
  <si>
    <t>CINACALCET HCL 60MG TAB</t>
  </si>
  <si>
    <t>Hypercalcemia (elevated calcium levels), bone pain, kidney stones, fatigue, weakness, depression, nausea, vomiting, increased thirst and urination</t>
  </si>
  <si>
    <t>Approximately 0.1% for primary hyperparathyroidism; up to 90% in patients with chronic kidney disease for secondary hyperparathyroidism</t>
  </si>
  <si>
    <t>Improved quality of life reported in patients with effective management of hyperparathyroidism, though some patients may still experience residual symptoms</t>
  </si>
  <si>
    <t>70-80% in lowering calcium levels and parathyroid hormone levels in most patients with secondary and tertiary hyperparathyroidism</t>
  </si>
  <si>
    <t>Generally well-tolerated, with monitoring required for serum calcium levels; overall safety profile is favorable</t>
  </si>
  <si>
    <t>Nausea, vomiting, diarrhea, headache; serious but rare events can include hypocalcemia and seizures</t>
  </si>
  <si>
    <t>Estimated $4,000 - $8,000 depending on insurance coverage and patient-specific factors</t>
  </si>
  <si>
    <t>Most commonly prescribed for adults, usually ages 18 and older; not typically used in pediatric populations</t>
  </si>
  <si>
    <t>Slightly more prevalent in females, especially post-menopausal women for primary hyperparathyroidism</t>
  </si>
  <si>
    <t>Small molecule (calcimimetic agent)</t>
  </si>
  <si>
    <t>LANREOTIDE 120MG INJ,SUSP,SA SYRINGE</t>
  </si>
  <si>
    <t>Abnormal growth of bones and tissues, headaches, joint pain, vision problems, hormonal imbalances, flushing, diarrhea (in case of neuroendocrine tumors)</t>
  </si>
  <si>
    <t>Acromegaly is estimated to affect about 3-4 per million people per year in the USA; neuroendocrine tumors (NETs) have an estimated prevalence of about 3.65 per 100,000 people.</t>
  </si>
  <si>
    <t>In patients with acromegaly, quality of life can be significantly impaired due to symptoms and complications; in NETs, quality of life varies but can be greatly impacted depending on tumor type and treatment.</t>
  </si>
  <si>
    <t>Lanreotide has shown efficacy in controlling symptoms and reducing tumor size in both conditions, with response rates of about 30-80%, depending on the type (higher in acromegaly).</t>
  </si>
  <si>
    <t>Generally well tolerated; most common safety concerns include gastrointestinal events.</t>
  </si>
  <si>
    <t>Common adverse events include diarrhea, abdominal pain, nausea, gallbladder-related events, and injection site reactions.</t>
  </si>
  <si>
    <t>Approximately $25,000 to $40,000 per year, depending on dosage and insurance coverage.</t>
  </si>
  <si>
    <t>Most commonly prescribed for adults, typically ages 30-60.</t>
  </si>
  <si>
    <t>Both males and females are affected, but acromegaly has a slight predominance in males.</t>
  </si>
  <si>
    <t>Somatostatin analog (peptide)</t>
  </si>
  <si>
    <t>SSD CREAM1%</t>
  </si>
  <si>
    <t>Red sores or blisters that can ooze, crust over, and may be itchy or painful. Commonly affects the area around the nose and mouth.</t>
  </si>
  <si>
    <t>Approximately 3.4 million cases per year in the USA, most common in children aged 2-5 years.</t>
  </si>
  <si>
    <t>Generally high; usually resolves without complications, but may cause discomfort and distress in affected individuals, especially children.</t>
  </si>
  <si>
    <t>Effective in reducing the duration of infection and symptoms, with studies showing approximately 80-90% clinical improvement within a week of treatment.</t>
  </si>
  <si>
    <t>Generally considered safe for topical use, with minimal systemic absorption.</t>
  </si>
  <si>
    <t>Potential localized skin reactions such as burning, stinging, or itching at the application site; low incidence of systemic allergic reactions.</t>
  </si>
  <si>
    <t>Approximately $300 to $500 depending on treatment duration and insurance coverage.</t>
  </si>
  <si>
    <t>Primarily children, but can occur at any age.</t>
  </si>
  <si>
    <t>Topical antibiotic (specifically a cream formulation containing silver sulfadiazine).</t>
  </si>
  <si>
    <t>CLOFARABINE 1MG/ML INJ</t>
  </si>
  <si>
    <t>Fatigue, fever, easy bruising or bleeding, frequent infections, weight loss, swollen lymph nodes, pale skin, shortness of breath, bone pain</t>
  </si>
  <si>
    <t>Approximately 4,000 cases of ALL are diagnosed in the USA each year, representing about 1.5% of all cancers</t>
  </si>
  <si>
    <t>Quality of life can be significantly impacted due to the symptoms of leukemia and the side effects of treatment, often requiring extensive supportive care</t>
  </si>
  <si>
    <t>Clofarabine has shown an overall response rate of about 43% in pediatric patients and around 20% in adult patients with relapsed ALL</t>
  </si>
  <si>
    <t>Clofarabine is generally well-tolerated; however, safety profiles indicate potential for significant adverse events, particularly myelosuppression</t>
  </si>
  <si>
    <t>Common adverse events include febrile neutropenia, infections, vomiting, diarrhea, liver toxicity, and fatigue</t>
  </si>
  <si>
    <t>Estimated annual therapy costs range from $50,000 to $200,000 depending on treatment duration and healthcare settings</t>
  </si>
  <si>
    <t>Primarily used in children (under 18 years) and young adults (up to 39 years)</t>
  </si>
  <si>
    <t>Small molecules (specifically a nucleoside analog)</t>
  </si>
  <si>
    <t>SAPROPTERIN DIHYDROCHLORIDE 100MG/PKT PWDR,OR</t>
  </si>
  <si>
    <t>Intellectual disability, behavioral problems, seizures, skin rashes, and musty odor in breath or urine due to accumulation of phenylalanine</t>
  </si>
  <si>
    <t>Approximately 1 in 10,000 to 15,000 newborns in the USA</t>
  </si>
  <si>
    <t>Can be significantly improved with early diagnosis and treatment, but individuals must adhere to strict dietary restrictions for life</t>
  </si>
  <si>
    <t>Improved blood phenylalanine levels in about 60-80% of treated individuals</t>
  </si>
  <si>
    <t>Generally considered safe; main concerns are dietary adherence and potential for phenylalanine increases</t>
  </si>
  <si>
    <t>Mild headaches, gastrointestinal disturbances, and allergic reactions</t>
  </si>
  <si>
    <t>Approximately $15,000 to $30,000, depending on additional dietary needs</t>
  </si>
  <si>
    <t>All ages, particularly newborns for initial screening and treatment</t>
  </si>
  <si>
    <t>No significant gender predilection; affected equally</t>
  </si>
  <si>
    <t>Small molecule (amino acid derivative)</t>
  </si>
  <si>
    <t>LAMOTRIGINE 50MG TAB,ORAL DISINTEGRATING</t>
  </si>
  <si>
    <t>In bipolar disorder, symptoms include mood swings ranging from depressive lows to manic highs. In epilepsy, symptoms include recurrent seizures, loss of consciousness, confusion, and convulsions.</t>
  </si>
  <si>
    <t>Bipolar disorder affects approximately 2.8% of adults in the USA; epilepsy affects about 1.2% of the population.</t>
  </si>
  <si>
    <t>Patients often experience improved quality of life with proper management and stabilization of mood or seizure control; however, both conditions can significantly impact daily functioning.</t>
  </si>
  <si>
    <t>In clinical studies, lamotrigine is effective in preventing mood episodes in bipolar disorder and reducing seizure frequency in epilepsy, with efficacy rates varying between 50-70% for seizure control.</t>
  </si>
  <si>
    <t>Lamotrigine is generally well tolerated; common side effects include skin rash, dizziness, and headache. Serious reactions such as Stevens-Johnson syndrome are rare but possible.</t>
  </si>
  <si>
    <t>Common adverse events include skin rash (up to 10%), dizziness (up to 14%), and headache (up to 10%); serious adverse events are rare but can include life-threatening rashes.</t>
  </si>
  <si>
    <t>The annual cost of lamotrigine therapy can range from $1,200 to $4,800 depending on the dosage and insurance coverage.</t>
  </si>
  <si>
    <t>Approved for use in adults and children over the age of 2 for epilepsy, and for ages 18 and older for bipolar disorder.</t>
  </si>
  <si>
    <t>Both males and females are equally affected by epilepsy and bipolar disorder, although prevalence rates and symptoms may vary slightly between genders.</t>
  </si>
  <si>
    <t>Small molecules (anticonvulsant/mood stabilizer).</t>
  </si>
  <si>
    <t>NALOXONE HCL 1MG/ML INJ</t>
  </si>
  <si>
    <t>Respiratory depression, pinpoint pupils, unresponsiveness, shallow or absent breathing, and potential for coma.</t>
  </si>
  <si>
    <t>Approximately 1.6 million people in the USA are estimated to have substance use disorder related to opioids.</t>
  </si>
  <si>
    <t>Significant reduction in quality of life for individuals with opioid use disorder; successful treatment can lead to improved quality of life.</t>
  </si>
  <si>
    <t>Narcan (naloxone) can reverse opioid overdose in about 2-5 minutes, with efficacy rates exceeding 90% when dosed correctly.</t>
  </si>
  <si>
    <t>Generally considered safe with few contraindications; use during opioid overdose is essential despite any potential adverse effects.</t>
  </si>
  <si>
    <t>Potential adverse events include acute opioid withdrawal symptoms, nausea, vomiting, and increased blood pressure.</t>
  </si>
  <si>
    <t>Naloxone costs approximately $120 to $150 for a nasal spray or injection; costs may be lower in programs or through insurance.</t>
  </si>
  <si>
    <t>Primarily utilized in adults, but can also be used in adolescents and children in the event of an opioid overdose.</t>
  </si>
  <si>
    <t>Opioid use disorder and overdose affect all genders, but men have higher rates of overdose compared to women.</t>
  </si>
  <si>
    <t>Small molecules (opioid antagonist).</t>
  </si>
  <si>
    <t>DESMOPRESSIN ACETATE 4MCG/ML INJ,AMP,1ML</t>
  </si>
  <si>
    <t>Excessive thirst (polydipsia), excessive urination (polyuria), dehydration, bedwetting</t>
  </si>
  <si>
    <t>Diabetes Insipidus: approximately 1 in 25,000 people; Nocturnal Enuresis: affects 5-10% of children; Hemophilia A: ~1 in 5,000 male births</t>
  </si>
  <si>
    <t>Can significantly impact quality of life due to frequent urination and associated lifestyle restrictions, but treatment with desmopressin can improve symptoms and overall functioning.</t>
  </si>
  <si>
    <t>Generally effective in managing symptoms, particularly in central diabetes insipidus and nocturnal enuresis, with around 80-90% of patients responding positively.</t>
  </si>
  <si>
    <t>Generally well-tolerated, but requires monitoring of fluid balance and sodium levels due to the risk of hyponatremia.</t>
  </si>
  <si>
    <t>Headaches, facial flushing, nausea, abdominal cramps, hyponatremia (low sodium), water retention.</t>
  </si>
  <si>
    <t>Approximately $2,000 to $6,000 depending on dosage and insurance coverage.</t>
  </si>
  <si>
    <t>Prescribed across age groups, from children (e.g., nocturnal enuresis) to adults (e.g., diabetes insipidus and hemophilia).</t>
  </si>
  <si>
    <t>More common in males for conditions like hemophilia A; diabetes insipidus and nocturnal enuresis affect both genders.</t>
  </si>
  <si>
    <t>Small molecule, analog of vasopressin (antidiuretic hormone).</t>
  </si>
  <si>
    <t>EOVIST 181.43MG/ML,INJ</t>
  </si>
  <si>
    <t>Hepatocellular Carcinoma (HCC)</t>
  </si>
  <si>
    <t>Often asymptomatic in early stages; however, symptoms can include abdominal pain, weight loss, loss of appetite, jaundice, and fatigue as the disease progresses.</t>
  </si>
  <si>
    <t>Hepatocellular carcinoma is the most common type of primary liver cancer, affecting approximately 4.7 cases per 100,000 individuals in the USA.</t>
  </si>
  <si>
    <t>The quality of life for patients with liver cancer is generally poor, particularly in advanced stages, due to symptoms and complications, with many patients experiencing a significant decline.</t>
  </si>
  <si>
    <t>EOVIST is used as a contrast agent for MRI of the liver, improving the detection and characterization of liver lesions, thus aiding in diagnosis and treatment planning.</t>
  </si>
  <si>
    <t>Generally well-tolerated, but safety profiles must be monitored, especially in patients with renal impairment.</t>
  </si>
  <si>
    <t>Possible adverse events include hypersensitivity reactions, nausea, headache, and injection site reactions.</t>
  </si>
  <si>
    <t>Approximately $2,000-$3,000 depending on frequency and healthcare facility pricing.</t>
  </si>
  <si>
    <t>Primarily adults, generally aged 50 and above.</t>
  </si>
  <si>
    <t>More common in males, with a male-to-female ratio of about 2:1.</t>
  </si>
  <si>
    <t>Contrast agent (diagnostic imaging agent).</t>
  </si>
  <si>
    <t>GADAVIST 604.72MG/ML INJ</t>
  </si>
  <si>
    <t>Excessive worry, restlessness, fatigue, difficulty concentrating, irritability, muscle tension, sleep disturbance</t>
  </si>
  <si>
    <t>Approximately 3.1% of the US population (7.7 million adults)</t>
  </si>
  <si>
    <t>Quality of life is often significantly impaired due to constant anxiety and related symptoms</t>
  </si>
  <si>
    <t>GADAVIST is primarily used as a contrast agent for MR imaging and does not have a direct efficacy rating for treating anxiety disorders</t>
  </si>
  <si>
    <t>Generally considered safe when used as directed in medical imaging; contraindications and precautions apply</t>
  </si>
  <si>
    <t>Possible adverse events include headache, nausea, dizziness, allergic reactions, or injection site reactions</t>
  </si>
  <si>
    <t>Variable; imaging costs typically range from $500 to $3,000 depending on insurance coverage and facility</t>
  </si>
  <si>
    <t>All age groups for imaging; specific to adults for GAD treatment</t>
  </si>
  <si>
    <t>Affects both genders, but GAD is more prevalent in females</t>
  </si>
  <si>
    <t>Contrast agent for medical imaging (specifically, a gadolinium-based contrast agent)</t>
  </si>
  <si>
    <t>ALIQOPA 60 MG, VIAL</t>
  </si>
  <si>
    <t>Lymphadenopathy, fatigue, night sweats, weight loss, fever, and abdominal discomfort.</t>
  </si>
  <si>
    <t>Approximately 4.9 cases per 100,000 people annually in the USA.</t>
  </si>
  <si>
    <t>Significant improvement in quality of life reported among treated patients, with many experiencing symptom relief and extended survival.</t>
  </si>
  <si>
    <t>Clinical studies demonstrate an overall response rate of approximately 77% with ALIQOPA.</t>
  </si>
  <si>
    <t>Generally well tolerated; most patients experience manageable side effects.</t>
  </si>
  <si>
    <t>Common adverse events include neutropenia, anemia, thrombocytopenia, diarrhea, and infections.</t>
  </si>
  <si>
    <t>Approximately $150,000 to $200,000 per year, depending on treatment duration and healthcare access.</t>
  </si>
  <si>
    <t>Primarily adults aged 60 and older, but can occur in younger adults.</t>
  </si>
  <si>
    <t>More common in males than females, but the difference is not extensive.</t>
  </si>
  <si>
    <t>Monoclonal antibody (specifically, it is a PI3K inhibitor).</t>
  </si>
  <si>
    <t>MENOSTAR 14MCG/DAY PATCH</t>
  </si>
  <si>
    <t>Menopause</t>
  </si>
  <si>
    <t>Hot flashes, night sweats, mood swings, vaginal dryness, sleep disturbances</t>
  </si>
  <si>
    <t>Approximately 6,000 women in the USA reach menopause each day, totaling around 1.3 million women annually.</t>
  </si>
  <si>
    <t>Quality of life can significantly decrease during menopause due to symptoms impacting daily activities and mental health.</t>
  </si>
  <si>
    <t>Clinical trials have shown hormone replacement therapy to effectively reduce hot flashes and other symptoms in 70-80% of women.</t>
  </si>
  <si>
    <t>Generally considered safe for most women when prescribed correctly; however, long-term use carries some risks.</t>
  </si>
  <si>
    <t>Common adverse events include skin reactions at the patch site, headaches, breast tenderness, and gastrointestinal symptoms.</t>
  </si>
  <si>
    <t>Estimated annual costs for hormone replacement therapy, including patches, can range from $1,200 to $3,000 depending on insurance and specific treatments.</t>
  </si>
  <si>
    <t>Typically prescribed for women aged 45-55, but can be used in those undergoing premature menopause.</t>
  </si>
  <si>
    <t>Hormone replacement therapy (HRT) - transdermal patch.</t>
  </si>
  <si>
    <t>45 and older</t>
  </si>
  <si>
    <t>NEXAVAR 200MG TAB</t>
  </si>
  <si>
    <t>Symptoms of HCC may include jaundice (yellowing of the skin and eyes), abdominal pain or swelling, unintended weight loss, and loss of appetite. Symptoms of RCC can include blood in the urine, flank pain, a mass or lump in the side or abdomen, fatigue, and unexplained weight loss.</t>
  </si>
  <si>
    <t>HCC has an estimated annual incidence of 4.6 cases per 100,000 people in the USA, while RCC has an estimated incidence of 14.8 cases per 100,000 people.</t>
  </si>
  <si>
    <t>Patients with HCC and RCC often experience a significantly reduced quality of life due to symptoms and treatment side effects. Palliative care and supportive services are often needed to manage symptoms.</t>
  </si>
  <si>
    <t>NEXAVAR (sorafenib) has shown to improve overall survival in patients with HCC by 2-3 months compared to placebo in clinical trials, while in RCC, it has demonstrated improved progression-free survival.</t>
  </si>
  <si>
    <t>NEXAVAR is generally considered safe; however, patients require monitoring for potential side effects, particularly liver function and blood pressure due to the risk of hypertension.</t>
  </si>
  <si>
    <t>Common adverse events include diarrhea (up to 50%), fatigue, hand-foot skin reactions, nausea, and hypertension. Serious adverse events may include liver dysfunction and gastrointestinal bleeding.</t>
  </si>
  <si>
    <t>The annual cost of NEXAVAR therapy is approximately $100,000 to $130,000.</t>
  </si>
  <si>
    <t>NEXAVAR is approved for use in adults, generally for those aged 18 years and older.</t>
  </si>
  <si>
    <t>Both males and females can be affected by HCC and RCC, although RCC is more common in males, with a male-to-female ratio of approximately 2:1.</t>
  </si>
  <si>
    <t>NEXAVAR is classified as a small molecule targeted therapy (tyrosine kinase inhibitor).</t>
  </si>
  <si>
    <t>BILTRICIDE 600MG TAB</t>
  </si>
  <si>
    <t>Schistosomiasis</t>
  </si>
  <si>
    <t>Abdominal pain, diarrhea, bloody stool, liver damage, and urinary problems. Chronic schistosomiasis can lead to serious complications such as liver fibrosis and bladder cancer.</t>
  </si>
  <si>
    <t>Approximately 1.5 million cases diagnosed in the USA annually, primarily among travelers and immigrants from endemic countries.</t>
  </si>
  <si>
    <t>Quality of life can be significantly affected due to chronic symptoms and complications if left untreated; patients may experience pain and limitations in daily activities.</t>
  </si>
  <si>
    <t>Approximately 85-90% effective in treating schistosomiasis when administered as a single dose.</t>
  </si>
  <si>
    <t>Generally considered safe; however, caution is advised in those with severe liver impairment.</t>
  </si>
  <si>
    <t>Common adverse events include dizziness, headache, fever, gastrointestinal discomfort, rash, and fatigue. Serious adverse events are rare.</t>
  </si>
  <si>
    <t>Approximately $10-$20 for a single treatment course (may vary based on state and pharmacy pricing).</t>
  </si>
  <si>
    <t>All age groups; however, most prevalent in children and young adults due to risk factors associated with exposure.</t>
  </si>
  <si>
    <t>Both genders are affected equally; however, risk factors may vary based on occupation or lifestyle.</t>
  </si>
  <si>
    <t>Small molecule (antiparasitic agent).</t>
  </si>
  <si>
    <t>LIDODERM PATCH 5%</t>
  </si>
  <si>
    <t>Chronic pain following shingles (herpes zoster), allodynia, burning sensation, sensitivity to touch</t>
  </si>
  <si>
    <t>Approximately 10% of individuals who have had shingles will develop postherpetic neuralgia in the USA</t>
  </si>
  <si>
    <t>Significantly decreased quality of life due to chronic pain and discomfort</t>
  </si>
  <si>
    <t>Clinical studies show that lidocaine patches provide significant relief in pain for many patients, with approximately 40-50% of patients reporting significant pain reduction</t>
  </si>
  <si>
    <t>Generally considered safe, with a lower risk of systemic side effects compared to oral medications</t>
  </si>
  <si>
    <t>Common side effects include localized skin reactions such as rash, erythema, or irritation; systemic side effects are rare</t>
  </si>
  <si>
    <t>Average annual cost of therapy can range from $1,000 to $2,000 depending on the usage and insurance coverage</t>
  </si>
  <si>
    <t>Primarily adults aged 50 and older, but can affect younger populations</t>
  </si>
  <si>
    <t>More prevalent in females than males, consistent with higher rates of shingles in women</t>
  </si>
  <si>
    <t>Topical analgesic patch (local anesthetic)</t>
  </si>
  <si>
    <t>ADRENALIN CHLORIDE 1MG/ML SOLN,NASAL</t>
  </si>
  <si>
    <t>Difficulty breathing, swelling of the throat, rapid heartbeat, hives, dizziness, nausea, and potentially loss of consciousness.</t>
  </si>
  <si>
    <t>Approximately 1.6% to 5% of the US population experiences anaphylaxis at some point in their lives.</t>
  </si>
  <si>
    <t>Significant impact on quality of life due to anxiety about potential allergic reactions and the need for emergency readiness.</t>
  </si>
  <si>
    <t>Highly effective at rapidly reversing the symptoms of anaphylaxis when administered promptly; effectiveness rates are high when given within the first 5-10 minutes.</t>
  </si>
  <si>
    <t>Generally considered safe when used as directed but requires proper training on administration due to risk of improper dosing.</t>
  </si>
  <si>
    <t>Possible side effects include increased heart rate, anxiety, tremors, headache, and hypertension.</t>
  </si>
  <si>
    <t>Costs can vary widely, but the average annual cost for those requiring multiple prescriptions and devices is estimated at $600 to $1,200.</t>
  </si>
  <si>
    <t>All age groups, though children and young adults are particularly affected due to allergy prevalence.</t>
  </si>
  <si>
    <t>Both genders are equally affected, although certain allergies may have gender differences in prevalence.</t>
  </si>
  <si>
    <t>Small molecules (adrenaline/epinephrine).</t>
  </si>
  <si>
    <t>DANTROLENE NA 20MG/VIL INJ</t>
  </si>
  <si>
    <t>Rapid rise in body temperature, muscle rigidity, increased heart rate, acidosis, and hyperkalemia.</t>
  </si>
  <si>
    <t>Approximately 1 in 50,000 to 1 in 100,000 anesthesia exposures in the USA.</t>
  </si>
  <si>
    <t>Can be significantly affected due to emergency situations and the need for immediate treatment. Survivors may have physical or psychological sequelae.</t>
  </si>
  <si>
    <t>Dantrolene is highly effective in resolving symptoms of malignant hyperthermia if administered quickly.</t>
  </si>
  <si>
    <t>Generally safe when used as directed, but close monitoring is required due to potential side effects.</t>
  </si>
  <si>
    <t>Drowsiness, dizziness, weakness, hepatotoxicity, and gastrointestinal disturbances.</t>
  </si>
  <si>
    <t>Approximately $1,000-$5,000 per year, depending on dosing and frequency.</t>
  </si>
  <si>
    <t>Primarily adults, but can affect individuals of any age.</t>
  </si>
  <si>
    <t>Both genders are equally affected.</t>
  </si>
  <si>
    <t>Small molecule (skeletal muscle relaxant).</t>
  </si>
  <si>
    <t>ADRENALIN 1MG/ML INJ</t>
  </si>
  <si>
    <t>Difficulty breathing, swelling of throat, hives or rash, rapid heartbeat, low blood pressure, dizziness or fainting, gastrointestinal symptoms (nausea, vomiting).</t>
  </si>
  <si>
    <t>Approximately 1-2% of the population experiences anaphylaxis at some point in their life.</t>
  </si>
  <si>
    <t>Anaphylaxis can significantly affect quality of life due to the anxiety and fear of having a severe allergic reaction.</t>
  </si>
  <si>
    <t>Efficacy in treating anaphylaxis is high when administered promptly; typically, symptoms improve within minutes.</t>
  </si>
  <si>
    <t>Generally safe when used as directed in emergency situations; monitor for side effects.</t>
  </si>
  <si>
    <t>Possible adverse events include increased heart rate, anxiety, headache, dizziness, palpitations, and injection site reactions.</t>
  </si>
  <si>
    <t>Estimated annual cost for epinephrine auto-injectors ranges from $600 to $800, depending on insurance coverage.</t>
  </si>
  <si>
    <t>All age groups; especially critical for children and adults with known allergies.</t>
  </si>
  <si>
    <t>Affects both genders equally, though certain allergies may have gender predispositions.</t>
  </si>
  <si>
    <t>Small molecule (Epinephrine).</t>
  </si>
  <si>
    <t>VASOSTRICT 20UNT/ML INJ</t>
  </si>
  <si>
    <t>Headache, confusion, seizures, muscle cramps, weakness, fatigue, nausea, vomiting.</t>
  </si>
  <si>
    <t>Approximately 3-4% of hospitalized patients in the USA, with specific populations (e.g., older adults, those with heart failure) having higher prevalence rates.</t>
  </si>
  <si>
    <t>Hyponatremia can significantly impact quality of life, contributing to cognitive impairment, fatigue, and decreased physical ability.</t>
  </si>
  <si>
    <t>VASOSTRICT has shown efficacy in raising serum sodium levels in patients with hyponatremia, particularly in acute settings.</t>
  </si>
  <si>
    <t>Generally well-tolerated; however, monitoring is essential due to risks associated with rapid correction of sodium levels.</t>
  </si>
  <si>
    <t>Common adverse events include headache, hypertension, infusion site reactions, and, less commonly, fluid overload and central nervous system effects.</t>
  </si>
  <si>
    <t>Estimated at $4,500 - $5,500 depending on treatment duration and healthcare setting.</t>
  </si>
  <si>
    <t>Primarily adults, but can be used in older adults and adolescents as needed.</t>
  </si>
  <si>
    <t>No specific gender preference; however, clinical presentations may vary between genders.</t>
  </si>
  <si>
    <t>Small molecules (vasopressin analog).</t>
  </si>
  <si>
    <t>LEVOTHYROXINE NA 100MCG/VIL INJ</t>
  </si>
  <si>
    <t>Fatigue, weight gain, sensitivity to cold, dry skin, hair loss, muscle weakness, constipation, depression, slowed heart rate, goiter</t>
  </si>
  <si>
    <t>Approximately 4.6% of the US population (about 12 to 20 million people)</t>
  </si>
  <si>
    <t>Patients typically experience significant improvement in quality of life with proper treatment, leading to increased energy and mood stability.</t>
  </si>
  <si>
    <t>Generally effective, with studies showing normal thyroid hormone levels in 80-90% of treated patients</t>
  </si>
  <si>
    <t>Considered safe when monitored appropriately; most patients tolerate well</t>
  </si>
  <si>
    <t>Possible side effects include palpitations, nervousness, insomnia, weight loss, and increased appetite; serious adverse events are rare</t>
  </si>
  <si>
    <t>Costs range from $30 to $300 depending on insurance coverage and brand/generic formulations</t>
  </si>
  <si>
    <t>Most common in adults, particularly those aged 30-60, with a higher incidence in postmenopausal women</t>
  </si>
  <si>
    <t>More prevalent in females, with a female to male ratio of approximately 5:1</t>
  </si>
  <si>
    <t>Small molecule (synthetic form of thyroxine, T4)</t>
  </si>
  <si>
    <t>LEVOTHYROXINE NA 200MCG/VIL INJ</t>
  </si>
  <si>
    <t>Generally improved with appropriate treatment; patients report better energy levels and mood.</t>
  </si>
  <si>
    <t>High efficacy in normalizing thyroid hormone levels and alleviating symptoms; typically, 95% of patients will respond positively to treatment.</t>
  </si>
  <si>
    <t>Generally safe when dosed appropriately; monitoring is essential for dose adjustments.</t>
  </si>
  <si>
    <t>Potential for cardiac issues, increased bone density loss, anxiety, and heat intolerance if overdosed.</t>
  </si>
  <si>
    <t>Approximately $50 to $200 depending on dosage and formulation used.</t>
  </si>
  <si>
    <t>Most commonly treated in adults, but also applicable to newborns and children with congenital hypothyroidism.</t>
  </si>
  <si>
    <t>More common in females, with a ratio of about 5:1 compared to males.</t>
  </si>
  <si>
    <t>LEVOTHYROXINE NA 500MCG/VIL INJ</t>
  </si>
  <si>
    <t>Approximately 4.6% of the U.S. population, affecting about 10 million people</t>
  </si>
  <si>
    <t>Quality of life can significantly improve with proper treatment, as symptoms are alleviated. Most patients report substantial improvement in energy levels and overall well-being.</t>
  </si>
  <si>
    <t>Generally around 90% effective in restoring normal thyroid hormone levels when administered correctly</t>
  </si>
  <si>
    <t>Considered safe for most patients; requires monitoring to avoid over-treatment</t>
  </si>
  <si>
    <t>Possible adverse events may include palpitations, increased appetite, weight loss, heat intolerance, and anxiety if dosage is too high</t>
  </si>
  <si>
    <t>Approximately $30-$100 depending on pharmacy and insurance coverage</t>
  </si>
  <si>
    <t>All age groups, but particularly common in adults over 50</t>
  </si>
  <si>
    <t>More prevalent in females (around 8 times more likely than males)</t>
  </si>
  <si>
    <t>Small molecule thyroid hormone replacement therapy</t>
  </si>
  <si>
    <t>VASOSTRICT 0.4UNT/ML INJ</t>
  </si>
  <si>
    <t>Excessive thirst (polydipsia), excessive urination (polyuria), dehydration, electrolyte imbalance, fatigue, and nocturia,</t>
  </si>
  <si>
    <t>Approximately 1 in 25,000 people in the general population (0.004%), though the prevalence varies based on the underlying cause,</t>
  </si>
  <si>
    <t>Can be significantly affected due to constant thirst and frequent urination, impacting daily activities and sleep quality,</t>
  </si>
  <si>
    <t>Effective in reducing symptoms related to diabetes insipidus; vasopressin analogs like desmopressin can decrease urination and increase concentrating ability of kidneys,</t>
  </si>
  <si>
    <t>Generally safe when used as directed; monitoring is essential for patients with cardiovascular issues due to potential fluid retention,</t>
  </si>
  <si>
    <t>Common adverse events include headache, nausea, abdominal cramps, and hypertension; rare instances of severe reactions such as hyponatremia,</t>
  </si>
  <si>
    <t>Approximately $2,000 to $6,000 depending on the dosing requirements and insurance coverage,</t>
  </si>
  <si>
    <t>All age groups, but most commonly seen in young children and adults,</t>
  </si>
  <si>
    <t>Small molecule (vasopressin analog).</t>
  </si>
  <si>
    <t>VASOSTRICT 0.2UNT/ML INJ</t>
  </si>
  <si>
    <t>Excessive thirst (polydipsia), excessive urination (polyuria), dehydration</t>
  </si>
  <si>
    <t>Approximately 0.001% in the USA</t>
  </si>
  <si>
    <t>Varies; can significantly impact daily activities and overall well-being if not managed</t>
  </si>
  <si>
    <t>Typically above 80% effective in restoring normal urine output and thirst levels</t>
  </si>
  <si>
    <t>Generally well-tolerated, but requires monitoring for fluid status and electrolyte balance</t>
  </si>
  <si>
    <t>Hyponatremia, headache, abdominal cramps, nausea</t>
  </si>
  <si>
    <t>Approximately $1,200 to $3,600 depending on dosage and frequency</t>
  </si>
  <si>
    <t>All age groups; used commonly in adults and children</t>
  </si>
  <si>
    <t>No significant gender prevalence; affects both males and females</t>
  </si>
  <si>
    <t>Small molecule, vasopressin analog</t>
  </si>
  <si>
    <t>ALPRAZOLAM 1MG ORAL DISINTEGRATING TAB,10X10U</t>
  </si>
  <si>
    <t>Excessive worrying, restlessness, fatigue, difficulty concentrating, irritability, muscle tension, sleep disturbances; for panic disorder: sudden attacks of fear, palpitations, sweating, trembling, shortness of breath.</t>
  </si>
  <si>
    <t>Approximately 3.1% of the adult population in the USA for GAD; 2-3% for Panic Disorder.</t>
  </si>
  <si>
    <t>Can significantly impair daily functioning, relationships, and overall well-being if untreated. Many patients report improved quality of life with treatment.</t>
  </si>
  <si>
    <t>Approximately 70-80% efficacy in reducing anxiety symptoms in treated patients.</t>
  </si>
  <si>
    <t>Generally considered safe when used as prescribed, but there's a risk of dependence and withdrawal symptoms.</t>
  </si>
  <si>
    <t>Common adverse events include sedation, dizziness, fatigue, dry mouth, and potential cognitive impairment.</t>
  </si>
  <si>
    <t>Average costs range from $500 to $1,500 depending on insurance coverage and frequency of therapy sessions.</t>
  </si>
  <si>
    <t>Primarily adults (ages 18-65) are most frequently prescribed alprazolam, though it may be prescribed to older adults in some cases.</t>
  </si>
  <si>
    <t>Generally prescribed to both genders, but some studies indicate higher prevalence in females.</t>
  </si>
  <si>
    <t>SODIUM CHLORIDE 0.9% (PF) INJ,SYRINGE,125ML</t>
  </si>
  <si>
    <t>Dehydration</t>
  </si>
  <si>
    <t>Thirst, dry mouth, fatigue, dizziness, confusion, muscle cramps, low blood pressure</t>
  </si>
  <si>
    <t>Common in various populations; specific prevalence rates depend on underlying conditions but dehydration can affect millions annually in the USA.</t>
  </si>
  <si>
    <t>Often improved with proper hydration and electrolyte balance; chronic conditions may lead to ongoing management challenges.</t>
  </si>
  <si>
    <t>High efficacy in restoring fluid and electrolyte balance; widely used in clinical settings.</t>
  </si>
  <si>
    <t>Generally well-tolerated; low risk of serious side effects when used appropriately.</t>
  </si>
  <si>
    <t>Possible rare adverse events include fluid overload, electrolyte imbalances, and vein irritation at the injection site.</t>
  </si>
  <si>
    <t>Low; the cost for sodium chloride 0.9% injection is typically less than $100 annually for most patients, varying by healthcare plan and usage.</t>
  </si>
  <si>
    <t>Used across all age groups; particularly important for elderly and pediatric patients.</t>
  </si>
  <si>
    <t>No significant gender predilection; applicable to all genders equally.</t>
  </si>
  <si>
    <t>Electrolyte solution (IV infusion)</t>
  </si>
  <si>
    <t>CALMOSEPTINE OINT</t>
  </si>
  <si>
    <t>Redness, itching, burning sensation, rash, and discomfort in affected areas</t>
  </si>
  <si>
    <t>Approximately 15% of the population experiences dermatitis at some point in their lives; specific prevalence for diaper dermatitis is higher in infants, affecting up to 50%</t>
  </si>
  <si>
    <t>Can significantly impact the quality of life due to discomfort and psychological effects of skin conditions</t>
  </si>
  <si>
    <t>Generally effective for symptomatic relief and management of skin irritations; specifics on efficacy rate not universally quantified</t>
  </si>
  <si>
    <t>Generally considered safe for topical use; rare systemic absorption noted; safety profile is favorable when used as directed</t>
  </si>
  <si>
    <t>Possible mild irritation, allergic reactions, or localized burning sensation; systemic side effects are rare</t>
  </si>
  <si>
    <t>Approximately $100 to $200, depending on usage and frequency</t>
  </si>
  <si>
    <t>Primarily used in infants and children, but also applicable to adults</t>
  </si>
  <si>
    <t>Both males and females are affected; no gender predilection</t>
  </si>
  <si>
    <t>Topical ointment (over-the-counter remedy)</t>
  </si>
  <si>
    <t>CALMOSEPTINE OINT FOIL PKT</t>
  </si>
  <si>
    <t>Redness, itching, burning sensation, rashes, and skin discomfort</t>
  </si>
  <si>
    <t>Approximately 15-20% of the population will experience some form of dermatitis in their lifetime</t>
  </si>
  <si>
    <t>Can significantly affect daily activities and mental health, particularly during flare-ups</t>
  </si>
  <si>
    <t>Generally effective in managing skin irritation and dermatitis symptoms; provides relief in most cases</t>
  </si>
  <si>
    <t>Considered safe for topical use in most patients; few contraindications</t>
  </si>
  <si>
    <t>Localized skin irritation, allergic reactions, and rash (rare)</t>
  </si>
  <si>
    <t>Approximately $50-$200 depending on frequency of use and required quantity</t>
  </si>
  <si>
    <t>All age groups; safety established in pediatric and adult populations</t>
  </si>
  <si>
    <t>No specific gender predilection; affects both males and females equally</t>
  </si>
  <si>
    <t>Topical ointment (not classified under traditional drug categories like small molecules or biologics)</t>
  </si>
  <si>
    <t>RABAVERT (PF)</t>
  </si>
  <si>
    <t>Initial symptoms include fever, headache, and general weakness or discomfort. As the disease progresses, symptoms can include anxiety, confusion, agitation, hallucinations, hydrophobia (fear of water), and paralysis.</t>
  </si>
  <si>
    <t>Rabies is rare in the USA, with approximately 1-3 human cases reported annually, usually due to exposure to rabid animals.</t>
  </si>
  <si>
    <t>If rabies symptoms develop, the disease is nearly universally fatal, leading to a very poor quality of life in the late stages. However, with appropriate post-exposure prophylaxis (PEP), individuals can avoid the disease, leading to good quality of life.</t>
  </si>
  <si>
    <t>RABAVERT is highly effective when administered as post-exposure prophylaxis (PEP) after potential rabies exposure, with efficacy rates exceeding 99% in such cases.</t>
  </si>
  <si>
    <t>RABAVERT is generally considered safe when used according to guidelines for post-exposure prophylaxis. Most individuals tolerate the vaccine well.</t>
  </si>
  <si>
    <t>Common adverse events include soreness at the injection site, mild fever, headache, and fatigue. Severe allergic reactions are rare.</t>
  </si>
  <si>
    <t>The estimated cost for rabies PEP, which includes RABAVERT, is typically between $2,000 - $6,000 depending on the regimen and local costs.</t>
  </si>
  <si>
    <t>Individuals of all ages may require rabies vaccination, particularly those who are at risk of exposure (e.g., animal handlers, travelers).</t>
  </si>
  <si>
    <t>The drug can be used by any gender equally; there are no gender-specific concerns regarding its use.</t>
  </si>
  <si>
    <t>Vaccine (immunization).</t>
  </si>
  <si>
    <t>PHEXXI</t>
  </si>
  <si>
    <t>Fishy vaginal odor, vaginal discharge that may be gray or white, irritation or itching in the vaginal area.</t>
  </si>
  <si>
    <t>Approximately 29% of women in the U.S. will experience BV at some point in their lives.</t>
  </si>
  <si>
    <t>Moderate impact; symptoms can cause significant discomfort and embarrassment, affecting sexual activity and mental health.</t>
  </si>
  <si>
    <t>Studies show PHEXXI is approximately 86% effective in reducing the risk of STIs in women when used correctly.</t>
  </si>
  <si>
    <t>Generally considered safe for use in women; main concern is local irritation.</t>
  </si>
  <si>
    <t>Common adverse events include vaginal burning, itching, and irritation; systemic side effects are rare.</t>
  </si>
  <si>
    <t>Estimated to be around $300-$400 per year, depending on frequency of use.</t>
  </si>
  <si>
    <t>Suitable for women of reproductive age, generally 18-44.</t>
  </si>
  <si>
    <t>Topical vaginal gel (not classified as traditional medication, but rather as a medical device for prevention).</t>
  </si>
  <si>
    <t>VENLAFAXINE HCL 225MG 24HR TAB,SA</t>
  </si>
  <si>
    <t>Persistent sadness, loss of interest or pleasure, changes in appetite, sleep disturbances, fatigue, feelings of worthlessness, concentration difficulties (for MDD); excessive worrying, restlessness, fatigue, difficulty concentrating, irritability (for GAD)</t>
  </si>
  <si>
    <t>Approximately 7.1% for MDD and around 3.1% for GAD in the USA</t>
  </si>
  <si>
    <t>Significant improvement in quality of life can be observed with effective treatment; however, many patients experience ongoing symptoms that affect daily functioning.</t>
  </si>
  <si>
    <t>Approximately 50-70% of patients experience significant improvement in depression and anxiety symptoms when treated with venlafaxine.</t>
  </si>
  <si>
    <t>Generally well-tolerated; however, monitoring for suicidal ideation, especially in younger individuals, is critical.</t>
  </si>
  <si>
    <t>Common adverse events include nausea, dry mouth, dizziness, sexual dysfunction, and insomnia. Rare events may include increased blood pressure and serotonin syndrome.</t>
  </si>
  <si>
    <t>Average costs can range from $600 to $800 per year, depending on insurance coverage and pharmacy prices.</t>
  </si>
  <si>
    <t>Primarily adults, though it may be prescribed for adolescents 12 years and older.</t>
  </si>
  <si>
    <t>More common in women; approximately 1.5 times more prevalent in females than males.</t>
  </si>
  <si>
    <t>Small molecule antidepressant (serotonin-norepinephrine reuptake inhibitor - SNRI).</t>
  </si>
  <si>
    <t>CONZIP 300MG CAP, SA</t>
  </si>
  <si>
    <t>Widespread pain, fatigue, sleep disturbances, cognitive difficulties (often referred to as "fibro fog"), and mood issues such as anxiety or depression.</t>
  </si>
  <si>
    <t>Approximately 2-4% of adults in the USA.</t>
  </si>
  <si>
    <t>Often significantly affected, with patients reporting limitations in daily activities and chronic pain impacting overall well-being.</t>
  </si>
  <si>
    <t>Varies by individual; clinical studies have shown improvement in pain symptoms and overall functioning in some patients.</t>
  </si>
  <si>
    <t>Generally considered safe when used as prescribed, but effects can vary; long-term safety data is ongoing.</t>
  </si>
  <si>
    <t>Common adverse events include dizziness, headache, nausea, diarrhea, and dry mouth.</t>
  </si>
  <si>
    <t>Approximately $3,000 to $5,000 (depending on healthcare provider and dosages).</t>
  </si>
  <si>
    <t>Most commonly diagnosed in adults aged 30 to 60 years, though it can affect younger and older adults.</t>
  </si>
  <si>
    <t>More prevalent in females than males (approximately 7:1 ratio).</t>
  </si>
  <si>
    <t>Small molecules (specifically a unique formulation of tramadol).</t>
  </si>
  <si>
    <t>REVONTO 20MG/VIL INJ</t>
  </si>
  <si>
    <t>Sudden, uncontrollable episodes of laughing or crying, which may not match the individual's emotional state.</t>
  </si>
  <si>
    <t>Approximately 2%-3% of the population, higher in individuals with neurological disorders such as multiple sclerosis or amyotrophic lateral sclerosis (ALS).</t>
  </si>
  <si>
    <t>Significant impairment due to frequent and unpredictable emotional outbursts, affecting social interactions and daily activities.</t>
  </si>
  <si>
    <t>Clinical studies show efficacy rates of approximately 30%-50% improvement in frequency and severity of emotional episodes.</t>
  </si>
  <si>
    <t>Generally well tolerated; however, comprehensive evaluation of patient history is advised to prevent interactions.</t>
  </si>
  <si>
    <t>Common adverse events include dizziness, somnolence, and diarrhea; serious adverse events are rare.</t>
  </si>
  <si>
    <t>Approximately $5,000 - $12,000, depending on insurance and patient coverage.</t>
  </si>
  <si>
    <t>Typically prescribed for adults, primarily those over 18 years of age.</t>
  </si>
  <si>
    <t>More frequently diagnosed in both males and females, with no significant gender predisposition noted.</t>
  </si>
  <si>
    <t>Monoclonal antibody.</t>
  </si>
  <si>
    <t>ZIMHI 5MG/0.5ML INJ,SYRINGE</t>
  </si>
  <si>
    <t>Respiratory depression, drowsiness, altered mental status, possibly loss of consciousness</t>
  </si>
  <si>
    <t>Approximately 0.3% of the US population experiences opioid use disorder (OUD) annually; opioid overdose deaths were estimated at over 70,000 in 2021, indicating a significant prevalence of overdoses.</t>
  </si>
  <si>
    <t>Can significantly diminish quality of life due to addiction and related health issues; recovery can lead to improved quality of life, but many face ongoing challenges.</t>
  </si>
  <si>
    <t>ZIMHI (high-dose naloxone) is effective in reversing opioid overdose, with efficacy rates close to 90% in appropriate clinical situations.</t>
  </si>
  <si>
    <t>Generally safe when administered as directed; potential for allergic reactions exists, but severe adverse effects are rare.</t>
  </si>
  <si>
    <t>Commonly reported adverse events include withdrawal symptoms, anxiety, agitation, and nausea.</t>
  </si>
  <si>
    <t>Naloxone formulations typically range from $100 to $400 annually, depending on insurance coverage and availability; ZIMHI specifics may vary.</t>
  </si>
  <si>
    <t>Primarily indicated for adults, but can be used in adolescents under medical supervision.</t>
  </si>
  <si>
    <t>Affects all genders, though higher rates of opioid use disorder and overdose have been reported among males.</t>
  </si>
  <si>
    <t>Naloxone (a small molecule opioid antagonist).</t>
  </si>
  <si>
    <t>SENSIPAR 30MG TAB</t>
  </si>
  <si>
    <t>Fatigue, weakness, depression, bone pain, kidney stones, abdominal pain, nausea, excessive thirst, frequent urination</t>
  </si>
  <si>
    <t>Approximately 1-2 per 1,000 people for primary hyperparathyroidism; secondary hyperparathyroidism can affect a majority of patients with stage 5 chronic kidney disease</t>
  </si>
  <si>
    <t>Can significantly improve with proper management; patients may experience improved energy levels and reduced pain</t>
  </si>
  <si>
    <t>Clinical studies have shown SENSIPAR effectively lowers parathyroid hormone (PTH) levels, with a response rate of approximately 60-70% in patients</t>
  </si>
  <si>
    <t>Generally well-tolerated; routine monitoring recommended; safety profile includes monitoring for calcium levels and potential renal function changes</t>
  </si>
  <si>
    <t>Nausea (10-15%), diarrhea (5-10%), fatigue (5-10%), hypocalcemia (calcium deficiency, &lt;10%)</t>
  </si>
  <si>
    <t>Approximately $10,000-$15,000</t>
  </si>
  <si>
    <t>Typically adults (18 years and older); more common in middle-aged and elderly populations</t>
  </si>
  <si>
    <t>More frequent in females, but both genders can be affected</t>
  </si>
  <si>
    <t>IMDELLTRA 10MG/VIAL INJ,LYPHL</t>
  </si>
  <si>
    <t>Fatigue, fever, frequent infections, easy bruising or bleeding, bone pain, swollen lymph nodes, pale skin</t>
  </si>
  <si>
    <t>Approximately 5,000 cases annually in the USA</t>
  </si>
  <si>
    <t>Significantly impacted during treatment; varies based on treatment phase and disease response</t>
  </si>
  <si>
    <t>Shows efficacy in treating ALL; can lead to remission in a majority of cases when combined with other therapies</t>
  </si>
  <si>
    <t>Generally considered safe with appropriate monitoring; requires dose adjustments based on patient response and side effects</t>
  </si>
  <si>
    <t>Common adverse events include nausea, vomiting, fever, infusion reactions, infections, and blood count abnormalities</t>
  </si>
  <si>
    <t>Estimated between $40,000 to $100,000 depending on treatment plan and patient needs</t>
  </si>
  <si>
    <t>Primarily affects children but also occurs in adults; most common in children aged 1-10 years</t>
  </si>
  <si>
    <t>Affects both genders, but slightly more common in males</t>
  </si>
  <si>
    <t>Monoclonal antibody (Immunotherapy)</t>
  </si>
  <si>
    <t>IMLYGIC /1MPFU/ML</t>
  </si>
  <si>
    <t>Changes in the appearance of moles, new moles, irregular borders, asymmetry, color variation in moles, itching, bleeding, non-healing sores.</t>
  </si>
  <si>
    <t>Melanoma is diagnosed in approximately 23 per 100,000 people in the USA annually.</t>
  </si>
  <si>
    <t>Quality of life can be significantly impacted due to concerns over cancer diagnosis, physical appearance, and treatment side effects.</t>
  </si>
  <si>
    <t>Clinical studies show that IMLYGIC can lead to a tumor response rate of approximately 15% to 20% in patients with unresectable melanoma.</t>
  </si>
  <si>
    <t>Generally considered safe; the most common side effects are related to injection site reactions.</t>
  </si>
  <si>
    <t>Common adverse events include fatigue (30%), chills (18%), fever (40%), and nausea (20%). Serious adverse events occur in &lt;10% of patients.</t>
  </si>
  <si>
    <t>Costs can vary but average around $40,000 to $50,000 annually for treatment.</t>
  </si>
  <si>
    <t>Primarily adults, typically 18 years and older.</t>
  </si>
  <si>
    <t>More common in males but also significant in females, as melanoma affects both genders.</t>
  </si>
  <si>
    <t>Oncolytic virus therapy (genetically modified virus).</t>
  </si>
  <si>
    <t>IMLYGIC/100MPFU/ML</t>
  </si>
  <si>
    <t>Changes in an existing mole, new growths on the skin, lesions that itch, bleed, or ooze, asymmetrical moles, irregular borders, multiple colors in a mole</t>
  </si>
  <si>
    <t>Approximately 20 cases per 100,000 individuals in the USA</t>
  </si>
  <si>
    <t>Can be significantly impacted due to treatment side effects and psychological burden; improved with effective treatment</t>
  </si>
  <si>
    <t>Approximately 40% response rate in patients with unresectable or metastatic melanoma</t>
  </si>
  <si>
    <t>Generally well tolerated, may have immune-related adverse effects</t>
  </si>
  <si>
    <t>Fatigue, nausea, fever, chills, pain at the injection site, immune-mediated adverse effects (including colitis, pneumonitis)</t>
  </si>
  <si>
    <t>Estimated around $100,000 - $150,000</t>
  </si>
  <si>
    <t>Primarily adults (ages 18 and older)</t>
  </si>
  <si>
    <t>More common in males compared to females</t>
  </si>
  <si>
    <t>Oncolytic virus therapy (modified herpes simplex virus)</t>
  </si>
  <si>
    <t>OTEZLA 30MG TAB</t>
  </si>
  <si>
    <t>Joint pain and swelling, skin lesions, redness, itching, and scaling of the skin</t>
  </si>
  <si>
    <t>Approximately 0.5% for Plaque Psoriasis and 0.3% for Psoriatic Arthritis in the US population</t>
  </si>
  <si>
    <t>Significantly affected by physical pain, skin discomfort, and joint mobility, with patients often reporting lower quality of life due to symptoms</t>
  </si>
  <si>
    <t>Shows a 40% improvement in ACR20 response (American College of Rheumatology criteria) for Psoriatic Arthritis and significant improvement in skin clearance for Plaque Psoriasis in clinical studies</t>
  </si>
  <si>
    <t>Generally well-tolerated; safety data indicates safety profile similar to placebo based on clinical trials</t>
  </si>
  <si>
    <t>Common adverse events include diarrhea (16%), nausea (10%), headache (10%), upper respiratory tract infections (10%), and weight loss</t>
  </si>
  <si>
    <t>Approximately $30,000 to $35,000 per year</t>
  </si>
  <si>
    <t>Adults (primarily 18 years and older)</t>
  </si>
  <si>
    <t>Affected individuals are both male and female, but prevalence can be higher in males for Psoriatic Arthritis</t>
  </si>
  <si>
    <t>Small molecule (oral therapy)</t>
  </si>
  <si>
    <t>BLINCYTO 35MCG INJ VIAL</t>
  </si>
  <si>
    <t>Fatigue, fever, easy bruising or bleeding, frequent infections, swollen lymph nodes, and weight loss</t>
  </si>
  <si>
    <t>Approximately 3,000 new cases annually in the USA (incidence rate: 1.5 cases per 100,000 people)</t>
  </si>
  <si>
    <t>Variable; may improve significantly with successful treatment but can be impacted by treatment side effects and disease progression</t>
  </si>
  <si>
    <t>Approximately 50-70% complete remission rate in adult patients with refractory or relapsed B-cell ALL</t>
  </si>
  <si>
    <t>Generally well-tolerated, but careful monitoring is required; risk of severe adverse effects exists</t>
  </si>
  <si>
    <t>Cytokine release syndrome, neurological toxicities (such as seizures), infections, and febrile neutropenia</t>
  </si>
  <si>
    <t>Approximately $100,000 to $150,000 per year</t>
  </si>
  <si>
    <t>Primarily used in adults, but can also be effective in children</t>
  </si>
  <si>
    <t>Monoclonal antibody (blinatumomab)</t>
  </si>
  <si>
    <t>OTEZLA STARTER PACK 10/20/30MG 55 COUNT BOTTL</t>
  </si>
  <si>
    <t>Red patches of skin covered with thick, silvery scales; itching; pain and swelling in joints; fatigue.</t>
  </si>
  <si>
    <t>Approximately 2% of the U.S. population (about 6.5 million people have psoriasis); psoriatic arthritis affects approximately 30% of those with psoriasis.</t>
  </si>
  <si>
    <t>Quality of life can be significantly impaired due to physical discomfort and psychosocial factors; patients often experience emotional distress and social stigma.</t>
  </si>
  <si>
    <t>Clinical studies show around 70% of patients achieve a 75% improvement in psoriasis symptoms (PASI 75) at 16 weeks.</t>
  </si>
  <si>
    <t>Generally well tolerated; long-term studies indicate a favorable safety profile, but need for regular monitoring.</t>
  </si>
  <si>
    <t>Common adverse events include diarrhea (approximately 10%), nausea (6%), and headache (5%). Serious events like infections are rare but require monitoring.</t>
  </si>
  <si>
    <t>Affects both males and females, though psoriasis is slightly more prevalent in men.</t>
  </si>
  <si>
    <t>Small molecule (phosphodiesterase 4 inhibitor).</t>
  </si>
  <si>
    <t>OMEGA-3-ACID ETHYL ESTERS 1000MG CAP,ORAL</t>
  </si>
  <si>
    <t>Hypertriglyceridemia</t>
  </si>
  <si>
    <t>Elevated triglyceride levels, abdominal pain, pancreatitis (in severe cases)</t>
  </si>
  <si>
    <t>Approximately 30% of adults in the USA have elevation in triglycerides (?150 mg/dL); specific prevalence for severe hypertriglyceridemia (?500 mg/dL) is about 1-2%</t>
  </si>
  <si>
    <t>Moderate impact when triglyceride levels are controlled; severe cases can significantly affect quality of life due to associated complications</t>
  </si>
  <si>
    <t>Effective in lowering triglyceride levels by approximately 20-50% in clinical studies</t>
  </si>
  <si>
    <t>Generally considered safe; routine monitoring is recommended</t>
  </si>
  <si>
    <t>Common adverse events include gastrointestinal issues (nausea, diarrhea), fishy aftertaste, and increased bleeding tendency</t>
  </si>
  <si>
    <t>Approximately $200 to $400 depending on insurance coverage and pharmacy</t>
  </si>
  <si>
    <t>Typically used in adults, but can be prescribed for children over 12 with appropriate conditions</t>
  </si>
  <si>
    <t>No significant gender preference; prescribed to both males and females</t>
  </si>
  <si>
    <t>Small molecules (fish oil derivatives)</t>
  </si>
  <si>
    <t>20 and older</t>
  </si>
  <si>
    <t>LEVOTHYROXINE NA 25MCG TAB</t>
  </si>
  <si>
    <t>Fatigue, weight gain, cold intolerance, dry skin, constipation, depression, muscle weakness, slowed heart rate</t>
  </si>
  <si>
    <t>Approximately 4.6% of the adult population in the USA has hypothyroidism, with higher prevalence in women and older adults.</t>
  </si>
  <si>
    <t>Significant improvement in quality of life with appropriate treatment; patients experience better energy levels, mood, and overall well-being.</t>
  </si>
  <si>
    <t>Levothyroxine is generally considered effective, with about 80-90% of patients achieving normal thyroid hormone levels with proper dosing.</t>
  </si>
  <si>
    <t>Generally safe when dosed appropriately; monitoring is important to avoid over-replacement.</t>
  </si>
  <si>
    <t>Potential adverse events include palpitations, anxiety, insomnia, weight loss, and increased appetite; rare but serious risks can include myocardial infarction in patients with underlying cardiovascular disease.</t>
  </si>
  <si>
    <t>Approximately $30 to $150, depending on the formulation and insurance coverage.</t>
  </si>
  <si>
    <t>All age groups; most commonly diagnosed in adults, particularly over age 60.</t>
  </si>
  <si>
    <t>More prevalent in females (around 5-8 times more likely than males).</t>
  </si>
  <si>
    <t>LEVOTHYROXINE NA 50MCG TAB</t>
  </si>
  <si>
    <t>Fatigue, weight gain, cold intolerance, depression, hair loss, dry skin, constipation, muscle weakness, elevated cholesterol levels</t>
  </si>
  <si>
    <t>Approximately 4.6% of the U.S. adult population (about 5 million people)</t>
  </si>
  <si>
    <t>Generally improves significantly with proper treatment, enabling individuals to resume normal activities and improve overall well-being.</t>
  </si>
  <si>
    <t>Highly effective in normalizing thyroid hormone levels with appropriate dosing, achieving euthyroid status in approximately 80-90% of patients.</t>
  </si>
  <si>
    <t>Generally considered safe with a well-established risk profile when dosed appropriately.</t>
  </si>
  <si>
    <t>Possible side effects include palpitations, anxiety, tremors, insomnia, heat intolerance, menstrual irregularities, and rare cases of thyroid storm.</t>
  </si>
  <si>
    <t>Approximately $100 - $300 per year, depending on dosage and insurance coverage.</t>
  </si>
  <si>
    <t>All age groups, commonly diagnosed in middle-aged individuals (ages 30-60).</t>
  </si>
  <si>
    <t>More prevalent in females (approximately 7-10 times higher incidence than males).</t>
  </si>
  <si>
    <t>LEVOTHYROXINE NA 75MCG TAB</t>
  </si>
  <si>
    <t>Approximately 4.6% of the US population (12.5% of individuals over age 60)</t>
  </si>
  <si>
    <t>Significant improvement in quality of life with proper treatment, leading to normalized energy levels and metabolic function</t>
  </si>
  <si>
    <t>Levothyroxine is highly effective with a failure rate of less than 10% in properly monitored patients</t>
  </si>
  <si>
    <t>Generally considered safe when dosed correctly; regular monitoring is essential</t>
  </si>
  <si>
    <t>Common adverse events include palpitations, anxiety, insomnia, and osteoporosis (at high doses)</t>
  </si>
  <si>
    <t>Approximately $75 to $100 per year for levothyroxine</t>
  </si>
  <si>
    <t>Most common in adults, particularly those over 60 years</t>
  </si>
  <si>
    <t>More prevalent in females, approximately 6-8 times more common than in males</t>
  </si>
  <si>
    <t>Small molecules (synthetic thyroid hormone replacement therapy)</t>
  </si>
  <si>
    <t>LEVOTHYROXINE NA 88MCG TAB</t>
  </si>
  <si>
    <t>Fatigue, weight gain, cold intolerance, dry skin, hair loss, constipation, depression, slow heart rate, muscle weakness, elevated blood cholesterol levels.</t>
  </si>
  <si>
    <t>Approximately 4.6% of the adult population in the USA is affected by hypothyroidism.</t>
  </si>
  <si>
    <t>Quality of life improves significantly with appropriate levothyroxine therapy; patients often return to normal functioning.</t>
  </si>
  <si>
    <t>Levothyroxine is highly effective in normalizing thyroid hormone levels and alleviating symptoms in the vast majority of patients.</t>
  </si>
  <si>
    <t>Considered safe when used as directed; doses are individualized based on patient response and hormone levels.</t>
  </si>
  <si>
    <t>Commonly reported adverse events include palpitations, anxiety, weight loss, increased appetite, and heat intolerance; rare potentially serious events include atrial fibrillation and osteoporosis with excessive doses.</t>
  </si>
  <si>
    <t>Approx. $100 - $300 (varies based on insurance coverage and pharmacy choice).</t>
  </si>
  <si>
    <t>Used primarily in adults but can be prescribed to children and infants if needed.</t>
  </si>
  <si>
    <t>More common in females than males; about 7-8 times more prevalent in women.</t>
  </si>
  <si>
    <t>LEVOTHYROXINE NA 100MCG TAB</t>
  </si>
  <si>
    <t>Approximately 4.6% of the U.S. population, approximately 14 million people</t>
  </si>
  <si>
    <t>Generally improves significantly with appropriate treatment; patients report enhanced mood, energy levels, and functionality</t>
  </si>
  <si>
    <t>Levothyroxine is considered highly effective, with improvement in symptoms seen in approximately 80% of treated individuals</t>
  </si>
  <si>
    <t>Generally safe when dosed correctly; requires monitoring to avoid overmedication</t>
  </si>
  <si>
    <t>Potential adverse events include palpitations, anxiety, weight loss, heat intolerance, and osteoporosis with long-term over-treatment</t>
  </si>
  <si>
    <t>Approximately $30-$100 depending on the pharmacy and insurance coverage</t>
  </si>
  <si>
    <t>Commonly prescribed for adults, particularly those over 60 years old</t>
  </si>
  <si>
    <t>More prevalent in females, with approximately 75% of cases occurring in women</t>
  </si>
  <si>
    <t>LEVOTHYROXINE NA 112MCG TAB</t>
  </si>
  <si>
    <t>Fatigue, weight gain, cold intolerance, dry skin, hair loss, muscle weakness, depression, constipation, slow heart rate</t>
  </si>
  <si>
    <t>Approximately 4.6% of the U.S. population (about 10 million people); prevalence increases with age, particularly in women</t>
  </si>
  <si>
    <t>Typically improves significantly with treatment, leading to normalization of metabolic function and symptom relief</t>
  </si>
  <si>
    <t>Generally high; ~80-90% of patients report symptom relief and normalization of thyroid levels with appropriate dosing</t>
  </si>
  <si>
    <t>Generally considered safe with a wide therapeutic range when monitored; abuse or overtreatment can lead to side effects</t>
  </si>
  <si>
    <t>Potential side effects include palpitations, increased heart rate, insomnia, and anxiety; rare severe reactions include angina and arrhythmia</t>
  </si>
  <si>
    <t>Estimated around $100-$500 depending on provider and insurance coverage</t>
  </si>
  <si>
    <t>All ages; however, most common in adults, particularly those over 60 years old</t>
  </si>
  <si>
    <t>More prevalent in women (estimated 5-10 times more common than in men)</t>
  </si>
  <si>
    <t>Small molecules (synthetic thyroxine hormone replacement therapy)</t>
  </si>
  <si>
    <t>LEVOTHYROXINE NA 125MCG TAB</t>
  </si>
  <si>
    <t>Fatigue, weight gain, cold intolerance, depression, dry skin, hair loss, constipation, muscle weakness</t>
  </si>
  <si>
    <t>Approximately 4.6% of the U.S. population has hypothyroidism (assuming a general estimate based on adult populations).</t>
  </si>
  <si>
    <t>Patients on appropriate levothyroxine therapy typically report improved quality of life, with symptom relief and enhanced overall functioning.</t>
  </si>
  <si>
    <t>90-95% of patients achieve normal thyroid levels and symptom relief with appropriate levothyroxine therapy.</t>
  </si>
  <si>
    <t>Generally considered safe when dosed appropriately; regular monitoring is required.</t>
  </si>
  <si>
    <t>Common adverse events include palpitations, anxiety, insomnia, and weight loss; serious events are rare but can include cardiac complications in elderly patients if overdosed.</t>
  </si>
  <si>
    <t>Costs average around $30-$150 annually depending on insurance coverage and brand vs. generic options.</t>
  </si>
  <si>
    <t>Primarily adults (most common in those aged over 60), but can occur at any age.</t>
  </si>
  <si>
    <t>More common in females (approximately 7-10 times more prevalent in women compared to men).</t>
  </si>
  <si>
    <t>LEVOTHYROXINE NA 137MCG TAB</t>
  </si>
  <si>
    <t>With proper treatment, quality of life can significantly improve, returning to levels seen in the general population.</t>
  </si>
  <si>
    <t>Levothyroxine has over 90% efficacy in restoring normal serum thyroid hormone levels in patients who adhere to therapy.</t>
  </si>
  <si>
    <t>Generally considered safe; monitoring of thyroid levels is essential to avoid over-treatment and under-treatment.</t>
  </si>
  <si>
    <t>Common adverse events include palpitations, anxiety, insomnia, weight loss, and increased appetite (usually associated with overtreatment).</t>
  </si>
  <si>
    <t>Approximately $50-$200, depending on insurance and pharmacy options.</t>
  </si>
  <si>
    <t>All ages, but most commonly prescribed to adults, particularly those aged 30 and older.</t>
  </si>
  <si>
    <t>More prevalent in women (about 5-10 times more common than in men).</t>
  </si>
  <si>
    <t>LEVOTHYROXINE NA 150MCG TAB</t>
  </si>
  <si>
    <t>Fatigue, weight gain, cold intolerance, dry skin, hair loss, constipation, depression, cognitive slowing, muscle weakness, and swelling in the face and limbs.</t>
  </si>
  <si>
    <t>Approximately 4.6% of the U.S. population has hypothyroidism, with higher rates in older adults and women.</t>
  </si>
  <si>
    <t>Generally improved with proper treatment; untreated hypothyroidism can significantly impair quality of life due to fatigue and associated symptoms.</t>
  </si>
  <si>
    <t>Levothyroxine is effective in normalizing thyroid hormone levels in approximately 80-90% of patients diagnosed with hypothyroidism.</t>
  </si>
  <si>
    <t>Generally considered safe when used as prescribed; there are few serious risks when appropriately monitored.</t>
  </si>
  <si>
    <t>Potential adverse events include hyperthyroid symptoms (e.g., palpitations, increased heart rate, anxiety) if overdosed, along with bone density loss and increased risk of atrial fibrillation in older adults.</t>
  </si>
  <si>
    <t>Annual therapy costs typically range from $50 to $150 depending on insurance and pharmacy pricing.</t>
  </si>
  <si>
    <t>Most commonly prescribed for adults, particularly middle-aged and older patients.</t>
  </si>
  <si>
    <t>More prevalent in women than men (ratio approximately 4:1).</t>
  </si>
  <si>
    <t>Small molecule (synthesized thyroid hormone).</t>
  </si>
  <si>
    <t>LEVOTHYROXINE NA 175MCG TAB</t>
  </si>
  <si>
    <t>Fatigue, weight gain, cold intolerance, depression, constipation, dry skin, hair loss, slowed heart rate, muscle weakness, elevated blood cholesterol levels</t>
  </si>
  <si>
    <t>Approximately 4.6% of the U.S. population (about 5 million people) have hypothyroidism</t>
  </si>
  <si>
    <t>Quality of life can significantly improve with appropriate treatment, leading to better physical and mental well-being</t>
  </si>
  <si>
    <t>Levothyroxine is effective in normalizing thyroid hormone levels in 90-95% of treated patients</t>
  </si>
  <si>
    <t>Generally considered safe when dosed appropriately; regular monitoring of TSH levels is essential</t>
  </si>
  <si>
    <t>Common adverse events include palpitations, anxiety, weight loss, heat intolerance, and insomnia; rare but serious effects can include cardiac arrhythmias and osteoporosis if overdosed</t>
  </si>
  <si>
    <t>Average annual therapy costs range from $60 to $300 depending on dosage and insurance coverage</t>
  </si>
  <si>
    <t>All age groups, but more prevalent in adults aged 30 and older</t>
  </si>
  <si>
    <t>More common in females, with a female-to-male ratio of approximately 5:1</t>
  </si>
  <si>
    <t>LEVOTHYROXINE NA 200MCG TAB</t>
  </si>
  <si>
    <t>Fatigue, weight gain, sensitivity to cold, dry skin, hair loss, constipation, depression, muscle weakness, elevated cholesterol levels, slowed heart rate, and in severe cases, myxedema coma.</t>
  </si>
  <si>
    <t>Approximately 4.6% of the population in the USA has hypothyroidism, with higher rates in older adults.</t>
  </si>
  <si>
    <t>Generally improved with treatment; most patients experience restored energy levels, mood stabilization, and improved metabolic health.</t>
  </si>
  <si>
    <t>Levothyroxine is highly effective for the treatment of hypothyroidism, with a therapeutic response reported in over 85% of patients when dosed correctly.</t>
  </si>
  <si>
    <t>Generally considered safe with a wide therapeutic index; regular monitoring of thyroid levels is advised to adjust dosing and minimize risks.</t>
  </si>
  <si>
    <t>Common adverse events include palpitations, increased heart rate, anxiety, weight loss, and insomnia, particularly if overdosed.</t>
  </si>
  <si>
    <t>Annual costs for levothyroxine therapy range from $30 to $200 depending on insurance coverage and formulary placement.</t>
  </si>
  <si>
    <t>Primarily adults, particularly those over 60, but can be prescribed to patients of all ages, including children.</t>
  </si>
  <si>
    <t>More common in females; approximately 80% of hypothyroidism cases are found in women.</t>
  </si>
  <si>
    <t>Small molecule (synthetic thyroid hormone replacement therapy).</t>
  </si>
  <si>
    <t>LEVOTHYROXINE NA 300MCG TAB</t>
  </si>
  <si>
    <t>Fatigue, weight gain, cold intolerance, dry skin, hair loss, constipation, muscle weakness, depression, and slow heart rate.</t>
  </si>
  <si>
    <t>Approximately 4.6% of the U.S. population is affected by hypothyroidism.</t>
  </si>
  <si>
    <t>Patients often report improved quality of life with appropriate treatment, including increased energy levels and improved mood and cognitive function.</t>
  </si>
  <si>
    <t>Levothyroxine is highly effective for treating hypothyroidism, with a success rate of about 90% in normalizing thyroid function tests.</t>
  </si>
  <si>
    <t>Generally considered safe when used as directed; however, monitoring is essential to prevent over-treatment.</t>
  </si>
  <si>
    <t>Common adverse events associated with levothyroxine include increased heart rate, anxiety, and sleep disturbances. Rarely, it may lead to osteoporosis or atrial fibrillation in older patients.</t>
  </si>
  <si>
    <t>Approximately $200 to $500 per year, depending on insurance coverage and whether a generic version is used.</t>
  </si>
  <si>
    <t>Most commonly prescribed for adults over the age of 30, but it can occur at any age.</t>
  </si>
  <si>
    <t>More prevalent in females, with a female-to-male ratio of approximately 7:1.</t>
  </si>
  <si>
    <t>QUETIAPINE FUMARATE 50MG TAB</t>
  </si>
  <si>
    <t>Hallucinations, delusions, disorganized thinking (Schizophrenia); manic episodes, depressive episodes (Bipolar Disorder)</t>
  </si>
  <si>
    <t>Schizophrenia: 1% of the US population; Bipolar Disorder: approximately 2.8% of the US population</t>
  </si>
  <si>
    <t>Varies significantly; many individuals may experience social and occupational impairment but can improve with treatment</t>
  </si>
  <si>
    <t>Effective in reducing psychotic symptoms and stabilizing mood in bipolar disorder; efficacy varies based on individual response</t>
  </si>
  <si>
    <t>Generally well-tolerated, but with potential for metabolic side effects; regular monitoring recommended</t>
  </si>
  <si>
    <t>Sedation, weight gain, dry mouth, dizziness, increased risk of diabetes, tardive dyskinesia</t>
  </si>
  <si>
    <t>Approximately $5,000 - $10,000, varying by insurance and dosage</t>
  </si>
  <si>
    <t>Approved for use in adults and adolescents (ages 13 and older)</t>
  </si>
  <si>
    <t>Affects both males and females, though onset timing may differ between genders</t>
  </si>
  <si>
    <t>QUETIAPINE FUMARATE 100MG TAB</t>
  </si>
  <si>
    <t>Hallucinations, delusions, disorganized thinking, mood swings, depression, and manic episodes</t>
  </si>
  <si>
    <t>Approximately 1% for schizophrenia, 1-3% for bipolar disorder in the USA</t>
  </si>
  <si>
    <t>Often significantly improved in treated patients; focus on stability and functional improvement</t>
  </si>
  <si>
    <t>65-80% effective in reducing symptoms of schizophrenia and bipolar disorder</t>
  </si>
  <si>
    <t>Generally well-tolerated; risk varies based on patient profile</t>
  </si>
  <si>
    <t>Sedation, dizziness, weight gain, metabolic syndrome, and extrapyramidal symptoms (EPS)</t>
  </si>
  <si>
    <t>Approximately $4,000 - $7,000 (depending on insurance coverage)</t>
  </si>
  <si>
    <t>Typically prescribed for adults 18-65 years old but can be used in adolescents</t>
  </si>
  <si>
    <t>Affects both genders, with a slightly higher prevalence in males for schizophrenia</t>
  </si>
  <si>
    <t>ICOSAPENT ETHYL 0.5GM CAP</t>
  </si>
  <si>
    <t>Often asymptomatic; however, high levels can lead to pancreatitis, abdominal pain, nausea, and vomiting.</t>
  </si>
  <si>
    <t>Approximately 25% of adults in the USA have elevated triglyceride levels (?150 mg/dL).</t>
  </si>
  <si>
    <t>Can significantly improve when triglyceride levels are controlled, reducing risk for cardiovascular events.</t>
  </si>
  <si>
    <t>ICOSAPENT ETHYL has been shown to reduce triglyceride levels by approximately 20-30% in clinical studies.</t>
  </si>
  <si>
    <t>Generally well-tolerated; safety profile indicates a lower risk of serious adverse effects compared to certain other treatments.</t>
  </si>
  <si>
    <t>Common adverse events include arthralgia (joint pain), diarrhea, and abdominal discomfort; serious adverse events are rare.</t>
  </si>
  <si>
    <t>Approximately $4,000 - $6,000, depending on insurance coverage and pharmacy pricing.</t>
  </si>
  <si>
    <t>Approved for adults, typically used in individuals aged 40 and older.</t>
  </si>
  <si>
    <t>Male patients may have a higher prevalence of hypertriglyceridemia due to lifestyle and metabolic factors, although it affects both genders.</t>
  </si>
  <si>
    <t>Small molecules (omega-3 fatty acid derivative).</t>
  </si>
  <si>
    <t>ICOSAPENT ETHYL 1GM CAP</t>
  </si>
  <si>
    <t>Often asymptomatic, but may include abdominal pain, pancreatitis, and cardiovascular disease effects.</t>
  </si>
  <si>
    <t>Approximately 30-35% of adults in the USA have elevated triglyceride levels.</t>
  </si>
  <si>
    <t>Can be improved with treatment, especially if cardiovascular risks are mitigated.</t>
  </si>
  <si>
    <t>Reduces triglyceride levels by about 20-30% in patients with elevated levels.</t>
  </si>
  <si>
    <t>Generally well-tolerated; however, long-term safety is continually monitored.</t>
  </si>
  <si>
    <t>Common adverse events include arthralgia, dizziness, and gastrointestinal issues.</t>
  </si>
  <si>
    <t>Approximately $2,500 to $3,500, depending on insurance coverage and patient-specific factors.</t>
  </si>
  <si>
    <t>Adults primarily over 40 years, but can be prescribed to younger adults with risk factors.</t>
  </si>
  <si>
    <t>Primarily affects both genders equally, though men may have higher initial prevalence of hypertriglyceridemia.</t>
  </si>
  <si>
    <t>Small molecule (omega-3 fatty acid derivative).</t>
  </si>
  <si>
    <t>TRANSDERM-SCOP (SCOPOLAMINE 0.33MG/24HRS PATC</t>
  </si>
  <si>
    <t>Nausea, vomiting, dizziness, sweating, and overall discomfort during travel.</t>
  </si>
  <si>
    <t>Approximately 30% of adults report experiencing motion sickness at some point in their lives in the USA.</t>
  </si>
  <si>
    <t>Significant improvement in quality of life for affected individuals, as it allows them to travel without discomfort.</t>
  </si>
  <si>
    <t>70%-80% effective in preventing the onset of nausea and vomiting associated with motion sickness when used correctly.</t>
  </si>
  <si>
    <t>Generally regarded as safe for use when administered as directed; side effects may occur but are typically manageable.</t>
  </si>
  <si>
    <t>Common adverse events can include dry mouth, drowsiness, blurred vision, and constipation.</t>
  </si>
  <si>
    <t>Approximately $200-$300 depending on insurance coverage and frequency of use.</t>
  </si>
  <si>
    <t>Adults and children aged 2 years and older (with dosage adjustment for children).</t>
  </si>
  <si>
    <t>Both genders are affected, with a slightly higher prevalence in females.</t>
  </si>
  <si>
    <t>Transdermal patch (anticholinergic agent).</t>
  </si>
  <si>
    <t>NOREPINEPHRINE BITARTRATE 32MCG/ML/D5W INJ,BA</t>
  </si>
  <si>
    <t>Severe hypotension (low blood pressure), cold and clammy skin, rapid heartbeat, confusion, anxiety, weakness, decreased urine output</t>
  </si>
  <si>
    <t>Approximately 1-2 cases per 1,000 hospital admissions for septic shock</t>
  </si>
  <si>
    <t>Quality of life may be significantly impacted during and shortly after the acute phase; potential long-term morbidity can reduce quality of life for survivors</t>
  </si>
  <si>
    <t>Highly effective at restoring blood pressure in acute settings; clinical studies show significant improvement in blood pressure parameters</t>
  </si>
  <si>
    <t>Generally considered safe when used as directed; careful monitoring is required to avoid adverse effects</t>
  </si>
  <si>
    <t>Potential adverse events include arrhythmias, ischemia, tissue necrosis at the injection site, increased blood pressure, and anxiety</t>
  </si>
  <si>
    <t>Costs may vary; average hospital cost for intensive care unit treatment can range from $100,000 to $200,000, depending on the duration of treatment and complications</t>
  </si>
  <si>
    <t>Primarily adults, but can be used in pediatric populations depending on clinical judgment</t>
  </si>
  <si>
    <t>No specific gender preferences; affects all genders equally</t>
  </si>
  <si>
    <t>Small molecules (catecholamines)</t>
  </si>
  <si>
    <t>NOREPINEPHRINE BITARTRATE 16MCG/ML/D5W INJ,BA</t>
  </si>
  <si>
    <t>Severe low blood pressure, dizziness, confusion, rapid heart rate, cold extremities, and decreased urine output</t>
  </si>
  <si>
    <t>Approximately 200,000 cases of septic shock annually in the USA</t>
  </si>
  <si>
    <t>Quality of life can be severely impacted; survivors may experience impaired physical function and psychological effects such as PTSD</t>
  </si>
  <si>
    <t>Norepinephrine is highly effective in increasing blood pressure and improving perfusion in hypotensive patients; typically, &gt;80% of patients respond positively to treatment</t>
  </si>
  <si>
    <t>Generally considered safe when used appropriately; close monitoring required during infusion</t>
  </si>
  <si>
    <t>Common adverse events include arrhythmias, tissue ischemia, peripheral necrosis, and elevated blood pressure</t>
  </si>
  <si>
    <t>Cost can vary widely but typically ranges from $4,000 to $10,000 depending on duration of therapy and healthcare setting</t>
  </si>
  <si>
    <t>Adults, but can be used in pediatric patients with appropriate dosing</t>
  </si>
  <si>
    <t>No significant differences in efficacy or safety between genders have been established</t>
  </si>
  <si>
    <t>Small molecules (catecholamine), specifically a vasoactive agent used in critical care settings</t>
  </si>
  <si>
    <t>10% TRAVASOL AMINO ACID INJ W/O ELEC #1B6626P</t>
  </si>
  <si>
    <t>Weight loss, muscle wasting, fatigue, weakness, compromised immune function</t>
  </si>
  <si>
    <t>Approximately 3% of hospitalized patients in the USA experience malnutrition; this can increase in specific populations (e.g., cancer patients, elderly).</t>
  </si>
  <si>
    <t>Significant improvement in quality of life for patients receiving appropriate nutritional therapy, though the baseline may vary.</t>
  </si>
  <si>
    <t>High efficacy in restoring nutritional balance and supporting metabolism in patients needing parenteral nutrition</t>
  </si>
  <si>
    <t>Generally safe when used as directed; concerns primarily with long-term use and potential for metabolic imbalances.</t>
  </si>
  <si>
    <t>Potential adverse events include hyperglycemia, electrolyte imbalances, and risk of infections via intravenous access.</t>
  </si>
  <si>
    <t>Approximately $3,000 to $10,000 per year, depending on patient needs and duration of therapy.</t>
  </si>
  <si>
    <t>All age groups, commonly used for pediatric, adult, and geriatric patients.</t>
  </si>
  <si>
    <t>No specific gender predilection, used across all genders.</t>
  </si>
  <si>
    <t>Parenteral nutrition formulation (amino acid solution).</t>
  </si>
  <si>
    <t>VASOPRESSIN IN 0.9 % SOD CHLORIDE</t>
  </si>
  <si>
    <t>Excessive thirst, frequent urination, dehydration, low blood pressure, and shock symptoms</t>
  </si>
  <si>
    <t>Diabetes Insipidus affects approximately 1 in 25,000 people in the USA; septic shock has an incidence of about 3 per 1,000 hospitalized patients</t>
  </si>
  <si>
    <t>May be significantly impaired in uncontrolled Diabetes Insipidus due to persistent thirst and urination disruptions; improved quality of life when managed effectively</t>
  </si>
  <si>
    <t>Effective in reducing urine output in Diabetes Insipidus; beneficial in managing blood pressure during septic shock with proper dosing</t>
  </si>
  <si>
    <t>Generally safe when administered appropriately; contraindications in patients with certain heart conditions and renal failure</t>
  </si>
  <si>
    <t>Common events include headache, abdominal cramps, and nausea; potential severe events include cardiovascular changes (hypertension, bradycardia) and fluid overload</t>
  </si>
  <si>
    <t>$1,500 - $3,000 depending on dosing and frequency of administration</t>
  </si>
  <si>
    <t>Primarily adults, but can be used in pediatric populations for specific indications</t>
  </si>
  <si>
    <t>No significant gender predisposition, but the incidence might vary based on underlying risk factors</t>
  </si>
  <si>
    <t>Synthetic hormone (vasopressin analog)</t>
  </si>
  <si>
    <t>ESMOLOL HCL 10MG/ML INJ 250ML PREMIX BAG</t>
  </si>
  <si>
    <t>Paroxysmal Supraventricular Tachycardia (PSVT)</t>
  </si>
  <si>
    <t>Rapid heartbeat, palpitations, dizziness, chest pain, shortness of breath, fainting</t>
  </si>
  <si>
    <t>Approximately 2-3% of the population has SVT at some point in their lives; atrial fibrillation affects about 2.7 million people in the USA.</t>
  </si>
  <si>
    <t>Quality of life can be significantly impacted by episodes of tachycardia due to symptoms and anxiety about potential triggers; however, effective management usually improves overall quality of life.</t>
  </si>
  <si>
    <t>Esmolol is effective in reducing heart rate and managing acute situations; specific efficacy rates vary depending on the underlying condition and patient population, with rapid control seen in many cases.</t>
  </si>
  <si>
    <t>Esmolol is generally safe when monitored appropriately; it has a short half-life allowing for rapid titration and control.</t>
  </si>
  <si>
    <t>Common adverse events include hypotension, bradycardia, dizziness, and fatigue; serious events can include severe hypotension and heart block.</t>
  </si>
  <si>
    <t>The estimated annual costs for patients receiving esmolol in a hospital setting can vary widely, averaging around $10,000 to $40,000 depending on the duration of therapy and healthcare settings.</t>
  </si>
  <si>
    <t>Generally used in adults, but can be applied in pediatric populations under careful medical supervision.</t>
  </si>
  <si>
    <t>Used across all genders, but prevalence of conditions treated (like atrial fibrillation) may be higher in older males.</t>
  </si>
  <si>
    <t>Small molecule, beta-adrenergic antagonist.</t>
  </si>
  <si>
    <t>BREVIBLOC DOUBLE STRENGTH 2000MG PREMIX INJ</t>
  </si>
  <si>
    <t>Rapid heartbeat, palpitations, dizziness, lightheadedness, chest pain, and in severe cases, syncope (fainting)</t>
  </si>
  <si>
    <t>Approximately 1-2% of the population in the USA is affected by SVT at some point in their lives</t>
  </si>
  <si>
    <t>Quality of life can be significantly affected during episodes of tachycardia, but effective management can improve daily living and reduce anxiety related to episodes</t>
  </si>
  <si>
    <t>Effective in the rapid control of heart rate during SVT episodes, with onset of action typically within minutes</t>
  </si>
  <si>
    <t>Generally considered safe when used as directed; continuous monitoring is recommended during administration due to potential cardiovascular effects</t>
  </si>
  <si>
    <t>Common adverse events include hypotension, bradycardia, headache, nausea, and dizziness</t>
  </si>
  <si>
    <t>Cost can vary widely by hospital/setting; average hospital cost for infusion may range from $1,500 to $3,000 depending on setting and duration of therapy</t>
  </si>
  <si>
    <t>Primarily adults, but can occur in adolescents; no restrictions on age groups for medical use</t>
  </si>
  <si>
    <t>Both males and females are affected, with some studies suggesting a slight female predominance</t>
  </si>
  <si>
    <t>Small molecule (Brevibloc is an injectable formulation of esmolol, which is a beta-blocker)</t>
  </si>
  <si>
    <t>BREVIBLOC 10MG/ML ISOTONIC INJ</t>
  </si>
  <si>
    <t>Rapid heartbeat, palpitations, dizziness, shortness of breath, chest pain</t>
  </si>
  <si>
    <t>Approximately 2-3% of the population in the USA experience SVT at some point in their lives</t>
  </si>
  <si>
    <t>Moderate to high impact during episodes, can cause anxiety and limitations in physical activity</t>
  </si>
  <si>
    <t>Approximately 80-90% effective in converting SVT to normal sinus rhythm</t>
  </si>
  <si>
    <t>Generally considered safe when used appropriately; contraindications include patients with certain heart conditions</t>
  </si>
  <si>
    <t>Common adverse events include hypotension, bradycardia, dizziness, and nausea</t>
  </si>
  <si>
    <t>Estimated average cost of $2,000 (total costs can vary based on treatment duration and healthcare facility)</t>
  </si>
  <si>
    <t>Primarily adults (25-65 years), but can occur in younger individuals and older adults</t>
  </si>
  <si>
    <t>Slightly more common in females than males (about 1.5:1 ratio)</t>
  </si>
  <si>
    <t>Small molecule (antiarrhythmic agent)</t>
  </si>
  <si>
    <t>ESMOLOL HCL 10MG/ML INJ</t>
  </si>
  <si>
    <t>Palpitations, dizziness, shortness of breath, chest pain, fainting</t>
  </si>
  <si>
    <t>Approximately 0.5% of the population in the USA experiences SVT annually</t>
  </si>
  <si>
    <t>Can significantly impact quality of life, leading to anxiety and decreased physical activity due to symptom episodes</t>
  </si>
  <si>
    <t>Generally effective in controlling heart rate, with rapid onset and duration of action; beneficial for acute management</t>
  </si>
  <si>
    <t>Generally considered safe when used as directed; requires monitoring in certain populations (e.g., those with severe heart failure)</t>
  </si>
  <si>
    <t>Hypotension, bradycardia, dizziness, nausea, headache, and potential allergic reactions</t>
  </si>
  <si>
    <t>Approx. $1,200 to $3,000, depending on frequency of administration and treatment setting</t>
  </si>
  <si>
    <t>Adults; can be used in pediatric populations under careful medical supervision</t>
  </si>
  <si>
    <t>Both genders are equally affected by SVT</t>
  </si>
  <si>
    <t>Small molecule intravenously administered drug (?-adrenergic blocker)</t>
  </si>
  <si>
    <t>TRANSDERM SCOP 0.33MG/24HRS TDS</t>
  </si>
  <si>
    <t>Nausea, vomiting, dizziness, sweating, pale skin, sensitivity to motion</t>
  </si>
  <si>
    <t>Approximately 10-30% of the population experiences motion sickness at some point in their lives in the USA.</t>
  </si>
  <si>
    <t>Moderate impact; symptoms can significantly disrupt daily activities and travel experiences.</t>
  </si>
  <si>
    <t>Clinical trials show the efficacy of Transderm Scop in preventing nausea and vomiting associated with motion sickness in approximately 60-90% of patients.</t>
  </si>
  <si>
    <t>Generally considered safe with proper use; however, individual response may vary.</t>
  </si>
  <si>
    <t>Commonly reported adverse events include dry mouth, drowsiness, blurred vision, and dizziness.</t>
  </si>
  <si>
    <t>Approximately $300 - $500 depending on frequency of use and insurance coverage.</t>
  </si>
  <si>
    <t>Typically recommended for adults and children over 10 years of age.</t>
  </si>
  <si>
    <t>No significant gender differences in efficacy or side effects reported.</t>
  </si>
  <si>
    <t>PROTOPAM CHLORIDE 1GM INJ SDV</t>
  </si>
  <si>
    <t>Organophosphate Poisoning</t>
  </si>
  <si>
    <t>Muscle twitching, respiratory distress, excessive salivation, sweating, diarrhea, nausea, vomiting, miosis (constricted pupils), confusion, seizures</t>
  </si>
  <si>
    <t>Approximately 3,000 cases of organophosphate poisoning reported annually in the USA</t>
  </si>
  <si>
    <t>Varies depending on the severity of poisoning; some may recover fully, while others may suffer lasting neurologic effects</t>
  </si>
  <si>
    <t>High efficacy in reversing the effects of organophosphate poisoning when administered promptly</t>
  </si>
  <si>
    <t>Generally safe when used according to guidelines, but caution is necessary in specific populations</t>
  </si>
  <si>
    <t>Tachycardia, hypertension, headache, dizziness, and muscle cramps</t>
  </si>
  <si>
    <t>Approximately $500 - $2,000 depending on treatment duration and complexity</t>
  </si>
  <si>
    <t>All age groups; however, the elderly and children may be at higher risk for severe poisoning</t>
  </si>
  <si>
    <t>No significant gender preference; both males and females are equally affected</t>
  </si>
  <si>
    <t>Antidote (small molecule)</t>
  </si>
  <si>
    <t>VILTEPSO 50MG/ML INJ,SOLN</t>
  </si>
  <si>
    <t>Progressive muscle weakness, muscle degeneration, difficulty walking, frequent falls, delayed motor milestones, respiratory issues, and eventual loss of ambulation.</t>
  </si>
  <si>
    <t>Approximately 1 in 3,500 male births in the USA.</t>
  </si>
  <si>
    <t>Significantly affected due to progressive physical limitations; dependence on caregivers increases with disease progression.</t>
  </si>
  <si>
    <t>Clinical trials have shown improved functional outcomes in treated patients, particularly in terms of walking ability and muscle function, with efficacy rates varying based on the specific endpoints evaluated.</t>
  </si>
  <si>
    <t>Generally well-tolerated, but can vary among individuals; continuous monitoring is advisable.</t>
  </si>
  <si>
    <t>Possible side effects include injection site reactions, headache, nausea, and potential for hepatic enzyme elevations.</t>
  </si>
  <si>
    <t>Estimated between $300,000 to $700,000 per year depending on treatment setting and patient needs.</t>
  </si>
  <si>
    <t>Primarily affects males, symptoms typically present between ages 2 to 6.</t>
  </si>
  <si>
    <t>Predominantly affects males, with a very small number of female cases due to X-linked genetic inheritance.</t>
  </si>
  <si>
    <t>Gene therapy (exon-skipping therapy targeting specific mutations in the dystrophin gene).</t>
  </si>
  <si>
    <t>CYSTADANE 1GM/1.7GM</t>
  </si>
  <si>
    <t>Homocystinuria</t>
  </si>
  <si>
    <t>Developmental delays, intellectual disability, cardiovascular disease, skeletal abnormalities, eye disorders (such as lens dislocation), and thrombosis.</t>
  </si>
  <si>
    <t>Approximately 1 in 200,000 to 1 in 300,000 individuals in the USA.</t>
  </si>
  <si>
    <t>Quality of life can be significantly impacted by physical and cognitive symptoms, but effective management can improve outcomes.</t>
  </si>
  <si>
    <t>CYSTADANE (betaine anhydrous) is effective in lowering homocysteine levels in patients with homocystinuria, improving clinical outcomes.</t>
  </si>
  <si>
    <t>Generally well-tolerated; safety data indicate a low incidence of serious adverse effects when used as directed.</t>
  </si>
  <si>
    <t>Common adverse events include nausea, abdominal discomfort, and diarrhea.</t>
  </si>
  <si>
    <t>Approximately $80,000 to $100,000 per year, depending on individual dosing and pharmacy costs.</t>
  </si>
  <si>
    <t>Primarily prescribed for children and adults with homocystinuria, typically diagnosed in infancy or early childhood.</t>
  </si>
  <si>
    <t>No specific gender predisposition; affects both males and females equally.</t>
  </si>
  <si>
    <t>Small molecule (nutritional supplement that acts to lower homocysteine levels).</t>
  </si>
  <si>
    <t>NEOPROFEN</t>
  </si>
  <si>
    <t>Patent Ductus Arteriosus (PDA)</t>
  </si>
  <si>
    <t>Often asymptomatic but may include difficulty breathing, rapid heart rate, and poor feeding in infants</t>
  </si>
  <si>
    <t>Approximately 1 in 2,000 live births in the USA</t>
  </si>
  <si>
    <t>Can significantly improve quality of life by closing the ductus arteriosus, allowing for better circulation</t>
  </si>
  <si>
    <t>High efficacy in closing PDA, with reported closure rates greater than 80%</t>
  </si>
  <si>
    <t>Generally considered safe when monitored; side effects are manageable</t>
  </si>
  <si>
    <t>Common adverse events include gastrointestinal issues, renal impairment, and potential bleeding complications</t>
  </si>
  <si>
    <t>Approximately $60,000 to $100,000, depending on the treatment regimen and hospital costs</t>
  </si>
  <si>
    <t>Primarily used in premature infants and newborns</t>
  </si>
  <si>
    <t>No gender-specific preferences; used for both males and females</t>
  </si>
  <si>
    <t>Nonsteroidal anti-inflammatory drug (NSAID)</t>
  </si>
  <si>
    <t>CYSTADROPS 0.37% SOLN,OPH</t>
  </si>
  <si>
    <t>Growth retardation, renal failure, ocular symptoms, photophobia, corneal deposits, kidney damage, and potential organ damage.</t>
  </si>
  <si>
    <t>Approximately 1 in 100,000 individuals in the USA; around 1,500 affected individuals.</t>
  </si>
  <si>
    <t>Significantly impacted due to chronic health issues, recurrent hospital visits, and the need for lifelong treatment.</t>
  </si>
  <si>
    <t>80% (Cystadrops effectively reduces corneal deposits and alleviates ocular symptoms in patients with cystinosis.)</t>
  </si>
  <si>
    <t>Generally considered safe with appropriate use under medical supervision.</t>
  </si>
  <si>
    <t>Potential side effects include irritation, redness, and discomfort in the eyes; allergic reactions can occur but are rare.</t>
  </si>
  <si>
    <t>Approximately $5,000 to $10,000 per year.</t>
  </si>
  <si>
    <t>Used in all age groups, including children and adults.</t>
  </si>
  <si>
    <t>Ophthalmic solution (specifically designed for topical administration in the eye).</t>
  </si>
  <si>
    <t>VALSTAR VIAL</t>
  </si>
  <si>
    <t>Blood in urine, frequent urination, pain during urination, pelvic pain, back pain</t>
  </si>
  <si>
    <t>Approximately 55,000 new cases annually in the USA</t>
  </si>
  <si>
    <t>Varies; many patients experience significant impact on daily activities and emotional well-being</t>
  </si>
  <si>
    <t>60% (response rate in superficial bladder cancer)</t>
  </si>
  <si>
    <t>Generally well tolerated, but safety monitoring is required due to potential complications</t>
  </si>
  <si>
    <t>Commonly reported: bladder irritation, urinary tract infection, hematuria, discomfort at injection site</t>
  </si>
  <si>
    <t>Approximately $100,000 (depending on treatment regimen)</t>
  </si>
  <si>
    <t>Primarily adults aged 50 and older</t>
  </si>
  <si>
    <t>More common in men, with a male to female ratio of about 3:1</t>
  </si>
  <si>
    <t>Oncological therapeutic (intravesical chemotherapy)</t>
  </si>
  <si>
    <t>PALFORZIA 3MG</t>
  </si>
  <si>
    <t>Peanut Allergy</t>
  </si>
  <si>
    <t>Symptoms of peanut allergy can include hives, swelling, difficulty breathing, wheezing, stomach pain, nausea, vomiting, and in severe cases, anaphylaxis.</t>
  </si>
  <si>
    <t>Approximately 1-2% of the US population is affected by peanut allergies, with higher prevalence in children.</t>
  </si>
  <si>
    <t>Quality of life can be significantly impacted by peanut allergies due to dietary restrictions and anxiety surrounding accidental exposure.</t>
  </si>
  <si>
    <t>Clinical studies indicate that PALFORZIA can desensitize patients to peanuts, with efficacy rates around 60% in achieving a sustained reaction-free dose upon exposure.</t>
  </si>
  <si>
    <t>PALFORZIA is generally well-tolerated; however, it may cause allergic reactions, with most occurring within the first few doses during up-dosing.</t>
  </si>
  <si>
    <t>Common adverse events include throat irritation, stomach pain, nausea, oral pruritus, and allergic reactions, including anaphylaxis in rare cases.</t>
  </si>
  <si>
    <t>The estimated annual therapy costs for PALFORZIA can range from $6,000 to $12,000 depending on dosage and health insurance coverage.</t>
  </si>
  <si>
    <t>Indicated for patients aged 4-17 years, but may be used in adults under certain circumstances as part of treatment.</t>
  </si>
  <si>
    <t>Peanut allergies affect both males and females, though some studies indicate a slightly higher prevalence in males during childhood.</t>
  </si>
  <si>
    <t>Biologics (specifically, an oral immunotherapy).</t>
  </si>
  <si>
    <t>PALFORZIA 6MG</t>
  </si>
  <si>
    <t>Severe allergic reactions (anaphylaxis), hives, difficulty breathing, gastrointestinal symptoms (nausea, vomiting), oral itching or swelling</t>
  </si>
  <si>
    <t>Approximately 1-2% of children in the USA experience peanut allergies, with some studies indicating rising prevalence among both children and adults.</t>
  </si>
  <si>
    <t>Peanut allergies can significantly impact quality of life, leading to anxiety and dietary restrictions, affecting social interactions and daily activities.</t>
  </si>
  <si>
    <t>Clinical trials have shown that PALFORZIA can reduce the risk of severe allergic reactions to peanuts in patients, resulting in increased tolerance to peanut exposure.</t>
  </si>
  <si>
    <t>Generally considered safe; however, it is recommended that patients be monitored for allergic reactions during initiation of treatment.</t>
  </si>
  <si>
    <t>Common adverse events include gastrointestinal symptoms (abdominal pain, nausea) and specific allergic reactions (hives, eczema), with severe reactions being rare but possible.</t>
  </si>
  <si>
    <t>Approximately $4,500 to $6,000 per year, depending on insurance coverage and other factors.</t>
  </si>
  <si>
    <t>Approved for ages 4 to 17 years (and can be used in adults off-label).</t>
  </si>
  <si>
    <t>Affects both males and females, with some studies suggesting a higher prevalence in males during childhood.</t>
  </si>
  <si>
    <t>Allergen immunotherapy (specifically a food allergen therapy).</t>
  </si>
  <si>
    <t>PALFORZIA 12MG</t>
  </si>
  <si>
    <t>Symptoms of a peanut allergy can include hives, swelling, abdominal pain, throat tightness, difficulty breathing, or, in severe cases, anaphylaxis.</t>
  </si>
  <si>
    <t>Peanut allergy affects approximately 1.6% of children and 0.6% of adults in the USA.</t>
  </si>
  <si>
    <t>Peanut allergy can significantly impact quality of life due to the need for strict avoidance of peanuts, anxiety about accidental exposure, and dietary restrictions.</t>
  </si>
  <si>
    <t>In clinical studies, Palforzia has shown efficacy in reducing the incidence of allergic reactions to peanuts among individuals who undergo treatment, with nearly 67% of patients achieving desensitization when appropriately dosed.</t>
  </si>
  <si>
    <t>Palforzia is considered safe for patients with peanut allergies who meet the criteria for treatment, although it should only be administered under medical supervision.</t>
  </si>
  <si>
    <t>Common adverse events include gastrointestinal symptoms (e.g., abdominal pain, vomiting) and allergic reactions (e.g., hives, itching), with some patients experiencing anaphylaxis.</t>
  </si>
  <si>
    <t>The estimated annual therapy costs for Palforzia can range from $4,500 to $10,000, depending on insurance coverage and patient needs.</t>
  </si>
  <si>
    <t>Palforzia is approved for use in individuals aged 4 to 17 years, with potential for adult use in future studies.</t>
  </si>
  <si>
    <t>Peanut allergies can affect individuals of any gender, with no significant gender predominance reported.</t>
  </si>
  <si>
    <t>Palforzia is classified as an oral immunotherapy product (a type of biologic therapy) designed for the management of peanut allergies.</t>
  </si>
  <si>
    <t>PALFORZIA 20MG</t>
  </si>
  <si>
    <t>Symptoms can include hives, swelling, abdominal pain, difficulty breathing, anaphylaxis.</t>
  </si>
  <si>
    <t>Approximately 1-2% of the population in the USA has a peanut allergy.</t>
  </si>
  <si>
    <t>Peanut allergies can significantly impact quality of life, affecting social interactions, diet, and leading to anxiety about accidental exposures.</t>
  </si>
  <si>
    <t>Clinical trials indicate that PALFORZIA can reduce the likelihood of severe allergic reactions to peanuts by desensitizing patients; efficacy in clinical studies estimated around 67%.</t>
  </si>
  <si>
    <t>Generally well-tolerated but requires careful monitoring. Patients may experience some allergic reactions during treatment.</t>
  </si>
  <si>
    <t>Common adverse events include gastrointestinal symptoms (nausea, vomiting), oral pruritus, and respiratory symptoms (nasopharyngitis, cough).</t>
  </si>
  <si>
    <t>Estimated at approximately $6,000 to $10,000 per year, depending on insurance coverage and dosages.</t>
  </si>
  <si>
    <t>Approved for patients aged 4 to 17 years, with ongoing studies for adult populations.</t>
  </si>
  <si>
    <t>No significant gender preference; peanut allergies occur equally among males and females.</t>
  </si>
  <si>
    <t>Small molecules (immunotherapy).</t>
  </si>
  <si>
    <t>PALFORZIA 40MG</t>
  </si>
  <si>
    <t>Allergic reaction symptoms can include hives, swelling, stomach pain, difficulty breathing, and anaphylaxis in severe cases.</t>
  </si>
  <si>
    <t>Approximately 1.5 million children and adults in the USA (about 1-2% of the population) have a peanut allergy.</t>
  </si>
  <si>
    <t>Peanut allergies can significantly impact daily activities, social interactions, and mental health, leading to anxiety and stress about potential exposure to peanuts.</t>
  </si>
  <si>
    <t>In clinical studies, Palforzia has been shown to desensitize approximately 67% of patients to a daily dose of 600 mg of peanut protein.</t>
  </si>
  <si>
    <t>Palforzia is generally well tolerated, but it's essential to monitor patients for potential allergic reactions during the desensitization process.</t>
  </si>
  <si>
    <t>Common adverse events include abdominal pain, nausea, vomiting, oral and throat itching, and potential for anaphylaxis.</t>
  </si>
  <si>
    <t>Estimated annual therapy costs can range from $5,000 to $10,000, depending on the treatment regimen and insurance coverage.</t>
  </si>
  <si>
    <t>Approved for use in patients aged 4-17 years, but may be considered for adults under certain circumstances.</t>
  </si>
  <si>
    <t>Peanut allergies can affect both genders equally.</t>
  </si>
  <si>
    <t>Palforzia is an allergenic extract used in oral immunotherapy.</t>
  </si>
  <si>
    <t>PALFORZIA 80MG</t>
  </si>
  <si>
    <t>Symptoms can include hives, swelling of the face or lips, difficulty breathing, gastrointestinal symptoms like nausea or vomiting, and in severe cases, anaphylaxis.</t>
  </si>
  <si>
    <t>Approximately 2% of children in the USA have a peanut allergy, and it is one of the most common food allergies.</t>
  </si>
  <si>
    <t>Peanut allergies can significantly impact quality of life, causing anxiety around food choices, social situations, and risk of severe allergic reactions.</t>
  </si>
  <si>
    <t>PALFORZIA has been shown to be effective in increasing the tolerance to peanuts in individuals with peanut allergy, reducing the severity of reactions to accidental exposure.</t>
  </si>
  <si>
    <t>Generally well-tolerated, but risks of allergic reactions exist; patients are monitored during administration of the drug.</t>
  </si>
  <si>
    <t>Common adverse events include abdominal pain, nausea, vomiting, and allergic reactions like itching or swelling.</t>
  </si>
  <si>
    <t>Estimated at $4,000 to $6,000 per year, depending on insurance coverage and management costs.</t>
  </si>
  <si>
    <t>Approved for ages 4 to 17 years for use in children and adolescents.</t>
  </si>
  <si>
    <t>Peanut allergy affects both genders equally, with a slight male predominance in young children.</t>
  </si>
  <si>
    <t>Small molecule (oral immunotherapy).</t>
  </si>
  <si>
    <t>PALFORZIA 120MG</t>
  </si>
  <si>
    <t>Skin reactions (hives, redness), digestive issues (stomach pain, nausea), respiratory problems (nasal congestion, difficulty breathing), and potentially anaphylaxis.</t>
  </si>
  <si>
    <t>Approximately 1.6% of the U.S. population.</t>
  </si>
  <si>
    <t>Peanut allergies can significantly impact daily activities, social interactions, and overall quality of life due to the need for constant vigilance and risk of severe reactions.</t>
  </si>
  <si>
    <t>Clinical studies demonstrate that PALFORZIA is effective in increasing the threshold for tolerating accidental exposure to peanuts in individuals with peanut allergy.</t>
  </si>
  <si>
    <t>Generally well-tolerated, but the risk of anaphylaxis necessitates careful patient selection and monitoring.</t>
  </si>
  <si>
    <t>Common adverse events include allergic reactions, gastrointestinal symptoms, respiratory symptoms, and for some, more serious reactions like anaphylaxis.</t>
  </si>
  <si>
    <t>Estimated annual costs range between $10,000 to $20,000 depending on the healthcare setting and insurance coverage.</t>
  </si>
  <si>
    <t>Approved for individuals aged 4 to 17 years old, with extended use in adults being explored.</t>
  </si>
  <si>
    <t>No significant gender differences noted in prevalence or treatment response.</t>
  </si>
  <si>
    <t>Oral immunotherapy.</t>
  </si>
  <si>
    <t>PALFORZIA 160MG</t>
  </si>
  <si>
    <t>Symptoms can include hives, stomach cramps, nausea, vomiting, difficulty breathing, and in severe cases, anaphylaxis (a life-threatening reaction).</t>
  </si>
  <si>
    <t>Peanut allergy can significantly impact quality of life due to avoidance strategies, anxiety about accidental exposure, and restrictions in diet and activities.</t>
  </si>
  <si>
    <t>Clinical studies have shown that PALFORZIA significantly decreases the risk of severe allergic reactions to peanuts in individuals who are peanut allergic, with efficacy rates around 67% in achieving desensitization.</t>
  </si>
  <si>
    <t>Generally well-tolerated, but some patients may experience allergic reactions during treatment.</t>
  </si>
  <si>
    <t>Common adverse events include abdominal discomfort, oropharyngeal pruritus, vomiting, and allergic reactions such as anaphylaxis.</t>
  </si>
  <si>
    <t>The estimated annual therapy costs for PALFORZIA range from $4,200 to $6,000 or more, depending on insurance coverage and patient adherence.</t>
  </si>
  <si>
    <t>PALFORZIA is approved for use in individuals aged 4-17 years, but can be used in adults as well.</t>
  </si>
  <si>
    <t>Peanut allergy affects both genders equally, but some research indicates varying prevalence rates may exist between males and females.</t>
  </si>
  <si>
    <t>PALFORZIA is classified as an immunotherapy (specifically a biologic therapy) that involves oral desensitization to peanuts.</t>
  </si>
  <si>
    <t>PALFORZIA 200MG</t>
  </si>
  <si>
    <t>Symptoms of peanut allergy can include hives, respiratory issues, gastrointestinal symptoms, and anaphylaxis in severe cases.</t>
  </si>
  <si>
    <t>Approximately 1-2% of the population in the USA is affected by peanut allergy.</t>
  </si>
  <si>
    <t>Peanut allergy can significantly impair quality of life due to the need for constant vigilance to avoid exposure, as well as anxiety associated with potential allergic reactions.</t>
  </si>
  <si>
    <t>Studies show that PALFORZIA increases the threshold for the amount of peanut protein that can be tolerated, improving overall control of peanut allergy symptoms.</t>
  </si>
  <si>
    <t>PALFORZIA is generally well-tolerated, but it is essential to avoid serious allergic reactions during therapy; it should be used under the supervision of a healthcare provider.</t>
  </si>
  <si>
    <t>Common adverse events include gastrointestinal symptoms (nausea, vomiting, diarrhea), respiratory symptoms (cough, wheezing), and skin reactions (hives).</t>
  </si>
  <si>
    <t>The annual cost of PALFORZIA therapy can range from $3,000 to $50,000, depending on the dosing regimen and health insurance coverage.</t>
  </si>
  <si>
    <t>Approved for individuals ages 4 to 17 years old initially, but can also be prescribed for adults.</t>
  </si>
  <si>
    <t>Peanut allergy affects both genders equally, with no significant difference in prevalence rates.</t>
  </si>
  <si>
    <t>Small molecules (essentially a biologic oral immunotherapy).</t>
  </si>
  <si>
    <t>PALFORZIA 240MG</t>
  </si>
  <si>
    <t>Skin reactions (hives, redness, swelling), gastrointestinal issues (stomach pain, vomiting), respiratory problems (nasal congestion, trouble breathing), and in severe cases, anaphylaxis.</t>
  </si>
  <si>
    <t>Approximately 1-2% of the U.S. population, with a higher prevalence in children.</t>
  </si>
  <si>
    <t>Peanut allergies can significantly affect daily living, including dietary restrictions and anxiety over potential exposure to allergens.</t>
  </si>
  <si>
    <t>Clinical studies suggest that PALFORZIA can reduce the incidence of severe allergic reactions to peanuts by desensitizing patients.</t>
  </si>
  <si>
    <t>Generally well-tolerated but requires monitoring due to the risk of allergic reactions, especially during dose escalation phases.</t>
  </si>
  <si>
    <t>Common adverse events include gastrointestinal symptoms (abdominal pain, vomiting), respiratory symptoms, and hives.</t>
  </si>
  <si>
    <t>Estimated annual costs can reach around $4,200-$5,000, depending on dosing and treatment protocols.</t>
  </si>
  <si>
    <t>Approved for use in children aged 4 to 17 and adults.</t>
  </si>
  <si>
    <t>No significant gender predisposition noted; peanut allergies affect both males and females equally.</t>
  </si>
  <si>
    <t>Oral immunotherapy product (small molecules).</t>
  </si>
  <si>
    <t>PALFORZIA 300MG</t>
  </si>
  <si>
    <t>Symptoms may include hives, swelling, difficulty breathing, gastrointestinal issues (nausea, vomiting), and anaphylaxis in severe cases.</t>
  </si>
  <si>
    <t>Approximately 1.6% of children and 0.6% of adults in the USA have a peanut allergy.</t>
  </si>
  <si>
    <t>Living with a peanut allergy impacts quality of life, leading to anxiety and restrictions in diet and activities for those affected.</t>
  </si>
  <si>
    <t>PALFORZIA has shown to significantly reduce the incidence of allergic reactions after consumption of peanuts, with efficacy rates in controlled studies approaching 67%.</t>
  </si>
  <si>
    <t>Generally well-tolerated; safety has been assessed in clinical trials with an acceptable side effect profile.</t>
  </si>
  <si>
    <t>Common adverse events include gastrointestinal disorders (like abdominal pain, nausea), respiratory symptoms, and increased allergic reactions.</t>
  </si>
  <si>
    <t>The annual cost of PALFORZIA therapy can range from $6,000 to $12,000 depending on insurance coverage and patient-specific factors.</t>
  </si>
  <si>
    <t>Approved for patients ages 4 to 17 years.</t>
  </si>
  <si>
    <t>Peanut allergy can affect both males and females, with a slight predominance in males during childhood.</t>
  </si>
  <si>
    <t>PALFORZIA is classified as an oral immunotherapy (OIT) product.</t>
  </si>
  <si>
    <t>PALFORZIA INITIAL DOSE</t>
  </si>
  <si>
    <t>Symptoms can include hives, swelling of lips and tongue, difficulty breathing, abdominal pain, and in severe cases, anaphylaxis.</t>
  </si>
  <si>
    <t>Approximately 2% of children in the USA are affected by peanut allergies.</t>
  </si>
  <si>
    <t>Peanut allergies can significantly affect quality of life, leading to anxiety, dietary restrictions, and avoidance of social situations.</t>
  </si>
  <si>
    <t>In clinical studies, PALFORZIA demonstrated a significant increase in the amount of peanut protein tolerated compared to placebo, with roughly 67% of patients reaching the maintenance dose level.</t>
  </si>
  <si>
    <t>Generally well-tolerated, but some patients may experience allergic reactions during up-dosing phases.</t>
  </si>
  <si>
    <t>Common adverse events include abdominal pain, nausea, vomiting, and oral pruritus.</t>
  </si>
  <si>
    <t>The estimated annual cost for PALFORZIA therapy is approximately $4,800 to $7,500.</t>
  </si>
  <si>
    <t>Approved for use in patients aged 4 to 17 years.</t>
  </si>
  <si>
    <t>Peanut allergies do not show a significant gender bias, affecting both males and females similarly.</t>
  </si>
  <si>
    <t>PALFORZIA is classified as an oral immunotherapy (OIT).</t>
  </si>
  <si>
    <t>FLECAINIDE ACETATE 50MG TAB</t>
  </si>
  <si>
    <t>Approximately 1-2% of the general population, with higher prevalence in older adults</t>
  </si>
  <si>
    <t>Variable; may improve with effective management but can cause significant anxiety and limitations in physical activity during episodes</t>
  </si>
  <si>
    <t>Approximately 60-80% effective in controlling arrhythmias in appropriate patients</t>
  </si>
  <si>
    <t>Generally well-tolerated; requires monitoring for proarrhythmia, especially in higher doses</t>
  </si>
  <si>
    <t>Common: dizziness, vision changes; Serious: arrhythmia, cardiac arrest in rare cases</t>
  </si>
  <si>
    <t>Approximately $300 - $700 depending on insurance coverage and pharmacy pricing</t>
  </si>
  <si>
    <t>Primarily adults (typically 18-75 years), but can be prescribed to select patients in pediatrics</t>
  </si>
  <si>
    <t>No significant gender differences in efficacy; however, women may experience different side effects or drug metabolism</t>
  </si>
  <si>
    <t>Class IC antiarrhythmic agent (small molecule)</t>
  </si>
  <si>
    <t>FLECAINIDE ACETATE 100MG TAB</t>
  </si>
  <si>
    <t>Palpitations, dizziness, shortness of breath, fatigue, chest pain, and/or fainting.</t>
  </si>
  <si>
    <t>Approximately 2% of the U.S. population has Atrial Fibrillation; higher prevalence in older adults.</t>
  </si>
  <si>
    <t>Patients with AF may experience significant impacts on quality of life due to symptoms and the fear of complications such as strokes.</t>
  </si>
  <si>
    <t>Flecainide is effective in the conversion of AF to normal sinus rhythm and in maintaining sinus rhythm. Studies show efficacy rates of 70-90% for conversion in some patients.</t>
  </si>
  <si>
    <t>Generally considered safe when used under appropriate conditions; regular monitoring is needed.</t>
  </si>
  <si>
    <t>Possible adverse events include dizziness, blurred vision, and serious events such as proarrhythmia, which can lead to lethal arrhythmias.</t>
  </si>
  <si>
    <t>Approximately $800 to $1,200 depending on health insurance coverage and patient-specific factors.</t>
  </si>
  <si>
    <t>Commonly used in adults, particularly those aged 40 years and older.</t>
  </si>
  <si>
    <t>No significant gender bias in prescribing; however, incidence may vary, with a higher prevalence in males.</t>
  </si>
  <si>
    <t>Antiarrhythmic drug (small molecule).</t>
  </si>
  <si>
    <t>ALPRAZOLAM INTENSOL</t>
  </si>
  <si>
    <t>Approximately 3% of the adult population in the USA suffers from GAD; Panic Disorder affects about 2-3% of adults.</t>
  </si>
  <si>
    <t>Patients with GAD/Panic Disorder often have lower quality of life due to persistent anxiety and its effects on daily functioning.</t>
  </si>
  <si>
    <t>Studies suggest that alprazolam can reduce anxiety symptoms in about 60-80% of patients in the short term.</t>
  </si>
  <si>
    <t>Generally considered safe for short-term use; however, there is a potential for dependence, especially with long-term use.</t>
  </si>
  <si>
    <t>Common adverse effects include drowsiness, dizziness, dry mouth, and memory impairment; serious adverse effects may include respiratory depression.</t>
  </si>
  <si>
    <t>Approximately $300-$1,200 per year, depending on dosage and insurance coverage.</t>
  </si>
  <si>
    <t>Primarily prescribed for adults, but may be used in adolescents with careful consideration.</t>
  </si>
  <si>
    <t>Affects both genders, with a slightly higher prevalence in women.</t>
  </si>
  <si>
    <t>DIAZEPAM INTENSOL</t>
  </si>
  <si>
    <t>Anxiety, agitation, muscle spasms, seizures, insomnia, tremors</t>
  </si>
  <si>
    <t>Approximately 19.1% of adults (46.6 million) experience anxiety disorders in the USA, while the overall prevalence of seizures is about 1.2% to 1.5% of the population; alcohol use disorder affects about 14.5 million adults annually.</t>
  </si>
  <si>
    <t>Can improve quality of life in patients with anxiety and related disorders, helping with symptoms and daily functioning, but long-term use can lead to dependency and reduced quality of life if misused.</t>
  </si>
  <si>
    <t>Effective in reducing anxiety symptoms in approximately 70-80% of users; beneficial for seizure control when used as a rescue medication.</t>
  </si>
  <si>
    <t>Generally considered safe when prescribed correctly; risk of dependency with prolonged use.</t>
  </si>
  <si>
    <t>Sedation, dizziness, weakness, confusion, respiratory depression, dependence, and withdrawal symptoms.</t>
  </si>
  <si>
    <t>Approximately $300 to $600 per year, depending on dosage and healthcare coverage.</t>
  </si>
  <si>
    <t>Most commonly prescribed for adults, although it may be utilized in certain cases for children and elderly patients under careful supervision.</t>
  </si>
  <si>
    <t>Prescribed to both males and females, with no significant gender difference in usage.</t>
  </si>
  <si>
    <t>Small molecule drug (benzodiazepine).</t>
  </si>
  <si>
    <t>LORAZEPAM INTENSOL</t>
  </si>
  <si>
    <t>Excessive worry, restlessness, fatigue, irritability, difficulty concentrating, sleep disturbances, tremors, sweating, nausea</t>
  </si>
  <si>
    <t>Approximately 19.1% of adults experience anxiety disorders in a given year; insomnia affects about 30-35% of adults in the USA; alcohol use disorder affects 14.5 million adults annually.</t>
  </si>
  <si>
    <t>Significant improvement noted in patients with anxiety and insomnia upon effective treatment, but chronic conditions may persist, impacting overall well-being.</t>
  </si>
  <si>
    <t>Efficacious in reducing symptoms of anxiety, with rapid onset of action; often used in acute settings or for short-term treatment.</t>
  </si>
  <si>
    <t>Generally considered safe for short-term use; long-term use can lead to dependence; caution advised in geriatric populations and those with respiratory issues.</t>
  </si>
  <si>
    <t>Drowsiness, dizziness, confusion, sedation, impaired coordination; potential for tolerance and dependence with prolonged use.</t>
  </si>
  <si>
    <t>Approximately $500 - $1,000, depending on duration and dosage; costs can vary based on insurance coverage.</t>
  </si>
  <si>
    <t>Adults, commonly prescribed for individuals aged 18-65 years.</t>
  </si>
  <si>
    <t>More frequently prescribed to women, particularly for anxiety and insomnia-related conditions.</t>
  </si>
  <si>
    <t>Small molecules (Benzodiazepines).</t>
  </si>
  <si>
    <t>MECLIZINE HCL 25MG TAB</t>
  </si>
  <si>
    <t>Dizziness, nausea, vomiting, loss of balance, and feeling faint.</t>
  </si>
  <si>
    <t>Approximately 10-30% of the population experiences motion sickness at some point in their lives.</t>
  </si>
  <si>
    <t>Motion sickness can significantly impair quality of life, particularly in individuals who travel frequently or engage in activities prone to triggering symptoms.</t>
  </si>
  <si>
    <t>Meclizine is effective in preventing and treating symptoms of motion sickness in approximately 60-80% of patients when taken before travel.</t>
  </si>
  <si>
    <t>Generally considered safe when used as directed, but may cause sedation and other side effects in some individuals.</t>
  </si>
  <si>
    <t>Common adverse events include drowsiness, dry mouth, fatigue, and blurred vision. Rarely, it can lead to more serious effects such as confusion or difficulty urinating.</t>
  </si>
  <si>
    <t>Approximately $50-100 depending on the pharmacy and insurance coverage.</t>
  </si>
  <si>
    <t>Adults and children over 12 years old.</t>
  </si>
  <si>
    <t>No significant gender preference; affects both males and females equally.</t>
  </si>
  <si>
    <t>Small molecule antihistamine (H1 receptor antagonist).</t>
  </si>
  <si>
    <t>VEOPOZ 200MG/ML INJ,SOLN</t>
  </si>
  <si>
    <t>Fatigue, fever, easy bruising or bleeding, weight loss, bone pain, frequent infections, pale skin.</t>
  </si>
  <si>
    <t>Approximately 5,000 new cases per year in the USA, with an incidence of about 2.5 per 100,000 people for ALL, more common in children.</t>
  </si>
  <si>
    <t>Quality of life can vary significantly; treatment can cause distress and impact daily activities, but successful outcomes improve quality in the long term.</t>
  </si>
  <si>
    <t>VEOPOZ has shown efficacy rates of 90% or higher in treating eligible patients with acute lymphoblastic leukemia in combination therapy.</t>
  </si>
  <si>
    <t>Generally considered safe with appropriate monitoring; specific protocols in place to manage risks.</t>
  </si>
  <si>
    <t>Common adverse events include cytopenias, infections, liver dysfunction, fever, and allergic reactions. Serious events can include severe infections and hemorrhagic events.</t>
  </si>
  <si>
    <t>Estimated annual costs for therapy can range between $200,000 to $500,000 depending on treatment regimens and insurance coverage.</t>
  </si>
  <si>
    <t>Primarily used in children and young adults, though adults can also be treated.</t>
  </si>
  <si>
    <t>Affects both genders but slightly more common in males.</t>
  </si>
  <si>
    <t>Monoclonal antibody (specific treatment for CD19-positive B-cell lineage lymphoblastic leukemia).</t>
  </si>
  <si>
    <t>PALYNZIQ 2.5MG/0.5ML INJ,SYR,0.5ML</t>
  </si>
  <si>
    <t>Intellectual disability, developmental delays, behavioral problems, skin rashes, and seizures if untreated.</t>
  </si>
  <si>
    <t>Approximately 1 in 10,000 to 15,000 live births in the USA.</t>
  </si>
  <si>
    <t>Varies significantly; untreated PKU can lead to severe cognitive impairment, while effective treatment helps improve quality of life.</t>
  </si>
  <si>
    <t>Clinical trials have shown significant reductions in blood phenylalanine levels; efficacy measured by the ability to maintain blood levels within target ranges.</t>
  </si>
  <si>
    <t>Generally well-tolerated; long-term safety data still being collected.</t>
  </si>
  <si>
    <t>Common adverse events include injection site reactions, headache, fatigue, and gastrointestinal symptoms.</t>
  </si>
  <si>
    <t>Approximately $300,000 to $500,000, depending on individual treatment plans and healthcare coverage.</t>
  </si>
  <si>
    <t>Approved for patients 16 years and older.</t>
  </si>
  <si>
    <t>No specific gender preference for treatment; PKU affects all genders equally.</t>
  </si>
  <si>
    <t>Small molecule (enzyme substitution therapy).</t>
  </si>
  <si>
    <t>VOXZOGO 0.4MG/VIL INJ</t>
  </si>
  <si>
    <t>Achondroplasia</t>
  </si>
  <si>
    <t>Short stature, disproportionate limb size, frequent ear infections, joint pain, and limited range of motion.</t>
  </si>
  <si>
    <t>Approximately 1 in 15,000 to 1 in 40,000 live births in the USA.</t>
  </si>
  <si>
    <t>Quality of life can be affected by physical limitations and associated health complications, though many individuals lead fulfilling lives with appropriate support.</t>
  </si>
  <si>
    <t>Clinical studies have shown significant improvement in growth rates in children treated with VOXZOGO.</t>
  </si>
  <si>
    <t>Generally well-tolerated but requires monitoring; long-term safety data is still being gathered.</t>
  </si>
  <si>
    <t>Common adverse events include injection site reactions, headaches, and fewer instances of respiratory infections.</t>
  </si>
  <si>
    <t>Approximately $320,000 to $450,000, depending on the individual's treatment plan.</t>
  </si>
  <si>
    <t>Primarily indicated for children aged 2 years and older.</t>
  </si>
  <si>
    <t>VOXZOGO 0.56MG/VIL INJ</t>
  </si>
  <si>
    <t>Short stature, disproportionate body structure, delayed motor milestones, joint pain, frequent ear infections, spinal stenosis.</t>
  </si>
  <si>
    <t>Approximately 1 in 25,000 births in the USA.</t>
  </si>
  <si>
    <t>Quality of life can be affected by physical limitations and social challenges. Many individuals lead fulfilling lives, but they may require ongoing support and medical care.</t>
  </si>
  <si>
    <t>Studies show VOXZOGO has demonstrated improvement in growth rates in children with achondroplasia, with statistically significant differences in height compared to placebo.</t>
  </si>
  <si>
    <t>Generally well-tolerated, with monitoring recommended. Long-term safety data is still being gathered.</t>
  </si>
  <si>
    <t>The most common adverse events include injection site reactions, fever, and rash.</t>
  </si>
  <si>
    <t>Approximately $300,000 depending on dosing and insurance coverages.</t>
  </si>
  <si>
    <t>Approved for use in children aged 2 years and older.</t>
  </si>
  <si>
    <t>Both genders are equally affected; however, treatment response can vary among individuals.</t>
  </si>
  <si>
    <t>VOXZOGO 1.2MG/VIL INJ</t>
  </si>
  <si>
    <t>Short stature, disproportionate limbs, spinal curvature, joint problems, delayed motor milestones, recurrent ear infections.</t>
  </si>
  <si>
    <t>Approximately 1 in 15,000 births in the USA.</t>
  </si>
  <si>
    <t>Varies; children may experience challenges in physical activities and social interactions, which can impact overall quality of life.</t>
  </si>
  <si>
    <t>Clinical studies have shown VOXZOGO can increase growth rates in children with achondroplasia, improving height outcomes.</t>
  </si>
  <si>
    <t>Generally well-tolerated; however, long-term data is still being collected to fully assess safety.</t>
  </si>
  <si>
    <t>Injection site reactions, nausea, elevated liver enzymes, and increased heart rate.</t>
  </si>
  <si>
    <t>Estimated at $300,000 to $350,000.</t>
  </si>
  <si>
    <t>Typically indicated for children aged 2 years and older.</t>
  </si>
  <si>
    <t>Both genders are affected equally by achondroplasia.</t>
  </si>
  <si>
    <t>Small molecule (recombinant human growth hormone).</t>
  </si>
  <si>
    <t>KUVAN 100MG TAB</t>
  </si>
  <si>
    <t>Intellectual disability, behavioral issues, seizures, skin rashes, musty odor in urine</t>
  </si>
  <si>
    <t>Approximately 1 in 10,000 to 1 in 15,000 births in the USA</t>
  </si>
  <si>
    <t>PKU can significantly impact quality of life due to dietary restrictions and related health concerns; however, effective management improves life quality.</t>
  </si>
  <si>
    <t>KUVAN (sapropterin dihydrochloride) can lower blood phenylalanine levels in some patients, with an efficacy reported in 20-30% of treated individuals.</t>
  </si>
  <si>
    <t>Generally considered safe; long-term data are favorable when monitored properly.</t>
  </si>
  <si>
    <t>Common adverse events include headache, gastrointestinal disturbances, and fatigue; serious adverse events are rare.</t>
  </si>
  <si>
    <t>The annual cost can vary widely, estimated between $25,000 to $50,000 depending on dietary management and monitoring.</t>
  </si>
  <si>
    <t>Patients of all ages, commonly diagnosed in infants.</t>
  </si>
  <si>
    <t>Small molecule (specifically a phenylalanine hydroxylase activator).</t>
  </si>
  <si>
    <t>KUVAN 100MG/PKT PWDR,OR</t>
  </si>
  <si>
    <t>Symptoms of PKU include intellectual disability, behavioral issues, seizures, skin rashes, and a musty odor in urine.</t>
  </si>
  <si>
    <t>PKU affects approximately 1 in 15,000 to 1 in 20,000 live births in the USA, with an estimated prevalence of about 0.01-0.02% of the population.</t>
  </si>
  <si>
    <t>Patients with PKU can experience significantly improved quality of life with appropriate dietary management and treatment; untreated PKU can lead to severe neurological deficits.</t>
  </si>
  <si>
    <t>Kuvan (sapropterin dihydrochloride) is effective in lowering blood phenylalanine levels in approximately 20-30% of patients with PKU when used in conjunction with dietary restrictions.</t>
  </si>
  <si>
    <t>Kuvan is considered safe for use, with a long history of clinical data supporting its safety profile.</t>
  </si>
  <si>
    <t>Common adverse events include headaches, gastrointestinal issues (such as nausea), fatigue, and upper respiratory tract infections.</t>
  </si>
  <si>
    <t>The annual therapy costs for Kuvan can range from $30,000 to $45,000 depending on the dose and patient-specific factors.</t>
  </si>
  <si>
    <t>Kuvan is approved for use in patients aged 1 year and older.</t>
  </si>
  <si>
    <t>There is no significant gender preference for the incidence of PKU; it affects both males and females equally.</t>
  </si>
  <si>
    <t>Kuvan is classified as a small molecule medication, specifically a phenylalanine hydroxylase (PAH) cofactor.</t>
  </si>
  <si>
    <t>KUVAN 500MG/PKT PWDR,OR</t>
  </si>
  <si>
    <t>Intellectual disability, behavioral problems, seizures, eczema, and musty body odor</t>
  </si>
  <si>
    <t>Approximately 1 in 10,000 to 1 in 15,000 live births in the USA (around 0.01% to 0.01%)</t>
  </si>
  <si>
    <t>Variable; significant improvement with dietary management and treatment, but challenges remain related to diet adherence</t>
  </si>
  <si>
    <t>Effective in lowering phenylalanine levels in patients with PKU when used with a low-phenylalanine diet</t>
  </si>
  <si>
    <t>Generally well-tolerated; side effects are rare but can include gastrointestinal disturbances</t>
  </si>
  <si>
    <t>Rare cases of headache, nausea, and abdominal pain</t>
  </si>
  <si>
    <t>Approximately $50,000 to $100,000</t>
  </si>
  <si>
    <t>Primarily pediatric patients, but can extend into adulthood</t>
  </si>
  <si>
    <t>Small molecules (specifically a phenylalanine hydroxylase cofactor replacement therapy)</t>
  </si>
  <si>
    <t>PALYNZIQ 20MG/ML INJ,SYR,1ML</t>
  </si>
  <si>
    <t>Intellectual disability, behavioral issues, seizures, skin rashes, musty or mousy odor in breath and skin, delayed development, and other neurological problems.</t>
  </si>
  <si>
    <t>PKU can significantly impact quality of life due to dietary restrictions and the need for ongoing management, but treatment can enhance quality of life by controlling phenylalanine levels.</t>
  </si>
  <si>
    <t>Clinical studies indicate that Palynziq effectively reduces blood phenylalanine levels in adults with PKU, and many patients experience improvement in dietary management.</t>
  </si>
  <si>
    <t>Generally considered safe; however, patients need to be monitored for adverse effects.</t>
  </si>
  <si>
    <t>Common adverse events include injection site reactions, headache, nausea, fatigue, and allergic reactions.</t>
  </si>
  <si>
    <t>Estimated annual therapy costs range from $50,000 to $150,000 depending on treatment regimen and insurance coverage.</t>
  </si>
  <si>
    <t>Approved for use in adults (18 years and older).</t>
  </si>
  <si>
    <t>Biologic agent (enzyme substitution therapy).</t>
  </si>
  <si>
    <t>PALYNZIQ 10MG/0.5ML INJ,SYR,0.5ML</t>
  </si>
  <si>
    <t>Developmental delays, intellectual disability, behavioral problems, seizures, skin rashes, musty odor in breath or urine</t>
  </si>
  <si>
    <t>Can be significantly affected if not treated, with better outcomes seen in those who adhere to dietary restrictions and treatment</t>
  </si>
  <si>
    <t>Efficacy rates of achieving phenylalanine (Phe) levels in the range of 120-360 µmol/L in about 40% of patients</t>
  </si>
  <si>
    <t>Generally well-tolerated; however, close monitoring of Phe levels is required</t>
  </si>
  <si>
    <t>Common adverse events include injection site reactions, headache, nausea, fatigue, and dizziness</t>
  </si>
  <si>
    <t>Approximately $200,000 to $300,000 depending on dosing and insurance coverage</t>
  </si>
  <si>
    <t>Approved for patients from age 16 and older</t>
  </si>
  <si>
    <t>Biologic therapy (Enzyme substitution therapy)</t>
  </si>
  <si>
    <t>PHENOXYBENZAMINE HCL 10MG CAP</t>
  </si>
  <si>
    <t>Pheochromocytoma</t>
  </si>
  <si>
    <t>Episodes of sweating, rapid heartbeat, high blood pressure, headaches, palpitations, anxiety, and flushing.</t>
  </si>
  <si>
    <t>Approximately 2-8 cases per million people per year in the USA.</t>
  </si>
  <si>
    <t>Significant improvement in quality of life can be observed when symptoms are managed effectively, allowing individuals to function normally.</t>
  </si>
  <si>
    <t>Highly effective for controlling symptoms associated with excess catecholamines, particularly in patients with pheochromocytoma or similar conditions.</t>
  </si>
  <si>
    <t>Generally safe; however, it is not without risks, and should be monitored.</t>
  </si>
  <si>
    <t>Common adverse events include hypotension, dizziness, nasal congestion, and fatigue. Serious events may include arrhythmias and orthostatic hypotension.</t>
  </si>
  <si>
    <t>Approximately $500-1500 annually, depending on the treatment regimen and insurance coverage.</t>
  </si>
  <si>
    <t>Primarily adults (most common in individuals aged 30-50).</t>
  </si>
  <si>
    <t>Occurs equally in both males and females, though some studies suggest a slightly higher prevalence in females.</t>
  </si>
  <si>
    <t>Small molecule antagonist (non-selective alpha-adrenergic antagonist).</t>
  </si>
  <si>
    <t>MEDROXYPROGESTERONE ACETATE 150MG/ML INJ,SUSP</t>
  </si>
  <si>
    <t>Endometrial Hyperplasia</t>
  </si>
  <si>
    <t>Irregular menstrual cycles, heavy bleeding, endometrial pain, symptoms of menopause, prevention of pregnancy</t>
  </si>
  <si>
    <t>Endometrial hyperplasia affects approximately 3-4% of women in the USA, with varying prevalence in different age groups. Hormonal contraceptive use is prevalent in about 60% of women of reproductive age.</t>
  </si>
  <si>
    <t>Improved quality of life for patients using it for symptom relief in menstrual disorders; however, side effects can negatively impact quality of life for some users.</t>
  </si>
  <si>
    <t>Generally considered effective in managing symptoms (up to 75% symptom improvement) and reducing the risk of endometrial cancer in patients with hyperplasia.</t>
  </si>
  <si>
    <t>Considered generally safe when used as directed, but risk of side effects and contraindications in certain populations (e.g., liver disease, history of thromboembolic disorders).</t>
  </si>
  <si>
    <t>Common adverse effects include weight gain, mood changes, headaches, nausea, and breast tenderness. Serious adverse events can include thromboembolism, stroke, and breast cancer (rare).</t>
  </si>
  <si>
    <t>Approximately $3,000 - $6,000 per year, depending on dosage, frequency, and insurance coverage.</t>
  </si>
  <si>
    <t>Primarily used in women of reproductive age (15 to 50 years) and older women (over 50) for hormone replacement therapy.</t>
  </si>
  <si>
    <t>Synthetic progestin (small molecules).</t>
  </si>
  <si>
    <t>18-50</t>
  </si>
  <si>
    <t>METRONIDAZOLE 0.75% TOPICAL CREAM</t>
  </si>
  <si>
    <t>Abnormal vaginal discharge, unpleasant odor, itching, burning sensation</t>
  </si>
  <si>
    <t>Approximately 29% of women in the reproductive age group in the USA experience bacterial vaginosis at some point in their lives.</t>
  </si>
  <si>
    <t>Can significantly impact quality of life due to discomfort and embarrassment associated with symptoms.</t>
  </si>
  <si>
    <t>80-90% effective in treating bacterial vaginosis when used as directed.</t>
  </si>
  <si>
    <t>Generally considered safe with low systemic absorption; however, caution is advised for patients with known hypersensitivity.</t>
  </si>
  <si>
    <t>Common adverse events may include local irritation, burning sensation, or allergic reactions; systemic effects are rare.</t>
  </si>
  <si>
    <t>Approximately $200-500 depending on insurance and frequency of use.</t>
  </si>
  <si>
    <t>Primarily used in women aged 18-50.</t>
  </si>
  <si>
    <t>Primarily prescribed for females.</t>
  </si>
  <si>
    <t>RELIEF DAY/NIGHT COLD/FLU KIT</t>
  </si>
  <si>
    <t>Cough, sore throat, runny or stuffy nose, fever, chills, body aches, fatigue, headaches</t>
  </si>
  <si>
    <t>Approximately 30-50 million cases of influenza annually in the USA; common cold affects about 1 billion colds per year</t>
  </si>
  <si>
    <t>Can significantly disrupt daily activities and social functioning</t>
  </si>
  <si>
    <t>Generally effective in providing symptomatic relief from cold and flu symptoms; varies by individual</t>
  </si>
  <si>
    <t>Generally considered safe when used as directed, but individuals with certain health conditions should consult healthcare providers</t>
  </si>
  <si>
    <t>Possible side effects include drowsiness, dizziness, gastrointestinal discomfort, allergic reactions</t>
  </si>
  <si>
    <t>Approximately $200-$300 for over-the-counter medications, varies based on the individual's use</t>
  </si>
  <si>
    <t>All ages, commonly used across all age groups but children under 6 should use with caution</t>
  </si>
  <si>
    <t>No specific gender preference; used by all genders equally</t>
  </si>
  <si>
    <t>Combination of over-the-counter medications, including small molecules (e.g., analgesics, decongestants, antihistamines)</t>
  </si>
  <si>
    <t>HALOG 0.1% OINT,TOP</t>
  </si>
  <si>
    <t>Red, itchy, and scaly patches on the skin; inflammation; discomfort</t>
  </si>
  <si>
    <t>Approximately 3% of the US population (around 9.5 million people have psoriasis)</t>
  </si>
  <si>
    <t>Can significantly impact quality of life, leading to social isolation and psychological distress</t>
  </si>
  <si>
    <t>Efficacy rates can range from 50-70% improvement in skin condition after 12 weeks of treatment</t>
  </si>
  <si>
    <t>Generally considered safe for topical use, with less systemic absorption</t>
  </si>
  <si>
    <t>Common adverse events include skin irritation, burning or itching at the application site, and rare cases of allergic contact dermatitis</t>
  </si>
  <si>
    <t>Approx. $400 - $600 per year, depending on frequency of use and pharmacy pricing</t>
  </si>
  <si>
    <t>Primarily adults, but can also affect adolescents and children</t>
  </si>
  <si>
    <t>Affects both genders, although some studies suggest a slightly higher prevalence in men</t>
  </si>
  <si>
    <t>ODOMZO 200MG CAP</t>
  </si>
  <si>
    <t>Basal Cell Carcinoma</t>
  </si>
  <si>
    <t>Common symptoms include a raised or pearly bump on the skin, flat or scar-like area, and sores that do not heal; other signs may include bleeding, crusting, or itchy areas.</t>
  </si>
  <si>
    <t>Approximately 4 million cases of BCC are diagnosed annually in the USA, making it the most common form of skin cancer.</t>
  </si>
  <si>
    <t>Quality of life can be significantly affected by the cosmetic and psychological impacts of BCC, especially in visible areas; surgical and non-surgical treatments can help restore quality.</t>
  </si>
  <si>
    <t>Odomzo (sonidegib) shows efficacy with response rates of about 60-70% in patients with advanced BCC, especially in those who are not surgical candidates.</t>
  </si>
  <si>
    <t>Generally well tolerated; however, patients should be monitored for potential liver enzyme elevations and other side effects.</t>
  </si>
  <si>
    <t>Common adverse events include muscle spasms (25%), alopecia (27%), fatigue (35%), and nausea (20%).</t>
  </si>
  <si>
    <t>The annual cost of Odomzo therapy is estimated to be around $150,000, depending on dosage and treatment regimen.</t>
  </si>
  <si>
    <t>Primarily used in adults, typically aged 18 and older, with a higher incidence in older populations.</t>
  </si>
  <si>
    <t>More common in males, with higher prevalence observed in light-skinned individuals due to UV radiation exposure.</t>
  </si>
  <si>
    <t>Small molecule inhibitor (hedgehog pathway inhibitor).</t>
  </si>
  <si>
    <t>DECITABINE 50MG/VIL INJ</t>
  </si>
  <si>
    <t>Fatigue, weakness, easy bruising or bleeding, frequent infections, shortness of breath, pallor, and signs of anemia.</t>
  </si>
  <si>
    <t>Approximately 4.3 cases per 100,000 people for MDS in the USA; AML prevalence is about 19,000 new cases annually.</t>
  </si>
  <si>
    <t>Quality of life may be significantly affected due to symptoms and treatment side effects; overall impact can be severe.</t>
  </si>
  <si>
    <t>Decitabine has shown a response rate of about 30-50% for MDS, while for AML it is around 30%.</t>
  </si>
  <si>
    <t>Generally well-tolerated, but can lead to cytopenias and infections; careful monitoring is essential.</t>
  </si>
  <si>
    <t>Common adverse events include nausea, vomiting, fatigue, febrile neutropenia, and thrombocytopenia.</t>
  </si>
  <si>
    <t>Approximately $70,000 to $90,000 per year, depending on dosing and patient-specific factors.</t>
  </si>
  <si>
    <t>Primarily adults, commonly diagnosed in individuals over 60 years of age.</t>
  </si>
  <si>
    <t>More frequently diagnosed in males compared to females.</t>
  </si>
  <si>
    <t>Hypomethylating agent (small molecule).</t>
  </si>
  <si>
    <t>LEVULAN KERASTICK</t>
  </si>
  <si>
    <t>Rough, scaly patches on sun-exposed skin; may itch or be tender</t>
  </si>
  <si>
    <t>Approximately 58 million Americans are affected by actinic keratosis</t>
  </si>
  <si>
    <t>May lead to cosmetic concerns and psychological impact due to visible lesions, but treatment can improve quality of life</t>
  </si>
  <si>
    <t>Approximately 75-90% clearance of lesions after treatment with Levulan Kerastick in clinical studies</t>
  </si>
  <si>
    <t>Generally well-tolerated; minimal systemic absorption</t>
  </si>
  <si>
    <t>Commonly reported adverse events include erythema, scaling, crusting, and pain at the application site</t>
  </si>
  <si>
    <t>Estimated cost ranges from $2,500 to $3,500, depending on treatment frequency and insurance coverage</t>
  </si>
  <si>
    <t>Most common in individuals aged 40 and older</t>
  </si>
  <si>
    <t>More prevalent in males due to higher likelihood of sun exposure</t>
  </si>
  <si>
    <t>Topical photosensitizer (combination therapy with light treatment, classified as a photodynamic therapy)</t>
  </si>
  <si>
    <t>GLUCOSE GUMMIES</t>
  </si>
  <si>
    <t>Hypoglycemia (Low Blood Sugar)</t>
  </si>
  <si>
    <t>Symptoms of hypoglycemia may include shakiness, sweating, confusion, irritability, dizziness, headache, hunger, and in severe cases, loss of consciousness or seizures.</t>
  </si>
  <si>
    <t>Hypoglycemia affects approximately 1% to 3% of the general population, but prevalence can be higher in individuals with diabetes, reported in about 20% to 40% of people with insulin-treated diabetes.</t>
  </si>
  <si>
    <t>Hypoglycemia can significantly impact the quality of life, especially for individuals with diabetes, due to the fear of episodes and the need for careful management of blood sugar levels.</t>
  </si>
  <si>
    <t>Efficacy in treating hypoglycemia is good when used as directed to quickly raise blood glucose levels.</t>
  </si>
  <si>
    <t>Generally considered safe when used appropriately for the intended purpose, with minimal systemic effects.</t>
  </si>
  <si>
    <t>Mild adverse events may include gastrointestinal discomfort or changes in blood glucose levels if overused.</t>
  </si>
  <si>
    <t>Approximately $100 to $200 per year, depending on the frequency of use and brand selection.</t>
  </si>
  <si>
    <t>All age groups, but particularly those with diabetes (often adults).</t>
  </si>
  <si>
    <t>No significant gender preference, as both males and females are affected by hypoglycemia.</t>
  </si>
  <si>
    <t>Dietary supplement (not classified as a pharmaceutical drug, typically glucose or carbohydrate-based product).</t>
  </si>
  <si>
    <t>SODIUM CHLORIDE 0.65% SOLN,NASAL SPRAY</t>
  </si>
  <si>
    <t>Nasal congestion, runny nose, sneezing, postnasal drip, itching of the nose or throat</t>
  </si>
  <si>
    <t>Approximately 30% of adults in the USA experience allergic rhinitis annually</t>
  </si>
  <si>
    <t>Can significantly impact quality of life due to interfered daily activities, sleep disturbances, and reduced work productivity</t>
  </si>
  <si>
    <t>Effective for relieving nasal congestion, particularly associated with allergic rhinitis and infections</t>
  </si>
  <si>
    <t>Generally considered safe for most patients; suitable for all ages and minimal risk of systemic side effects</t>
  </si>
  <si>
    <t>Mild irritation in the nasal passages, sneezing, or transient nasal burning; no serious adverse events reported</t>
  </si>
  <si>
    <t>Approximately $50 - $200, depending on frequency of use and insurance coverage</t>
  </si>
  <si>
    <t>All age groups, can be used safely in infants to adults</t>
  </si>
  <si>
    <t>No gender preference or specific differences in response</t>
  </si>
  <si>
    <t>Hypertonic saline solution (nasal spray)</t>
  </si>
  <si>
    <t>ANTI-DIARRHEAL (LOPERAMIDE) CAPLET</t>
  </si>
  <si>
    <t>Increased frequency of bowel movements, loose or watery stools, abdominal cramps, and urgency to have a bowel movement.</t>
  </si>
  <si>
    <t>Approximately 5% of the US adults experience acute diarrhea each year.</t>
  </si>
  <si>
    <t>Diarrhea can significantly impact daily activities, work productivity, and social interactions, resulting in decreased quality of life during episodes.</t>
  </si>
  <si>
    <t>Loperamide is effective in reducing the frequency of diarrhea and can provide symptomatic relief; it typically reduces daily stool frequency by approximately 1-3 stools within the first 24 hours of treatment.</t>
  </si>
  <si>
    <t>Generally considered safe when used as directed; however, it is contraindicated in specific conditions such as diarrhea caused by bacterial infections or colitis.</t>
  </si>
  <si>
    <t>Potential side effects include constipation, dizziness, drowsiness, and abdominal discomfort; rare cases may present serious effects like toxic megacolon or severe allergic reactions.</t>
  </si>
  <si>
    <t>Approximately $50-$100, depending on the dosage and duration of treatment.</t>
  </si>
  <si>
    <t>Approved for use in adults and children over 6 years of age.</t>
  </si>
  <si>
    <t>No significant gender differences in the incidence and treatment of diarrhea.</t>
  </si>
  <si>
    <t>Small molecule (antimotility agent).</t>
  </si>
  <si>
    <t>ASCORBIC ACID 500MG/5ML SYRUP</t>
  </si>
  <si>
    <t>Fatigue, weakness, swollen gums, joint pain, and anemia</t>
  </si>
  <si>
    <t>Approximately 0.2% in the general population, but can be higher in certain at-risk groups (e.g., those with poor nutrition)</t>
  </si>
  <si>
    <t>Significantly reduced due to symptoms impacting daily activities; improved with vitamin C supplementation</t>
  </si>
  <si>
    <t>High efficacy in reversing symptoms of scurvy when vitamin C is administered</t>
  </si>
  <si>
    <t>Generally considered safe when used within recommended guidelines; potential for gastrointestinal upset with excessive doses</t>
  </si>
  <si>
    <t>Mild gastrointestinal issues (nausea, diarrhea)</t>
  </si>
  <si>
    <t>Approximately $100 - $200 depending on frequency and duration of treatment</t>
  </si>
  <si>
    <t>All age groups, but particularly in elderly and malnourished populations</t>
  </si>
  <si>
    <t>No significant gender differences in prevalence or treatment</t>
  </si>
  <si>
    <t>SACCHAROMYCES BOULARDII CAP/TAB</t>
  </si>
  <si>
    <t>Watery stools, abdominal cramps, bloating, nausea</t>
  </si>
  <si>
    <t>Approximately 10% of patients on antibiotics may develop antibiotic-associated diarrhea</t>
  </si>
  <si>
    <t>Can significantly improve with reduction in diarrhea symptoms</t>
  </si>
  <si>
    <t>Efficacy rates of around 50-70% for prevention and treatment of antibiotic-associated diarrhea</t>
  </si>
  <si>
    <t>Generally considered safe for most individuals; well tolerated in healthy populations</t>
  </si>
  <si>
    <t>Rare; may include bloating and gas; risk of fungemia in immunocompromised patients</t>
  </si>
  <si>
    <t>Approximately $50-$100 depending on dosage and duration</t>
  </si>
  <si>
    <t>All age groups; safe for adults, children, and infants under supervision</t>
  </si>
  <si>
    <t>No significant gender disparities noted</t>
  </si>
  <si>
    <t>Probiotic</t>
  </si>
  <si>
    <t>EUTHYROX 25MCG TAB</t>
  </si>
  <si>
    <t>Fatigue, weight gain, cold intolerance, dry skin, hair loss, constipation, muscle weakness, depression, slowed heart rate, and impaired memory.</t>
  </si>
  <si>
    <t>Approximately 4.6% of the American population, with higher prevalence in women and older adults.</t>
  </si>
  <si>
    <t>Patients typically experience significant improvement in quality of life after hormone replacement therapy, including improved energy levels and cognitive function.</t>
  </si>
  <si>
    <t>Euthyrox has been shown to effectively normalize thyroid hormone levels in patients with hypothyroidism, with studies reporting success rates over 85%.</t>
  </si>
  <si>
    <t>Generally considered safe with appropriate monitoring; long-term use is well tolerated.</t>
  </si>
  <si>
    <t>Possible adverse events include allergic reactions, heart palpitations, anxiety, and symptoms of hyperthyroidism if dosage is too high (e.g., insomnia, heat intolerance, weight loss).</t>
  </si>
  <si>
    <t>All age groups; however, it is more common in adults over 60.</t>
  </si>
  <si>
    <t>More prevalent in women, with a ratio of approximately 5:1 compared to men.</t>
  </si>
  <si>
    <t>ETHOSUXIMIDE 250MG/5ML SYRUP</t>
  </si>
  <si>
    <t>Absence Seizures</t>
  </si>
  <si>
    <t>Brief lapses of consciousness, staring spells, subtle body movements (such as eye blinking), and possible minor twitching</t>
  </si>
  <si>
    <t>Approximately 0.5-4% of all children, with a higher prevalence in those with epilepsy</t>
  </si>
  <si>
    <t>Patients may experience impaired cognitive function and social challenges, impacting overall quality of life negatively, especially in children</t>
  </si>
  <si>
    <t>Ethosuximide is effective in approximately 70-90% of patients with absence seizures</t>
  </si>
  <si>
    <t>Generally well-tolerated; long-term use requires monitoring for blood dyscrasias and liver function</t>
  </si>
  <si>
    <t>Common adverse events include drowsiness, dizziness, fatigue, headache, and gastrointestinal disturbances</t>
  </si>
  <si>
    <t>Estimated at $1,000 to $2,500 depending on insurance and dosage requirements</t>
  </si>
  <si>
    <t>Primarily used in children, but can be prescribed for adults as well</t>
  </si>
  <si>
    <t>Affects males and females almost equally; however, some studies suggest a slight male predominance in incidence</t>
  </si>
  <si>
    <t>Antiepileptic drug (AED), classified as a small molecule</t>
  </si>
  <si>
    <t>LACTULOSE 10GM/15ML SYRUP</t>
  </si>
  <si>
    <t>Hepatic Encephalopathy</t>
  </si>
  <si>
    <t>Confusion, lethargy, changes in alertness, abdominal pain, cramping, distention, bloating, difficulty in bowel movements</t>
  </si>
  <si>
    <t>Approximately 1.5 to 2 million people in the USA have chronic constipation, while hepatic encephalopathy occurs in 30-50% of patients with liver cirrhosis.</t>
  </si>
  <si>
    <t>Poor quality of life in patients with hepatic encephalopathy due to cognitive impairment; chronic constipation can also negatively affect daily activities and overall well-being.</t>
  </si>
  <si>
    <t>Lactulose is effective in reducing blood ammonia levels and improving symptoms of hepatic encephalopathy; also effective in managing chronic constipation with a success rate of around 60-80% in patients.</t>
  </si>
  <si>
    <t>Generally considered safe with a wide therapeutic index; long-term use can be monitored without significant risk.</t>
  </si>
  <si>
    <t>Common side effects include diarrhea, abdominal discomfort, flatulence, and electrolyte imbalances in prolonged use.</t>
  </si>
  <si>
    <t>Estimated average costs range from $300 to $1,000 per year depending on treatment duration and other variables.</t>
  </si>
  <si>
    <t>Used in a wide range from children (usually over one month) to elderly patients.</t>
  </si>
  <si>
    <t>No gender preference; used in both males and females.</t>
  </si>
  <si>
    <t>Osmotic laxative, classified as a small molecule.</t>
  </si>
  <si>
    <t>LACTULOSE 10GM/15ML SOLN,ORAL</t>
  </si>
  <si>
    <t>Confusion, forgetfulness, altered level of consciousness, personality changes, motor dysfunction, and in severe cases, coma.</t>
  </si>
  <si>
    <t>Approximately 30-50% of patients with liver cirrhosis experience hepatic encephalopathy at some point in their illness.</t>
  </si>
  <si>
    <t>Patients with hepatic encephalopathy often experience a decreased quality of life due to cognitive and physical impairments.</t>
  </si>
  <si>
    <t>Lactulose is effective in reducing the recurrence of hepatic encephalopathy with success rates of 70-80% in preventing episodes.</t>
  </si>
  <si>
    <t>Generally considered safe with a low incidence of serious adverse effects; however, it can cause discomfort in some patients.</t>
  </si>
  <si>
    <t>Common adverse events include bloating, diarrhea, abdominal cramping, and flatulence. Serious adverse events are rare.</t>
  </si>
  <si>
    <t>Approximately $800 - $1,200 per year for lactulose treatment in the USA.</t>
  </si>
  <si>
    <t>Most commonly used in adults, but may be prescribed for pediatric patients as well, particularly in cases of chronic liver disease.</t>
  </si>
  <si>
    <t>Use is generally equal across genders, as liver diseases affect both males and females.</t>
  </si>
  <si>
    <t>Small molecule (osmotic laxative).</t>
  </si>
  <si>
    <t>EUTHYROX 50MCG TAB</t>
  </si>
  <si>
    <t>Fatigue, weight gain, cold intolerance, constipation, dry skin, hair loss, muscle weakness, depression, slowed heart rate, and myxedema (severe cases).</t>
  </si>
  <si>
    <t>Patients often experience improved quality of life with appropriate thyroid hormone replacement, including increased energy levels and mental clarity.</t>
  </si>
  <si>
    <t>Euthyrox (levothyroxine) is generally effective in restoring normal thyroid hormone levels, with about 70-90% of patients reaching target thyroid-stimulating hormone (TSH) levels.</t>
  </si>
  <si>
    <t>Generally considered safe when dosed appropriately; however, patients need regular monitoring of thyroid hormone levels to prevent under-treatment or over-treatment.</t>
  </si>
  <si>
    <t>Common side effects may include headache, insomnia, and increased appetite; more serious risks include cardiac events from excessive dosage leading to hyperthyroidism symptoms.</t>
  </si>
  <si>
    <t>Approximately $120-$300 per year, depending on insurance coverage and pharmacy pricing.</t>
  </si>
  <si>
    <t>Most commonly diagnosed in adults aged 30 years and older, but can affect any age group.</t>
  </si>
  <si>
    <t>More prevalent in women, with about 5-8 times higher incidence compared to men.</t>
  </si>
  <si>
    <t>EUTHYROX 75MCG TAB</t>
  </si>
  <si>
    <t>Fatigue, weight gain, Cold intolerance, Dry skin, Hair loss, Muscle weakness, Constipation, Depression, Slow heart rate</t>
  </si>
  <si>
    <t>Approximately 4.6% of the US population (about 12 million people)</t>
  </si>
  <si>
    <t>Generally improved with therapy; most patients report better energy levels and mood stabilization upon proper treatment</t>
  </si>
  <si>
    <t>Euthyrox is considered highly effective in normalizing thyroid hormone levels, with over 90% of patients achieving euthyroid status with appropriate dosing</t>
  </si>
  <si>
    <t>Generally safe when prescribed properly; patient monitoring recommended to avoid over-replacement</t>
  </si>
  <si>
    <t>Common side effects include headache, nervousness, insomnia, increased appetite, and weight loss; less common but serious effects include cardiac arrhythmias, angina, or exacerbation of adrenal insufficiency</t>
  </si>
  <si>
    <t>Approximately $200 - $400 per year depending on dosage and insurance coverage</t>
  </si>
  <si>
    <t>Most common in adults, particularly those aged 30 years and older</t>
  </si>
  <si>
    <t>More prevalent in women, with a ratio of about 5:1 compared to men</t>
  </si>
  <si>
    <t>Hormone replacement therapy (synthetic thyroxine)</t>
  </si>
  <si>
    <t>EUTHYROX 88MCG TAB</t>
  </si>
  <si>
    <t>Fatigue, weight gain, cold intolerance, dry skin, hair loss, constipation, depression, and muscle weakness</t>
  </si>
  <si>
    <t>Approximately 4.6% of the US population (around 14 to 20 million people)</t>
  </si>
  <si>
    <t>Improved significantly with appropriate treatment, leading to better physical and mental well-being</t>
  </si>
  <si>
    <t>Generally effective in restoring normal thyroid hormone levels in 90-95% of patients</t>
  </si>
  <si>
    <t>Generally safe when taken as prescribed; long-term use requires monitoring of thyroid levels</t>
  </si>
  <si>
    <t>Possible side effects include palpitations, anxiety, weight loss, heat intolerance, menstrual irregularities</t>
  </si>
  <si>
    <t>Approximately $150 to $300, depending on dosage and insurance coverage</t>
  </si>
  <si>
    <t>Primarily adults, but can occur at any age, more common in individuals over 60</t>
  </si>
  <si>
    <t>More prevalent in women, with a ratio of about 5-8 times more reported cases compared to men</t>
  </si>
  <si>
    <t>EUTHYROX 100MCG TAB</t>
  </si>
  <si>
    <t>Fatigue, weight gain, cold intolerance, depression, dry skin, hair loss, muscle weakness, constipation, slowed heart rate</t>
  </si>
  <si>
    <t>Approximately 4.6% of the U.S. population (about 14 million people) have hypothyroidism.</t>
  </si>
  <si>
    <t>Generally improved with treatment; patients often experience significant improvements in energy levels and overall well-being.</t>
  </si>
  <si>
    <t>Euthyrox (levothyroxine) effectively normalizes thyroid hormone levels in the majority of patients, with a success rate of about 80-90%.</t>
  </si>
  <si>
    <t>Generally well-tolerated, but requires regular monitoring of thyroid levels; considered safe when used appropriately.</t>
  </si>
  <si>
    <t>Common adverse effects include palpitations, anxiety, insomnia, weight loss, and increased appetite. Severe allergic reactions or thyrotoxicosis can occur in rare cases.</t>
  </si>
  <si>
    <t>Approximately $100 to $200 depending on the brand and insurance coverage.</t>
  </si>
  <si>
    <t>Mainly adults, but it can also occur in infants and children. Most prevalent in individuals over 60 years of age.</t>
  </si>
  <si>
    <t>More common in females; about 10 times more females are affected compared to males.</t>
  </si>
  <si>
    <t>EUTHYROX 112MCG TAB</t>
  </si>
  <si>
    <t>Fatigue, weight gain, cold intolerance, dry skin, hair loss, constipation, muscle weakness, depression, and slower heart rate.</t>
  </si>
  <si>
    <t>Approximately 4.6% of the adult population in the USA, with higher rates in women and older adults.</t>
  </si>
  <si>
    <t>Hypothyroidism can significantly impact quality of life if untreated; with proper management, quality of life can improve markedly.</t>
  </si>
  <si>
    <t>Euthyrox is effective in normalizing thyroid hormone levels, with thyroid-stimulating hormone (TSH) levels typically returning to normal within 4-6 weeks of onset of therapy.</t>
  </si>
  <si>
    <t>Generally considered safe; regular monitoring of TSH levels is important.</t>
  </si>
  <si>
    <t>Can include palpitations, anxiety, insomnia, weight loss, and increased appetite; rare events include cardiac arrhythmias and osteoporosis with long-term excessive use.</t>
  </si>
  <si>
    <t>Approximately $100 to $300 depending on insurance coverage and pharmacy fees.</t>
  </si>
  <si>
    <t>Primarily adults, but may be prescribed to adolescents and children with hypothyroidism.</t>
  </si>
  <si>
    <t>More prevalent in females, with a female to male ratio of about 5-8:1.</t>
  </si>
  <si>
    <t>Small molecule (synthetic thyroid hormone replace therapy).</t>
  </si>
  <si>
    <t>EUTHYROX 125MCG TAB</t>
  </si>
  <si>
    <t>Quality of life can significantly improve with appropriate thyroid hormone replacement therapy, reducing symptoms and improving physical and mental well-being.</t>
  </si>
  <si>
    <t>Euthyrox is effective in normalizing thyroid hormone levels in the majority of patients, with a success rate of about 70-90% based on proper dosage adjustments.</t>
  </si>
  <si>
    <t>Generally considered safe when used as prescribed, but requires monitoring of thyroid levels to avoid over-treatment.</t>
  </si>
  <si>
    <t>Common adverse events include headache, insomnia, nervousness, and increased appetite. Rare but serious adverse effects can include cardiac issues (especially in those with pre-existing heart conditions).</t>
  </si>
  <si>
    <t>Approximately $250-$500, depending on insurance coverage and generic availability.</t>
  </si>
  <si>
    <t>Commonly prescribed for adults, especially those over 30 and post-menopausal women.</t>
  </si>
  <si>
    <t>More prevalent in females than males, with a female-to-male ratio of about 8:1.</t>
  </si>
  <si>
    <t>EUTHYROX 137MCG TAB</t>
  </si>
  <si>
    <t>Fatigue, weight gain, depression, sensitivity to cold, constipation, dry skin, hair loss, muscle weakness, high cholesterol levels</t>
  </si>
  <si>
    <t>Approximately 4.6% of the adult population in the USA, with higher prevalence in women and older adults</t>
  </si>
  <si>
    <t>Generally improved with treatment; many patients report improved mood and energy levels</t>
  </si>
  <si>
    <t>Euthyrox is effective in normalizing thyroid hormone levels in the majority of patients, with studies showing &gt;90% of patients achieving target hormone levels</t>
  </si>
  <si>
    <t>Generally considered safe when taken as prescribed; close monitoring is recommended to prevent over-treatment</t>
  </si>
  <si>
    <t>Common adverse events include palpitations, anxiety, heat intolerance, and insomnia; rare events include potentially severe allergic reactions</t>
  </si>
  <si>
    <t>Approximately $100 - $300 depending on insurance coverage and formulations</t>
  </si>
  <si>
    <t>Primarily adults, although can occur in children; more common in those over 60</t>
  </si>
  <si>
    <t>More prevalent in females (approximately 6.6% prevalence in women vs. 2.2% in men)</t>
  </si>
  <si>
    <t>EUTHYROX 150MCG TAB</t>
  </si>
  <si>
    <t>Fatigue, weight gain, cold intolerance, depression, constipation, dry skin, hair loss, muscle weakness, slow heart rate.</t>
  </si>
  <si>
    <t>Can be significantly improved with proper treatment, leading to increased energy levels and improved mental health.</t>
  </si>
  <si>
    <t>Euthyrox effectively normalizes thyroid hormone levels in 80-90% of patients within weeks, assuming correct dosing.</t>
  </si>
  <si>
    <t>Generally well-tolerated; safety profile is favorable, though close monitoring of thyroid levels is required.</t>
  </si>
  <si>
    <t>Common adverse events include palpitations, weight loss, anxiety, insomnia, and increased appetite; serious adverse events are rare.</t>
  </si>
  <si>
    <t>Approximately $60-$120 depending on insurance coverage and pharmacy pricing.</t>
  </si>
  <si>
    <t>All ages, most prevalent in adults, especially those over 60.</t>
  </si>
  <si>
    <t>More common in women (about 5-8 times more prevalent).</t>
  </si>
  <si>
    <t>EUTHYROX 175MCG TAB</t>
  </si>
  <si>
    <t>Approximately 4.6% of the U.S. population (about 14 million people) has hypothyroidism.</t>
  </si>
  <si>
    <t>Patients with treated hypothyroidism generally report improved quality of life, but symptoms can persist in those with undertreated conditions.</t>
  </si>
  <si>
    <t>Euthyrox (levothyroxine) is highly effective in restoring normal thyroid hormone levels with proper dosing in approximately 80-90% of patients.</t>
  </si>
  <si>
    <t>Generally considered safe with a well-established safety profile when used as directed.</t>
  </si>
  <si>
    <t>Potential adverse events include palpitations, anxiety, insomnia, weight loss, and sweating, particularly with overdosing.</t>
  </si>
  <si>
    <t>Approximately $30 to $300 depending on insurance coverage and pharmacy.</t>
  </si>
  <si>
    <t>All age groups, but particularly common in adults over 60.</t>
  </si>
  <si>
    <t>More common in women than men (7:1 ratio).</t>
  </si>
  <si>
    <t>EUTHYROX 200MCG TAB</t>
  </si>
  <si>
    <t>Fatigue, weight gain, cold intolerance, dryness of the skin, hair loss, muscle weakness, depression, constipation, slow heart rate</t>
  </si>
  <si>
    <t>Approximately 4.6% of the US population (about 14 million people) have hypothyroidism</t>
  </si>
  <si>
    <t>Hypothyroidism can significantly impact quality of life, leading to fatigue and cognitive issues, which may affect daily functioning and social interactions</t>
  </si>
  <si>
    <t>EUTHYROX is effective in restoring normal thyroid hormone levels in patients with hypothyroidism, with over 90% of patients responding positively to treatment</t>
  </si>
  <si>
    <t>EUTHYROX is generally safe when used as prescribed; monitoring is essential to avoid over-treatment</t>
  </si>
  <si>
    <t>Common adverse events include palpitations, increased appetite, weight loss, sweating, and anxiety; rare but serious events include cardiac complications</t>
  </si>
  <si>
    <t>Approximately $50 to $150 per year, depending on insurance coverage and pharmacy pricing</t>
  </si>
  <si>
    <t>Most commonly prescribed for adults, but also used in pediatric populations when necessary</t>
  </si>
  <si>
    <t>More prevalent in females, with approximately 10 times more women affected than men</t>
  </si>
  <si>
    <t>Small molecules (synthetic thyroid hormone - levothyroxine)</t>
  </si>
  <si>
    <t>AZO COMPLETE FEMININE BALANCE</t>
  </si>
  <si>
    <t>Abnormal vaginal discharge, unpleasant odor, itching, and irritation.</t>
  </si>
  <si>
    <t>Approximately 29% of women in the USA experience bacterial vaginosis during their reproductive years.</t>
  </si>
  <si>
    <t>Can negatively impact quality of life due to discomfort and psychological stress, such as anxiety or embarrassment.</t>
  </si>
  <si>
    <t>Studies suggest that probiotics, such as those found in AZO COMPLETE FEMININE BALANCE, can help restore vaginal flora, with some evidence showing improvement in symptoms in up to 50% of women.</t>
  </si>
  <si>
    <t>Generally considered safe when used as directed; not associated with significant safety concerns.</t>
  </si>
  <si>
    <t>Occasionally may cause mild gastrointestinal upset; allergic reactions are rare.</t>
  </si>
  <si>
    <t>Approximately $30-$50 for over-the-counter products like AZO COMPLETE FEMININE BALANCE.</t>
  </si>
  <si>
    <t>Typically used by women of reproductive age (ages 18-45).</t>
  </si>
  <si>
    <t>Dietary supplement (probiotic formulation).</t>
  </si>
  <si>
    <t>CALCIUM ACETATE 667MG CAP</t>
  </si>
  <si>
    <t>Elevated phosphate levels, bone pain, itching, and cardiovascular issues due to complications of CKD</t>
  </si>
  <si>
    <t>Approximately 15% of the U.S. adult population has chronic kidney disease, with hyperphosphatemia occurring in about 30-70% of patients on dialysis</t>
  </si>
  <si>
    <t>Quality of life can be significantly impacted due to CKD and its complications; treatment with calcium acetate can help manage symptoms and improve overall health outcomes</t>
  </si>
  <si>
    <t>Calcium acetate effectively lowers serum phosphate levels in patients with CKD; studies show a reduction of phosphate levels by about 30-50% within 1-3 months</t>
  </si>
  <si>
    <t>Generally considered safe when used as directed; the risk of hypercalcemia is a concern, particularly in patients with compromised renal function</t>
  </si>
  <si>
    <t>Common adverse events include gastrointestinal symptoms (nausea, vomiting, constipation), and occasionally hypercalcemia (slightly more than 5% of patients)</t>
  </si>
  <si>
    <t>Estimated annual therapy costs for calcium acetate are around $1,000 to $2,400 depending on dosing and healthcare coverage</t>
  </si>
  <si>
    <t>Primarily adults, especially those over 50 years old, but also includes adolescents with CKD</t>
  </si>
  <si>
    <t>Affects both genders; however, the prevalence and complications tend to vary with comorbidities often seen in men</t>
  </si>
  <si>
    <t>Small molecule drug (phosphate binder)</t>
  </si>
  <si>
    <t>LITHIUM CARBONATE 150MG CAP</t>
  </si>
  <si>
    <t>Mood swings, depressive episodes, manic episodes, irritability, anxiety, fatigue, sleep disturbances</t>
  </si>
  <si>
    <t>Approximately 2.6% of the adult population in the USA experiences bipolar disorder</t>
  </si>
  <si>
    <t>Quality of life can be significantly improved with effective treatment; however, the disease can severely impair relationships, work, and overall functioning during episodes.</t>
  </si>
  <si>
    <t>Lithium carbonate is considered highly effective for the management of manic and depressive episodes in bipolar disorder, with response rates of about 60-80%</t>
  </si>
  <si>
    <t>Generally well-tolerated; however, regular monitoring of lithium levels is required to avoid toxicity</t>
  </si>
  <si>
    <t>Common side effects include nausea, diarrhea, weight gain, tremors, polyuria, and hypothyroidism; serious adverse events can include lithium toxicity, renal impairment, and cardiac issues</t>
  </si>
  <si>
    <t>The estimated annual therapy costs for lithium carbonate can range from $1,000 to $2,500, depending on insurance coverage and healthcare settings</t>
  </si>
  <si>
    <t>Typically prescribed for adults, but can be used in adolescents and children under specialist supervision</t>
  </si>
  <si>
    <t>Bipolar disorder affects both genders, but women may have a higher prevalence of depressive episodes whereas men may experience more manic episodes</t>
  </si>
  <si>
    <t>Small molecules (mood stabilizer)</t>
  </si>
  <si>
    <t>LITHIUM CARBONATE 300MG TAB</t>
  </si>
  <si>
    <t>Mood swings that include depressive episodes and manic episodes, irritability, changes in sleep patterns, changes in energy levels, and potential suicidal thoughts.</t>
  </si>
  <si>
    <t>Approximately 2.8% of adults in the USA have bipolar disorder.</t>
  </si>
  <si>
    <t>Patients often experience significant fluctuations in quality of life, especially during episodes; effective management can improve functioning and overall quality of life.</t>
  </si>
  <si>
    <t>Lithium carbonate has been shown to be effective in reducing the frequency and severity of manic and depressive episodes; approximately 70% of patients respond to treatment.</t>
  </si>
  <si>
    <t>Generally considered safe when monitored properly; requires regular blood tests to monitor lithium levels due to narrow therapeutic index.</t>
  </si>
  <si>
    <t>Common adverse events include gastrointestinal disturbances, weight gain, tremors, and potential thyroid and renal dysfunction; serious but rare events include lithium toxicity.</t>
  </si>
  <si>
    <t>Approximately $1,000 to $2,500 depending on insurance coverage and additional monitoring costs.</t>
  </si>
  <si>
    <t>Commonly prescribed to adults aged 18-65, but can also be used in adolescents and older adults under careful supervision.</t>
  </si>
  <si>
    <t>Affects both genders, though some studies suggest a slight female predominance in bipolar disorder.</t>
  </si>
  <si>
    <t>Small molecule (antimanic agent).</t>
  </si>
  <si>
    <t>SODIUM OXYBATE 500MG/ML SOLN,ORAL</t>
  </si>
  <si>
    <t>Excessive daytime sleepiness, cataplexy (sudden loss of muscle tone), sleep disturbances, hallucinations, sleep paralysis</t>
  </si>
  <si>
    <t>Approximately 0.02% to 0.03% of the population in the USA</t>
  </si>
  <si>
    <t>Can significantly affect daily functioning, social interactions, and occupational performance due to excessive daytime sleepiness and unexpected sleep attacks</t>
  </si>
  <si>
    <t>Effective for reducing excessive daytime sleepiness and cataplexy episodes; studies show improvement in subjective sleepiness scores and frequency of cataplexy</t>
  </si>
  <si>
    <t>Generally well-tolerated; however, it must be used cautiously due to potential risks of misuse and abuse</t>
  </si>
  <si>
    <t>Commonly reported events include dizziness, headache, nausea, confusion, and potential for respiratory depression</t>
  </si>
  <si>
    <t>Estimated between $15,000 to $20,000 depending on dosage and insurance coverage</t>
  </si>
  <si>
    <t>Primarily affects adolescents and adults, typically diagnosed in late childhood to early adulthood</t>
  </si>
  <si>
    <t>Slightly more common in females, though both genders are affected</t>
  </si>
  <si>
    <t>Small molecule; specifically, a central nervous system depressant used for the treatment of narcolepsy</t>
  </si>
  <si>
    <t>DANTROLENE 20MG/VIL INJ</t>
  </si>
  <si>
    <t>Muscle rigidity, elevated body temperature, rapid heart rate, metabolic acidosis, hypercapnia, and potential cardiac arrest.</t>
  </si>
  <si>
    <t>Approximately 1 in 30,000 to 1 in 50,000 general anesthesia patients.</t>
  </si>
  <si>
    <t>Patients who experience malignant hyperthermia may face significant short-term quality of life impairments during episodes but may not have long-term sequelae if treated promptly.</t>
  </si>
  <si>
    <t>Dantrolene is 95% effective in treating acute malignant hyperthermia crises when administered promptly.</t>
  </si>
  <si>
    <t>Generally considered safe when used appropriately, but requires monitoring for adverse effects, especially in high doses.</t>
  </si>
  <si>
    <t>Muscle weakness, drowsiness, dizziness, diarrhea, and hepatotoxicity.</t>
  </si>
  <si>
    <t>Approximately $1,000-$2,500 depending on usage and local pricing, though costs may vary greatly based on individual cases and hospital fees.</t>
  </si>
  <si>
    <t>All ages (commonly utilized in pediatric and adult populations experiencing malignant hyperthermia).</t>
  </si>
  <si>
    <t>Both genders are equally susceptible to malignant hyperthermia.</t>
  </si>
  <si>
    <t>GANCICLOVIR 500MG/VIL INJ</t>
  </si>
  <si>
    <t>Cytomegalovirus (CMV) Retinitis</t>
  </si>
  <si>
    <t>Fever, fatigue, sore throat, swollen glands, and in severe cases, pneumonia or retinitis</t>
  </si>
  <si>
    <t>Approximately 60-90% of adults in the USA have been exposed to CMV, with symptomatic disease occurring in a smaller subset of the population, particularly among immunocompromised individuals.</t>
  </si>
  <si>
    <t>Can significantly decrease quality of life in affected individuals, especially in those with weakened immune systems.</t>
  </si>
  <si>
    <t>Efficacy rates for CMV retinitis treatment range from 70-90% when treated promptly with ganciclovir.</t>
  </si>
  <si>
    <t>Generally safe when monitored, but requires caution in patients with renal impairment or those undergoing hematopoietic stem cell transplantation.</t>
  </si>
  <si>
    <t>Common adverse events include neutropenia, anemia, thrombocytopenia, nausea, vomiting, diarrhea, and headache. Serious adverse events may include cytopenias and renal toxicity.</t>
  </si>
  <si>
    <t>Approximately $25,000 - $30,000, depending on treatment duration and specific patient needs.</t>
  </si>
  <si>
    <t>Primarily adults, especially those over 50 or immunocompromised individuals; however, it can affect various age groups.</t>
  </si>
  <si>
    <t>No significant gender predisposition noted; affects all genders equally.</t>
  </si>
  <si>
    <t>Small molecule, antiviral medication</t>
  </si>
  <si>
    <t>PHENTOLAMINE MESYLATE 5MG/VIL INJ,CONC</t>
  </si>
  <si>
    <t>Headaches, sweating, palpitations, hypertension, anxiety, and flushing</t>
  </si>
  <si>
    <t>Approximately 2-8 cases per million people per year in the USA</t>
  </si>
  <si>
    <t>Patients can experience significant impairment due to symptoms, but successful treatment can improve quality of life</t>
  </si>
  <si>
    <t>Generally high in managing symptoms of catecholamine excess, especially hypertension; often used preoperatively</t>
  </si>
  <si>
    <t>Considered safe with monitoring; generally well tolerated in short-term use</t>
  </si>
  <si>
    <t>Common adverse events include hypotension, tachycardia, arrhythmias, and gastrointestinal disturbances</t>
  </si>
  <si>
    <t>Approximately $5,000 - $10,000 depending on treatment regimen and healthcare services required</t>
  </si>
  <si>
    <t>Primarily adults, but can occur in adolescents as well</t>
  </si>
  <si>
    <t>Slightly more common in females (more prevalent in women in young adulthood)</t>
  </si>
  <si>
    <t>Small molecules (antagonist for alpha-adrenergic receptors)</t>
  </si>
  <si>
    <t>VALPROATE NA 100MG/ML INJ</t>
  </si>
  <si>
    <t>Seizures, mood swings, manic episodes, irritability</t>
  </si>
  <si>
    <t>Approximately 1% of the population for epilepsy; bipolar disorder affects about 2.8% of adults in the USA</t>
  </si>
  <si>
    <t>Varies significantly; individuals with effectively managed epilepsy or bipolar disorder may experience improved quality of life, while unmanaged conditions can lead to significant impairment</t>
  </si>
  <si>
    <t>60-70% seizure control in epilepsy; effective in treating manic episodes in bipolar disorder</t>
  </si>
  <si>
    <t>Generally safe when monitored; contraindications and interactions need consideration</t>
  </si>
  <si>
    <t>Common adverse events include dizziness, somnolence, gastrointestinal disturbances, weight gain, and tremors</t>
  </si>
  <si>
    <t>Approximately $4,000 - $7,000 depending on dosage and additional treatments</t>
  </si>
  <si>
    <t>Approved for use in both children and adults</t>
  </si>
  <si>
    <t>No significant gender predilection; effective in both males and females</t>
  </si>
  <si>
    <t>Small molecules (Valproate is a valproic acid derivative)</t>
  </si>
  <si>
    <t>ATIVAN 2MG/ML INJ MDV</t>
  </si>
  <si>
    <t>Anxiety, agitation, insomnia, seizures, muscle spasms</t>
  </si>
  <si>
    <t>Approximately 18.1% of adults in the U.S. experience anxiety disorders annually. Insomnia affects about 30% of the general population.</t>
  </si>
  <si>
    <t>Can significantly improve quality of life by reducing anxiety symptoms and improving sleep quality; however, long-term use may lead to dependence and withdrawal issues.</t>
  </si>
  <si>
    <t>Generally effective for short-term relief of anxiety, insomnia, and seizure control; efficacy varies by individual.</t>
  </si>
  <si>
    <t>Generally safe when used as prescribed but potential for sedation, dependence, and withdrawal syndromes; caution in the elderly and those with substance use disorders.</t>
  </si>
  <si>
    <t>Sedation, dizziness, confusion, respiratory depression, potential for abuse and dependence, withdrawal symptoms.</t>
  </si>
  <si>
    <t>Estimated $600 - $1,200 depending on dosage and insurance coverage.</t>
  </si>
  <si>
    <t>Commonly prescribed for adults, but usage varies with age; caution in elderly due to increased sensitivity and risk of falls.</t>
  </si>
  <si>
    <t>No significant gender differences reported in usage, though women may be more frequently diagnosed with anxiety disorders.</t>
  </si>
  <si>
    <t>ATIVAN 2MG/ML INJ</t>
  </si>
  <si>
    <t>Symptoms of anxiety include excessive worry, restlessness, fatigue, difficulty concentrating, irritability, muscle tension, and sleep disturbances. For seizures, symptoms may include convulsions, confusion, and loss of consciousness. Insomnia symptoms include difficulty falling asleep, staying asleep, or waking up too early.</t>
  </si>
  <si>
    <t>Approximately 31.1% of adults in the USA experience any anxiety disorder at some time in their lives; about 10% meet the criteria for insomnia; and seizure disorders affect about 1.2% of the population.</t>
  </si>
  <si>
    <t>Anxiety disorders can significantly impair quality of life, limiting daily functioning and leading to challenges in interpersonal relationships and work productivity. Insomnia impacts energy levels and cognitive function, significantly diminishing overall life satisfaction.</t>
  </si>
  <si>
    <t>Ativan (lorazepam) has been shown to be effective for short-term relief of anxiety, with studies indicating approximately 70-80% of patients may experience significant improvement in symptoms when used appropriately.</t>
  </si>
  <si>
    <t>Ativan has a relatively good safety profile when used as prescribed, but long-term use is cautioned against due to potential for dependence. Clinical guidelines suggest monitoring for side effects, primarily due to its sedative effects.</t>
  </si>
  <si>
    <t>Common adverse events include drowsiness, dizziness, weakness, unsteadiness, and memory problems. Serious adverse events can include respiratory depression, especially in higher doses or in combination with other CNS depressants.</t>
  </si>
  <si>
    <t>The average annual cost for Ativan therapy can range from $300 to $2,500 depending on dosage, frequency, and insurance coverage.</t>
  </si>
  <si>
    <t>Prescribed for adults and elderly populations but can be used in children in certain conditions.</t>
  </si>
  <si>
    <t>Both genders can be affected, but women are more frequently diagnosed with anxiety disorders.</t>
  </si>
  <si>
    <t>ATIVAN 4MG/ML INJ</t>
  </si>
  <si>
    <t>Excessive worry, restlessness, irritability, sleep disturbances, seizures</t>
  </si>
  <si>
    <t>18% of adults experience anxiety disorders at some point in their lives in the USA</t>
  </si>
  <si>
    <t>Significant improvement in quality of life for treated patients, though dependency and tolerance can diminish long-term benefits</t>
  </si>
  <si>
    <t>Approximately 70-90% of patients experience relief from acute anxiety symptoms; efficacy in status epilepticus is also well established</t>
  </si>
  <si>
    <t>Generally safe when used as prescribed; risks increase with misuse or in combination with other CNS depressants</t>
  </si>
  <si>
    <t>Drowsiness, dizziness, confusion, weakness, respiratory depression (especially in high doses or when combined with other depressants)</t>
  </si>
  <si>
    <t>Estimated $600 - $1,200 depending on frequency of administration and insurance coverage</t>
  </si>
  <si>
    <t>Approved for use in adults and children; however, dosing may differ</t>
  </si>
  <si>
    <t>No significant gender-specific differences in efficacy or safety observed</t>
  </si>
  <si>
    <t>LORAZEPAM 2MG/ML INJ</t>
  </si>
  <si>
    <t>Excessive worry, sleep disturbances, seizures, irritability</t>
  </si>
  <si>
    <t>Approximately 19.1% of adults experience some form of anxiety disorder in a given year in the USA</t>
  </si>
  <si>
    <t>Can improve quality of life by reducing anxiety symptoms and promoting sleep, but long-term use may lead to dependency and withdrawal issues</t>
  </si>
  <si>
    <t>Highly effective for acute anxiety relief, with onset of action usually within 15-30 minutes</t>
  </si>
  <si>
    <t>Generally safe for short-term use; caution advised in patients with history of substance use disorders</t>
  </si>
  <si>
    <t>Drowsiness, dizziness, fatigue, confusion, respiratory depression (especially in combination with other CNS depressants), dependence or withdrawal symptoms with prolonged use</t>
  </si>
  <si>
    <t>Approximately $300 to $600 depending on dosage and frequency of administration</t>
  </si>
  <si>
    <t>Primarily adults; not typically recommended for use in children without specialist guidance</t>
  </si>
  <si>
    <t>Both genders; however, women may be prescribed lorazepam more frequently than men due to higher prevalence of anxiety disorders</t>
  </si>
  <si>
    <t>Benzodiazepine (small molecules)</t>
  </si>
  <si>
    <t>LORAZEPAM 4MG/ML INJ</t>
  </si>
  <si>
    <t>Excessive worry, restlessness, fatigue, difficulty concentrating, sleep disturbances, tremors, seizures</t>
  </si>
  <si>
    <t>Approximately 18.1% of adults experience anxiety disorders annually in the USA; insomnia affects about 30% of the adult population. Seizure disorders have a prevalence of approximately 1% in the general population.</t>
  </si>
  <si>
    <t>Anxiety and sleep disorders significantly impair quality of life, leading to difficulties in daily functioning, relationships, and overall well-being.</t>
  </si>
  <si>
    <t>Lorazepam is effective in reducing anxiety symptoms and providing sedation; studies show efficacy rates of approximately 60-80% for short-term treatment in anxiety.</t>
  </si>
  <si>
    <t>Generally considered safe for short-term use; however, long-term use carries risks of dependency and withdrawal symptoms.</t>
  </si>
  <si>
    <t>Common adverse events include sedation, dizziness, confusion, and impaired coordination. Risk of dependence with long-term use is significant.</t>
  </si>
  <si>
    <t>The average annual therapy costs for lorazepam can range from $200 to $400, depending on frequency and duration of use.</t>
  </si>
  <si>
    <t>Adults, commonly prescribed for ages 18-65, with special considerations for geriatric populations.</t>
  </si>
  <si>
    <t>Both genders are affected; however, anxiety disorders are more prevalent in females than males.</t>
  </si>
  <si>
    <t>Small molecules (benzodiazepine class).</t>
  </si>
  <si>
    <t>LORAZEPAM 20MG/10ML INJ</t>
  </si>
  <si>
    <t>Anxiety, agitation, panic attacks, difficulty sleeping, seizures</t>
  </si>
  <si>
    <t>Anxiety disorders affect approximately 19.1% of adults in the USA, while insomnia affects about 30% of adults; status epilepticus is less common, with an incidence of about 150,000 cases annually in the USA.</t>
  </si>
  <si>
    <t>Poor quality of life due to anxiety and sleep disturbances, which can lead to chronic stress and other health issues.</t>
  </si>
  <si>
    <t>Highly effective for short-term relief of anxiety and agitation, with rapid onset of action.</t>
  </si>
  <si>
    <t>Generally considered safe for short-term use but requires careful monitoring; risk of dependence and withdrawal symptoms.</t>
  </si>
  <si>
    <t>Common adverse events include sedation, dizziness, weakness, and confusion; risk of paradoxical reactions (increased agitation or aggression).</t>
  </si>
  <si>
    <t>Costs can range from $200 to $1,200 annually depending on usage and insurance coverage.</t>
  </si>
  <si>
    <t>Typically prescribed for adults; caution advised in older adults due to increased sensitivity.</t>
  </si>
  <si>
    <t>Used across all genders; however, women are statistically more likely to be prescribed benzodiazepines.</t>
  </si>
  <si>
    <t>LORAZEPAM 40MG/10ML INJ</t>
  </si>
  <si>
    <t>Excessive worry, Irritability, Muscle tension, Sleep disturbances, Panic attacks, Tremors, Restlessness</t>
  </si>
  <si>
    <t>Approximately 31.1% of adults experience any anxiety disorder at some point in their lives (about 40 million adults in the USA)</t>
  </si>
  <si>
    <t>Patients with anxiety disorders often experience significant impairments in social, occupational, and other important areas of functioning. Quality of life can be substantially improved with effective treatment.</t>
  </si>
  <si>
    <t>Lorazepam is effective for acute anxiety relief, with onset of action typically within 30 minutes to 1 hour after administration.</t>
  </si>
  <si>
    <t>Generally considered safe for short-term use; however, it carries risks of dependency and tolerance. Should be used with caution in patients with history of substance abuse.</t>
  </si>
  <si>
    <t>Drowsiness, sedation, dizziness, confusion, impaired coordination, respiratory depression (especially in high doses or with other CNS depressants)</t>
  </si>
  <si>
    <t>Approximately $1,200 to $2,000 depending on dosing and frequency of use.</t>
  </si>
  <si>
    <t>Adults (commonly used in adults aged 18-65)</t>
  </si>
  <si>
    <t>No significant gender preference, although anxiety disorders are more prevalent in women.</t>
  </si>
  <si>
    <t>NALOXONE HCL(EQV-NARCAN) 0.4MG/ML INJ</t>
  </si>
  <si>
    <t>Respiratory depression, altered mental status, pinpoint pupils, loss of consciousness</t>
  </si>
  <si>
    <t>Approximately 2.5 million people with opioid use disorder in the USA</t>
  </si>
  <si>
    <t>Varies; recovery from opioid addiction can lead to improved quality of life, but overdose incidents can have critical health impacts</t>
  </si>
  <si>
    <t>Naloxone is highly effective in reversing opioid overdose when administered in time, with an estimated efficacy rate of over 90%</t>
  </si>
  <si>
    <t>Generally considered safe; can be administered by bystanders without medical training</t>
  </si>
  <si>
    <t>Withdrawal symptoms (e.g., nausea, vomiting, sweating), agitation, return of opioid effects due to shorter duration of action compared to opioids</t>
  </si>
  <si>
    <t>Naloxone can be obtained at a cost ranging from $20 to $125 per dose; coverage may vary based on insurance</t>
  </si>
  <si>
    <t>All ages; particularly critical for high-risk populations (often adults aged 25-54)</t>
  </si>
  <si>
    <t>Affects all genders, but higher prevalence of opioid use disorder noted in males</t>
  </si>
  <si>
    <t>Small molecule (opioid antagonist)</t>
  </si>
  <si>
    <t>DIAZEPAM 5MG/ML INJ</t>
  </si>
  <si>
    <t>Anxiety, Muscle Tension, Spasms, Seizures, Insomnia</t>
  </si>
  <si>
    <t>Approximately 18% of adults experience anxiety disorders in any given year in the USA.</t>
  </si>
  <si>
    <t>Improved with treatment; however, long-term use can lead to dependency and withdrawal issues.</t>
  </si>
  <si>
    <t>Generally high for short-term management of anxiety and seizure disorders; effectiveness may decrease with prolonged use due to tolerance.</t>
  </si>
  <si>
    <t>Generally considered safe for short-term use; caution is advised for long-term use due to potential for dependence and withdrawal symptoms.</t>
  </si>
  <si>
    <t>Drowsiness, dizziness, confusion, fatigue, ataxia, and risk of dependency.</t>
  </si>
  <si>
    <t>Approximately $1,000 - $4,000 depending on frequency of use, formulation, and insurance coverage.</t>
  </si>
  <si>
    <t>Commonly prescribed to adults, but can be used in children under strict medical supervision.</t>
  </si>
  <si>
    <t>No significant gender disparity in usage; effects and risks are similar across genders.</t>
  </si>
  <si>
    <t>METHYLENE BLUE 0.5% INJ</t>
  </si>
  <si>
    <t>Methemoglobinemia</t>
  </si>
  <si>
    <t>Cyanosis, fatigue, shortness of breath, dizziness, headache, increased heart rate</t>
  </si>
  <si>
    <t>Approximately 1 in 50,000 to 1 in 100,000 live births in the USA</t>
  </si>
  <si>
    <t>Patients can experience significant improvements in quality of life if treated promptly, as symptoms can be debilitating</t>
  </si>
  <si>
    <t>Methylene blue is generally effective, with response rates around 80% in acute cases</t>
  </si>
  <si>
    <t>Generally considered safe when administered correctly; contraindicated in patients with G6PD deficiency</t>
  </si>
  <si>
    <t>Headache, dizziness, urine discoloration (blue/green), gastrointestinal disturbances</t>
  </si>
  <si>
    <t>Approximately $1,000 to $2,500 (depends on hospital and location)</t>
  </si>
  <si>
    <t>All age groups; most commonly seen in infants</t>
  </si>
  <si>
    <t>Small molecule injectable therapy</t>
  </si>
  <si>
    <t>CYSTARAN 0.44% SOLN,OPH</t>
  </si>
  <si>
    <t>Accumulation of cystine in lysosomes leads to renal tubular Fanconi syndrome, growth retardation, ocular deposits causing photophobia, corneal damage, and potential vision loss.</t>
  </si>
  <si>
    <t>Significantly impacted by chronic symptoms and complications, affecting physical health and mental well-being.</t>
  </si>
  <si>
    <t>High efficacy in reducing cystine accumulation when used continuously.</t>
  </si>
  <si>
    <t>Generally well-tolerated; long-term treatment is necessary to maintain cystine levels.</t>
  </si>
  <si>
    <t>Common adverse events include gastrointestinal symptoms like nausea and abdominal pain; rare cases of liver toxicity.</t>
  </si>
  <si>
    <t>Cost can exceed $100,000 per year.</t>
  </si>
  <si>
    <t>Most commonly diagnosed in infants or early childhood; can be used throughout life.</t>
  </si>
  <si>
    <t>Equal prevalence in both males and females.</t>
  </si>
  <si>
    <t>FILSPARI 200MG TAB</t>
  </si>
  <si>
    <t>IgA Nephropathy</t>
  </si>
  <si>
    <t>Blood in urine (hematuria), protein in urine (proteinuria), swelling in the legs and feet (edema), high blood pressure, kidney dysfunction.</t>
  </si>
  <si>
    <t>Approximately 0.5 to 1.0 per 100,000 individuals in the USA.</t>
  </si>
  <si>
    <t>The quality of life can be significantly affected due to fatigue, complications from kidney disease, and psychological effects of chronic illness.</t>
  </si>
  <si>
    <t>Clinical trials show that FILSPARI (ferumoxytol for patients with IgA nephropathy) successfully reduces proteinuria and improves renal function, with an efficacy rate of about 30% in reducing proteinuria by more than 50% over 6 months.</t>
  </si>
  <si>
    <t>Generally well-tolerated with a safety profile similar to other therapies for chronic kidney disease, but long-term safety data is still being evaluated.</t>
  </si>
  <si>
    <t>The most common adverse events include hypotension, nausea, and headache, with rates around 15-20%.</t>
  </si>
  <si>
    <t>Approximately $30,000 to $50,000 per year, depending on insurance coverage and patient co-pay.</t>
  </si>
  <si>
    <t>Primarily adults aged 18-64 years.</t>
  </si>
  <si>
    <t>More prevalent in males, but affects both genders with slight male predominance.</t>
  </si>
  <si>
    <t>Small molecules, anti-inflammatory agent.</t>
  </si>
  <si>
    <t>FILSPARI 400MG TAB</t>
  </si>
  <si>
    <t>Focal Segmental Glomerulosclerosis (FSGS)</t>
  </si>
  <si>
    <t>Edema (swelling), hypertension (high blood pressure), proteinuria (excess protein in urine), fatigue, decreased kidney function</t>
  </si>
  <si>
    <t>Approximately 3.5 to 5 per 100,000 people in the USA</t>
  </si>
  <si>
    <t>Quality of life can be significantly impacted due to symptoms and complications such as kidney failure and the need for dialysis or transplantation</t>
  </si>
  <si>
    <t>Clinical trials have shown efficacy in reducing proteinuria and improving kidney function in patients with FSGS</t>
  </si>
  <si>
    <t>Generally well-tolerated; ongoing monitoring required due to potential renal and cardiovascular implications</t>
  </si>
  <si>
    <t>Common adverse events include hypertension, elevated serum creatinine, hypoalbuminemia, and edema; can also cause infections</t>
  </si>
  <si>
    <t>Estimated annual therapy costs range from $20,000 to $30,000, depending on insurance and healthcare settings</t>
  </si>
  <si>
    <t>Primarily affects adults, typically between 20 and 50 years old, but can occur at any age</t>
  </si>
  <si>
    <t>Small molecule (Filspari is a targeted therapy for FSGS)</t>
  </si>
  <si>
    <t>YUTIQ 0.18 MG, IMPLANT</t>
  </si>
  <si>
    <t>Eye redness, blurred vision, light sensitivity, floaters, pain in the eye</t>
  </si>
  <si>
    <t>Approximately 38,000 cases of uveitis are reported annually in the USA</t>
  </si>
  <si>
    <t>Can significantly affect daily activities and mental health, leading to a reduced quality of life</t>
  </si>
  <si>
    <t>Clinical studies show that YUTIQ provides sustained reduction in inflammation with improved visual outcomes in 70-80% of patients</t>
  </si>
  <si>
    <t>Generally well-tolerated; ongoing monitoring is necessary due to potential side effects</t>
  </si>
  <si>
    <t>Increased intraocular pressure (IOP), cataract formation, eye pain, and retinal detachment</t>
  </si>
  <si>
    <t>Approximately $18,000 - $25,000 per implant, depending on insurance coverage and additional treatments</t>
  </si>
  <si>
    <t>Affects both males and females equally, though incidence can vary based on underlying autoimmune conditions</t>
  </si>
  <si>
    <t>Implant (sustained-release corticosteroid)</t>
  </si>
  <si>
    <t>DIBENZYLINE 10MG CAP</t>
  </si>
  <si>
    <t>High blood pressure (hypertension), headaches, sweating, palpitations, anxiety, and flushing.</t>
  </si>
  <si>
    <t>Approximately 0.1-0.6 cases per 100,000 person-years in the general population; higher in specific populations (e.g., those with familial syndromes).</t>
  </si>
  <si>
    <t>Patients often have a significantly impaired quality of life due to recurrent symptoms and complications from hypertension.</t>
  </si>
  <si>
    <t>Dibenzyline is effective in managing symptoms of pheochromocytoma, particularly hypertension, with an expected reduction in systolic blood pressure of 20-40 mmHg in many patients.</t>
  </si>
  <si>
    <t>Generally well-tolerated, but caution is advised due to the potential for significant side effects.</t>
  </si>
  <si>
    <t>Common adverse events include orthostatic hypotension, dry mouth, nasal congestion, drowsiness, and gastrointestinal disturbances.</t>
  </si>
  <si>
    <t>Approximately $800-$1,500.</t>
  </si>
  <si>
    <t>Primarily adults, but can occur in adolescents and older adults.</t>
  </si>
  <si>
    <t>No significant gender predilection; both males and females are affected.</t>
  </si>
  <si>
    <t>Antihypertensive agent (specifically, a non-selective alpha-adrenergic antagonist).</t>
  </si>
  <si>
    <t>XOSPATA 40MG TAB</t>
  </si>
  <si>
    <t>Fatigue, fever, easy bruising or bleeding, frequent infections, weight loss, pale skin, shortness of breath.</t>
  </si>
  <si>
    <t>Approximately 21,380 new cases per year in the USA (as of 2023).</t>
  </si>
  <si>
    <t>Quality of life can be significantly impacted due to symptoms and treatment side effects, with many patients experiencing fatigue and emotional distress.</t>
  </si>
  <si>
    <t>XOSPATA (gilteritinib) has shown an overall response rate of about 56% in patients with FLT3 mutations.</t>
  </si>
  <si>
    <t>Generally well-tolerated; most patients experience manageable adverse effects, especially when monitored.</t>
  </si>
  <si>
    <t>Common adverse events include nausea, diarrhea, fatigue, and elevated liver enzymes.</t>
  </si>
  <si>
    <t>Estimated annual cost is approximately $200,000.</t>
  </si>
  <si>
    <t>Primarily affects adults, particularly those aged 65 and older.</t>
  </si>
  <si>
    <t>Both genders are affected, but there may be a slight male predominance.</t>
  </si>
  <si>
    <t>Small molecule inhibitor (tyrosine kinase inhibitor).</t>
  </si>
  <si>
    <t>FOTIVDA 0.89MG CAP,ORAL</t>
  </si>
  <si>
    <t>Hematuria, flank pain, weight loss, fatigue, fever, and swelling of the legs or abdomen.</t>
  </si>
  <si>
    <t>Approximately 20,000 cases annually in the USA.</t>
  </si>
  <si>
    <t>Varies significantly; many patients experience a decline in quality of life due to symptoms and treatment side effects.</t>
  </si>
  <si>
    <t>Clinical trials indicate a progression-free survival improvement in approximately 60% of patients.</t>
  </si>
  <si>
    <t>Generally well-tolerated; monitoring for hepatotoxicity and gastrointestinal effects is recommended.</t>
  </si>
  <si>
    <t>Fatigue, hypertension, diarrhea, decreased appetite, and nausea. Severe events may include liver enzyme elevation.</t>
  </si>
  <si>
    <t>Approximately $100,000 to $130,000.</t>
  </si>
  <si>
    <t>Primarily adults aged 50-70 years.</t>
  </si>
  <si>
    <t>More common in males (2:1 male-to-female ratio).</t>
  </si>
  <si>
    <t>Small molecule (tyrosine kinase inhibitor).</t>
  </si>
  <si>
    <t>VASOPRESSIN 20UNT/ML INJ</t>
  </si>
  <si>
    <t>Increased thirst, frequent urination, dehydration, low blood pressure, shock</t>
  </si>
  <si>
    <t>Diabetes Insipidus affects about 1 in 25,000 individuals in the USA. Septic shock affects approximately 3-4 cases per 1,000 hospital admissions.</t>
  </si>
  <si>
    <t>Varies significantly; well-controlled diabetes insipidus can lead to a near-normal life quality, while septic shock can reduce quality of life due to complications and morbidity.</t>
  </si>
  <si>
    <t>Effective for managing diabetes insipidus and improving blood pressure in septic shock, often leading to stabilization of the patient.</t>
  </si>
  <si>
    <t>Generally safe when used appropriately, but monitoring is essential for patients, particularly in acute care settings.</t>
  </si>
  <si>
    <t>Common adverse events may include headache, abdominal cramps, nausea, and skin reactions. Severe adverse events can include vasoconstriction-related issues.</t>
  </si>
  <si>
    <t>Approx. $5,000 - $10,000, depending on the duration of treatment and specific patient needs.</t>
  </si>
  <si>
    <t>Primarily all age groups, commonly seen in children for diabetes insipidus and adults in septic shock.</t>
  </si>
  <si>
    <t>No specific gender predisposition, but underlying causes may differ in males and females.</t>
  </si>
  <si>
    <t>Peptide hormone (small molecule).</t>
  </si>
  <si>
    <t>EPINEPHRINE HCL 0.1MG/ML INJ</t>
  </si>
  <si>
    <t>Difficulty breathing, swelling of the face or throat, rapid heartbeat, skin rash, dizziness or fainting, gastrointestinal symptoms (nausea, vomiting).</t>
  </si>
  <si>
    <t>Approximately 1.6% of the U.S. population experiences anaphylaxis at least once in their lifetime.</t>
  </si>
  <si>
    <t>Severe allergic reactions can significantly impact quality of life, leading to anxiety and avoidance behaviors related to allergens.</t>
  </si>
  <si>
    <t>Epinephrine is considered the first-line treatment for anaphylaxis, with rapid resolution of symptoms in most cases when administered correctly.</t>
  </si>
  <si>
    <t>Generally safe when administered as prescribed; however, it must be monitored for risks of serious cardiovascular effects.</t>
  </si>
  <si>
    <t>Common adverse events include palpitations, anxiety, tremors, headache, and injection site reactions. Serious but rare adverse events may include arrhythmias and myocardial ischemia.</t>
  </si>
  <si>
    <t>Estimated at $300-$700 for an epinephrine auto-injector, plus additional healthcare costs related to allergy management.</t>
  </si>
  <si>
    <t>Can be used in all age groups, including children, adults, and the elderly; however, dosing might vary.</t>
  </si>
  <si>
    <t>Rates of anaphylaxis are similar across genders, but there may be variances based on specific allergens (e.g., food allergies may be more prevalent in children).</t>
  </si>
  <si>
    <t>Small molecules (epinephrine is a naturally occurring catecholamine).</t>
  </si>
  <si>
    <t>NALOXONE HCL 1MG/ML SYR LUER-JET NEEDLELESS</t>
  </si>
  <si>
    <t>Respiratory depression, unresponsiveness, pinpoint pupils, shallow or absent breathing, and potentially death.</t>
  </si>
  <si>
    <t>In 2020, approximately 1.2 million people in the USA reported misusing prescription opioids.</t>
  </si>
  <si>
    <t>Naloxone significantly improves the quality of life for individuals at risk of opioid overdose by reversing life-threatening respiratory depression.</t>
  </si>
  <si>
    <t>Naloxone is effective in reversing opioid overdose within minutes, with efficacy rates of 95% when administered correctly.</t>
  </si>
  <si>
    <t>Generally considered safe with a favorable safety profile; naloxone has no significant adverse effects in individuals not currently using opioids.</t>
  </si>
  <si>
    <t>Possible adverse events include withdrawal symptoms in opioid-dependent users, which may include agitation, anxiety, nausea, and vomiting.</t>
  </si>
  <si>
    <t>Costs for naloxone can range from $20 to $150 depending on the formulation and location, without insurance.</t>
  </si>
  <si>
    <t>All age groups may be affected; however, it is often used in adults, particularly those aged 25-54 years.</t>
  </si>
  <si>
    <t>Affects all genders, although opioid overdose rates are historically higher in males.</t>
  </si>
  <si>
    <t>EPINEPHRINE HCL 1MG/ML INJ</t>
  </si>
  <si>
    <t>Difficulty breathing, swelling of the throat, hives, rapid heartbeat, low blood pressure, dizziness or fainting</t>
  </si>
  <si>
    <t>Approximately 2% of the population will experience anaphylaxis in their lifetime</t>
  </si>
  <si>
    <t>Can significantly impact quality of life due to anxiety about potential allergic reactions and the need for emergency preparedness</t>
  </si>
  <si>
    <t>Very high; epinephrine is the first-line treatment for anaphylaxis and is effective at reversing severe allergic reactions</t>
  </si>
  <si>
    <t>Generally considered safe when administered correctly; however, requires careful monitoring in specific populations</t>
  </si>
  <si>
    <t>Palpitations, anxiety, tremor, headache, hypertension, and injection site reactions</t>
  </si>
  <si>
    <t>Approximately $0 to $600 depending on the presence of prescribed auto-injectors (e.g., EpiPen, which can cost around $300 per two-pack)</t>
  </si>
  <si>
    <t>All age groups; most commonly used in pediatric and adult patients experiencing anaphylaxis</t>
  </si>
  <si>
    <t>No significant gender disparity in the incidence of anaphylaxis</t>
  </si>
  <si>
    <t>Small molecules (class of catecholamines)</t>
  </si>
  <si>
    <t>EFFEXOR XR 37.5MG CAP</t>
  </si>
  <si>
    <t>Persistent sadness, lack of interest in activities, fatigue, changes in appetite, anxiety, excessive worry, restlessness</t>
  </si>
  <si>
    <t>Approximately 7% of adults in the USA experience MDD each year; 3.1% of adults have GAD annually</t>
  </si>
  <si>
    <t>Significantly improved with effective treatment, but can be severely impacted during untreated episodes</t>
  </si>
  <si>
    <t>60-70% of patients show improvement in symptoms with proper treatment</t>
  </si>
  <si>
    <t>Generally well-tolerated; however, requires monitoring for serotonin syndrome and other risks</t>
  </si>
  <si>
    <t>Commonly reported adverse events include nausea, dry mouth, dizziness, insomnia, and sexual dysfunction</t>
  </si>
  <si>
    <t>Approximately $600 - $1,200 per year, depending on insurance and dosage</t>
  </si>
  <si>
    <t>Typically 18-65 years, but can be prescribed to adolescents and older adults under supervision</t>
  </si>
  <si>
    <t>More frequently prescribed to women compared to men, reflecting higher prevalence of depression in women</t>
  </si>
  <si>
    <t>XANAX 0.25MG TAB</t>
  </si>
  <si>
    <t>Excessive worry, restlessness, fatigue, difficulty concentrating, irritability, muscle tension, and sleep disturbances; in panic disorder, symptoms may include sudden feelings of terror, rapid heartbeat, sweating, shaking, shortness of breath, and a feeling of choking.</t>
  </si>
  <si>
    <t>Approximately 3.1% of the adult population in the USA suffers from GAD annually, and around 2-3% experience panic disorder.</t>
  </si>
  <si>
    <t>Significantly impaired due to symptoms that can disrupt daily functioning, social interactions, and overall well-being.</t>
  </si>
  <si>
    <t>Effective for reducing the symptoms of anxiety and panic in many patients, with rapid onset of action.</t>
  </si>
  <si>
    <t>Generally considered safe when used as prescribed; however, risks of dependence and withdrawal exist, particularly with long-term use.</t>
  </si>
  <si>
    <t>Common adverse effects include drowsiness, dizziness, tiredness, blurred vision, and difficulty concentrating. Serious but rare adverse events can include respiratory depression and increased risk of overdose, especially when combined with other CNS depressants.</t>
  </si>
  <si>
    <t>Approximately $50 to $100 per month depending on insurance coverage, totaling around $600 to $1200 annually.</t>
  </si>
  <si>
    <t>Primarily adults, but can be prescribed to adolescents under medical supervision.</t>
  </si>
  <si>
    <t>More prevalent in females than males, with a ratio of approximately 2:1.</t>
  </si>
  <si>
    <t>XANAX 0.5MG TAB</t>
  </si>
  <si>
    <t>Excessive worry, restlessness, fatigue, difficulty concentrating, irritability, muscle tension, sleep disturbances, panic attacks, rapid heartbeat, sweating, trembling</t>
  </si>
  <si>
    <t>Approximately 3.1% of the adult population in the USA for GAD; around 2-3% for panic disorder annually</t>
  </si>
  <si>
    <t>Significantly impaired quality of life, affecting social, occupational, and interpersonal functioning</t>
  </si>
  <si>
    <t>Approximately 70-80% response rate for anxiety symptoms in short-term studies; effective for rapid relief of acute anxiety attacks</t>
  </si>
  <si>
    <t>Generally considered safe for short-term use; long-term use may lead to dependency and tolerance</t>
  </si>
  <si>
    <t>Drowsiness, dizziness, confusion, memory impairment, fatigue, irritability, potential withdrawal symptoms; risks for abuse and dependence</t>
  </si>
  <si>
    <t>Approximately $1,900 - $2,500 (with average prescription costs and associated therapy sessions)</t>
  </si>
  <si>
    <t>18 years and older; common in adults with onset typically in late teens to early 30s</t>
  </si>
  <si>
    <t>More prevalent in females (around 60% of cases) compared to males</t>
  </si>
  <si>
    <t>XANAX XR 0.5MG TAB</t>
  </si>
  <si>
    <t>Excessive worry, restlessness, fatigue, difficulty concentrating, irritability, muscle tension, sleep disturbances, and panic attacks.</t>
  </si>
  <si>
    <t>Approximately 3.1% of adults in the USA have GAD in any given year; panic disorder affects around 2-3% of the population.</t>
  </si>
  <si>
    <t>Anxiety disorders can significantly impair quality of life, with individuals often experiencing disruptions in social, occupational, and daily functioning.</t>
  </si>
  <si>
    <t>Effective for reducing anxiety symptoms, studies show that benzodiazepines like Xanax can provide rapid relief; however, long-term efficacy is debated.</t>
  </si>
  <si>
    <t>Generally considered safe for short-term use; long-term use poses risks of dependence and withdrawal symptoms.</t>
  </si>
  <si>
    <t>Drowsiness, dizziness, tiredness, blurred vision, and potential cognitive impairment; risk of addiction and withdrawal symptoms with prolonged use.</t>
  </si>
  <si>
    <t>Estimated at $2,000 to $4,500 depending on duration and dosage; costs may vary based on insurance coverage and pharmacy pricing.</t>
  </si>
  <si>
    <t>Primarily indicated for adults; safety and efficacy in pediatric populations have not been well established.</t>
  </si>
  <si>
    <t>More commonly prescribed to women than men, likely due to higher prevalence rates of anxiety disorders in women.</t>
  </si>
  <si>
    <t>XANAX XR 1MG TAB</t>
  </si>
  <si>
    <t>Approximately 3.1% of the adult population annually in the USA</t>
  </si>
  <si>
    <t>Significant improvements in quality of life reported with proper treatment, but anxiety can severely impair daily functioning if untreated</t>
  </si>
  <si>
    <t>Around 60-80% of patients experience a reduction in anxiety symptoms with benzodiazepine treatment, including Xanax XR</t>
  </si>
  <si>
    <t>Generally considered safe for short-term use; caution required for long-term use due to dependence risks</t>
  </si>
  <si>
    <t>Drowsiness, dizziness, dry mouth, light-headedness, memory problems, potential for dependence</t>
  </si>
  <si>
    <t>Approximately $500 - $1,200, depending on insurance coverage and dosage frequency</t>
  </si>
  <si>
    <t>Primarily adults (18-65 years), but can be prescribed to adolescents and seniors with caution</t>
  </si>
  <si>
    <t>More prevalent in females than males (approximately 2:1 ratio)</t>
  </si>
  <si>
    <t>XANAX XR 2MG TAB</t>
  </si>
  <si>
    <t>Excessive anxiety or worry, restlessness, fatigue, difficulty concentrating, irritability, muscle tension, sleep disturbances</t>
  </si>
  <si>
    <t>Approximately 3.1% of adults in the USA have GAD; around 4.7% experience Panic Disorder at some point in their lives</t>
  </si>
  <si>
    <t>GAD and Panic Disorder can significantly impair daily functioning, impacting work, relationships, and overall life satisfaction</t>
  </si>
  <si>
    <t>About 60-80% of patients experience improvement in symptoms with appropriate treatment, including Xanax XR</t>
  </si>
  <si>
    <t>Generally considered effective for short-term use; long-term use carries risks of dependence and withdrawal symptoms</t>
  </si>
  <si>
    <t>Drowsiness, dizziness, fatigue, changes in appetite, potential for addiction, mood swings, confusion, impaired coordination</t>
  </si>
  <si>
    <t>Approximately $1,200 - $2,400 depending on dosage and insurance coverage</t>
  </si>
  <si>
    <t>Typically prescribed to adults (18 years and older)</t>
  </si>
  <si>
    <t>More commonly prescribed to females, who are more likely to experience anxiety disorders than males</t>
  </si>
  <si>
    <t>XANAX XR 3MG TAB</t>
  </si>
  <si>
    <t>Persistent excessive worry, restlessness, fatigue, difficulty concentrating, irritability, muscle tension, and sleep disturbances. In panic disorder, symptoms may include sudden bouts of intense fear, heart palpitations, shortness of breath, and dizziness.</t>
  </si>
  <si>
    <t>Approximately 3.1% of adults in the USA experience GAD and about 2-3% experience panic disorder annually.</t>
  </si>
  <si>
    <t>Anxiety disorders can significantly impact quality of life, leading to difficulties in personal relationships, work, and social settings. Many patients may report a decreased quality of life due to their symptoms.</t>
  </si>
  <si>
    <t>XANAX XR (alprazolam) is considered effective for reducing the symptoms of GAD and panic disorder, with studies showing improvement in overall anxiety levels and reduction in panic attacks in a significant percentage of users.</t>
  </si>
  <si>
    <t>XANAX XR is generally well-tolerated; however, long-term use can lead to tolerance, dependence, and withdrawal symptoms. Risk-benefit assessment is essential before initiating therapy.</t>
  </si>
  <si>
    <t>Common adverse events include drowsiness, dizziness, dry mouth, constipation, blurred vision, and changes in appetite. Serious adverse events may include allergic reactions, severe mood changes, and respiratory depression, especially when combined with other CNS depressants.</t>
  </si>
  <si>
    <t>The estimated annual cost of Xanax XR therapy can range from $1,500 to $3,500, depending on insurance coverage and the specific dosage required.</t>
  </si>
  <si>
    <t>Typically prescribed to adults; however, it may be used in adolescents under strict medical supervision.</t>
  </si>
  <si>
    <t>Both genders are affected, but women are more likely to be prescribed anti-anxiety medications.</t>
  </si>
  <si>
    <t>XANAX 1MG TAB</t>
  </si>
  <si>
    <t>Excessive worry, restlessness, fatigue, difficulty concentrating, irritability, muscle tension, sleep disturbances, panic attacks</t>
  </si>
  <si>
    <t>Approximately 3.1% of the adult population in the USA for GAD; about 4.7% for Panic Disorder</t>
  </si>
  <si>
    <t>Significant improvement in quality of life with effective treatment; reduction in anxiety-related impairments</t>
  </si>
  <si>
    <t>Generally considered effective; approximately 50-70% of patients experience significant symptom relief</t>
  </si>
  <si>
    <t>Generally safe when used as prescribed; potential for dependency and withdrawal symptoms</t>
  </si>
  <si>
    <t>Drowsiness, dizziness, fatigue, confusion, impaired coordination, potential for abuse, withdrawal symptoms</t>
  </si>
  <si>
    <t>Approximately $200 - $600 (depending on insurance coverage and duration of therapy)</t>
  </si>
  <si>
    <t>Primarily adults; common in ages 18-65</t>
  </si>
  <si>
    <t>More prevalent in women (approximately 60% of cases)</t>
  </si>
  <si>
    <t>Benzodiazepine</t>
  </si>
  <si>
    <t>ZOLOFT 50MG TAB</t>
  </si>
  <si>
    <t>Persistent sadness, loss of interest, fatigue, changes in appetite, insomnia or oversleeping, feelings of worthlessness, anxiety, excessive worry, restlessness.</t>
  </si>
  <si>
    <t>Approximately 7.1% of adults in the USA experience major depressive disorder in a given year; roughly 3.1% for generalized anxiety disorder.</t>
  </si>
  <si>
    <t>Significant improvement in quality of life reported with effective treatment, although chronic conditions may still limit functioning.</t>
  </si>
  <si>
    <t>Efficacy rates for Zoloft range from 50% to 70% in reducing symptoms of depression and anxiety.</t>
  </si>
  <si>
    <t>Generally considered safe; may cause side effects but overall has a favorable safety profile when monitored.</t>
  </si>
  <si>
    <t>Common adverse events include gastrointestinal upset, sexual dysfunction, insomnia, drowsiness, and dry mouth. Serious events can include serotonin syndrome risk and increased suicidal thoughts in young adults.</t>
  </si>
  <si>
    <t>Approximately $600 to $1000 without insurance, depending on dosage and pharmacy pricing.</t>
  </si>
  <si>
    <t>Approved for use in adults and children aged 6 and older for depression; adults primarily for anxiety.</t>
  </si>
  <si>
    <t>Both genders are affected, but women are more likely to be prescribed antidepressants compared to men.</t>
  </si>
  <si>
    <t>LYRICA 50MG CAP UNIT DOSE</t>
  </si>
  <si>
    <t>Chronic pain, fatigue, sleep disturbances, anxiety, tenderness in various body parts</t>
  </si>
  <si>
    <t>Approximately 2% for fibromyalgia and about 3-8% for neuropathic pain in the USA</t>
  </si>
  <si>
    <t>Patients often report decreased quality of life due to chronic pain and associated symptoms</t>
  </si>
  <si>
    <t>Clinical studies show LYRICA reduces pain levels by approximately 30-50% in fibromyalgia and neuropathic pain patients</t>
  </si>
  <si>
    <t>Generally well-tolerated; common side effects do not typically lead to severe complications</t>
  </si>
  <si>
    <t>Dizziness, sedation, weight gain, peripheral edema, and dry mouth</t>
  </si>
  <si>
    <t>Approximately $6,000 to $8,000 per year, depending on insurance coverage and dosage</t>
  </si>
  <si>
    <t>Typically prescribed for adults aged 18-65</t>
  </si>
  <si>
    <t>More common in females, especially for fibromyalgia (approximately 80% are female)</t>
  </si>
  <si>
    <t>Small molecule anticonvulsant and analgesic</t>
  </si>
  <si>
    <t>LYRICA 100MG CAP UNIT DOSE</t>
  </si>
  <si>
    <t>Chronic pain, fatigue, difficulty sleeping, numbness, tingling, seizures</t>
  </si>
  <si>
    <t>Approximately 4% for fibromyalgia; about 7-8% for neuropathic pain; epilepsy prevalence about 1% in the USA</t>
  </si>
  <si>
    <t>Significant improvement reported in chronic pain conditions; however, symptoms can severely affect daily functioning and life satisfaction.</t>
  </si>
  <si>
    <t>Generally effective, with a 30-50% reduction in pain reported in fibromyalgia and neuropathic pain studies; seizure control varies; overall response varies per individual</t>
  </si>
  <si>
    <t>Generally well-tolerated; however, caution advised for those with renal impairment; use in pregnancy should be evaluated against potential risks</t>
  </si>
  <si>
    <t>Common adverse events include dizziness, drowsiness, dry mouth, edema, blurred vision; serious events are rare but can include mood changes</t>
  </si>
  <si>
    <t>Approximately $5,000 to $10,000 per year, depending on insurance coverage and specific patient circumstances</t>
  </si>
  <si>
    <t>Typically prescribed for adults (18+); some adolescents may use it off-label for epilepsy</t>
  </si>
  <si>
    <t>More prescribed for women, especially for fibromyalgia, but used for both genders across other conditions</t>
  </si>
  <si>
    <t>LYRICA 150MG CAP UNIT DOSE</t>
  </si>
  <si>
    <t>Widespread musculoskeletal pain, fatigue, sleep disturbances, cognitive difficulties, tingling or numbness, seizures</t>
  </si>
  <si>
    <t>Approximately 4 million adults in the USA have fibromyalgia; neuropathic pain affects about 7-10% of the population; epilepsy affects about 1.2% of the population</t>
  </si>
  <si>
    <t>Significant impairment in quality of life due to chronic pain and associated symptoms, often comparable to that seen in chronic diseases such as diabetes and heart disease</t>
  </si>
  <si>
    <t>Approximately 50-70% of patients report significant improvement in symptoms with Lyrica</t>
  </si>
  <si>
    <t>Generally considered safe; risk of misuse and potential for dependence, especially at higher doses</t>
  </si>
  <si>
    <t>Common events include dizziness, fatigue, drowsiness, and peripheral edema; rare serious effects include suicidal thoughts and allergic reactions</t>
  </si>
  <si>
    <t>Approximately $8,000 - $10,000 depending on dosage and insurance coverage</t>
  </si>
  <si>
    <t>Approved for adults aged 18 years and older; off-label use in certain pediatric populations</t>
  </si>
  <si>
    <t>More prevalent in females (fibromyalgia affects women more than men)</t>
  </si>
  <si>
    <t>Small molecules (specifically, a gabapentinoid)</t>
  </si>
  <si>
    <t>LYRICA 150MG CAP</t>
  </si>
  <si>
    <t>Pain, fatigue, sleep disturbances, distress, and cognitive issues (in fibromyalgia); burning pain, tingling sensations, and numbness (in diabetic neuropathic pain); and seizure episodes (in epilepsy).</t>
  </si>
  <si>
    <t>Approximately 4 million adults in the USA experience fibromyalgia (about 2% of the population), with diabetic neuropathy affecting around 30% of diabetic patients.</t>
  </si>
  <si>
    <t>Significantly affected; patients report reduced physical functioning, increased disability, and poorer overall health.</t>
  </si>
  <si>
    <t>30-50% reduction in pain symptoms for fibromyalgia and neuropathic pain; antiepileptic effects vary; generally effective in reducing seizures in epilepsy.</t>
  </si>
  <si>
    <t>Generally well tolerated; however, long-term data are limited. Current understanding indicates it has a favorable safety profile compared to other options.</t>
  </si>
  <si>
    <t>Common adverse events include dizziness (30%), somnolence (25%), dry mouth (10%), and weight gain (10%). Serious adverse events are rare.</t>
  </si>
  <si>
    <t>Approximately $4,500 to $10,000 depending on insurance coverage and treatment duration.</t>
  </si>
  <si>
    <t>Approved for adults and children ages 1 month and older (age indications vary by condition).</t>
  </si>
  <si>
    <t>More commonly prescribed to women, especially for fibromyalgia, which predominantly affects women (up to 80% of patients).</t>
  </si>
  <si>
    <t>Small molecule, specifically an anticonvulsant and analgesic.</t>
  </si>
  <si>
    <t>LYRICA 200MG CAP</t>
  </si>
  <si>
    <t>Chronic widespread pain, fatigue, sleep disturbances, mood disorders (in fibromyalgia); burning, tingling, or sharp pain (in neuropathic pain); seizures (in epilepsy)</t>
  </si>
  <si>
    <t>Fibromyalgia: approximately 2% of the population; Neuropathic Pain: estimated 7-8% of adults; Epilepsy: approximately 1% of the population</t>
  </si>
  <si>
    <t>Significant improvements in quality of life reported for fibromyalgia and neuropathic pain patients using Lyrica, but some patients may still experience chronic symptoms</t>
  </si>
  <si>
    <t>Effective for reducing pain and improving functionality in fibromyalgia and neuropathic pain; efficacy rates vary, but approximately 30-50% of patients experience significant pain reductions</t>
  </si>
  <si>
    <t>Generally well-tolerated; risk of sedation, dizziness, and weight gain; monitoring is recommended, especially in elderly patients</t>
  </si>
  <si>
    <t>Common adverse events include dizziness (14-26%), somnolence (12-21%), dry mouth (10-14%), edema (10%), and weight gain (5-10%); serious effects may include suicidal thoughts/behavior</t>
  </si>
  <si>
    <t>Approximately $600-$1,500 depending on insurance coverage and dosage; the cost may vary widely among different healthcare plans</t>
  </si>
  <si>
    <t>Approved for use in adults, with consideration of some cases in adolescents (neuropathic pain and epilepsy)</t>
  </si>
  <si>
    <t>More common in women for fibromyalgia; neuropathic pain affects both genders equally; epilepsy shows varied prevalence based on etiology and demographic factors</t>
  </si>
  <si>
    <t>Small molecule anticonvulsant and neuropathic pain medication</t>
  </si>
  <si>
    <t>LYRICA 300MG CAP</t>
  </si>
  <si>
    <t>Widespread pain, fatigue, sleep disturbances, cognitive issues (often referred to as "fibro fog"), and tenderness in localized areas.</t>
  </si>
  <si>
    <t>Approximately 4% of adults in the USA have fibromyalgia; neuropathic pain affects about 7-8% of the population.</t>
  </si>
  <si>
    <t>Fibromyalgia significantly impacts quality of life, with individuals often reporting lower physical functioning, fatigue, and increased emotional distress.</t>
  </si>
  <si>
    <t>Lyrica (pregabalin) has been shown to be effective in reducing pain levels and improving overall functioning in conditions like fibromyalgia and neuropathic pain, with efficacy rates around 30-50%.</t>
  </si>
  <si>
    <t>Generally well-tolerated but may cause sedation, dizziness, and cognitive impairment in some patients.</t>
  </si>
  <si>
    <t>Common adverse events include drowsiness (30-50%), dizziness (25-30%), and weight gain. Severe adverse events are rare.</t>
  </si>
  <si>
    <t>Approximately $3,000 to $4,500 per year, depending on insurance coverage and prescription amounts.</t>
  </si>
  <si>
    <t>Most commonly prescribed for adults aged 18-65 years.</t>
  </si>
  <si>
    <t>More prevalent in females, with about 80% of fibromyalgia patients being women.</t>
  </si>
  <si>
    <t>LYRICA 225MG CAP</t>
  </si>
  <si>
    <t>Chronic pain, fatigue, sleep disturbances, cognitive difficulties, tingling or burning sensations in limbs</t>
  </si>
  <si>
    <t>Fibromyalgia affects approximately 2% of the adult population in the USA; neuropathic pain prevalence is roughly 7-10%; epilepsy affects about 1% of the population.</t>
  </si>
  <si>
    <t>Significantly impacted due to chronic pain and associated symptoms; patients often report lower quality of life indices.</t>
  </si>
  <si>
    <t>LYRICA shows about 30-50% improvement in pain scores for fibromyalgia and neuropathic pain in clinical trials; efficacy for epilepsy is approximately 70% for seizure control.</t>
  </si>
  <si>
    <t>Generally well-tolerated, though some patients may experience sedation or dizziness; careful monitoring recommended in specific populations (e.g., renal impairment).</t>
  </si>
  <si>
    <t>Common adverse events include dizziness, sleepiness, dry mouth, and swelling of limbs; rare serious adverse events include allergic reactions and mood changes.</t>
  </si>
  <si>
    <t>Approximately $1,500 to $4,000 depending on prescription coverage and dosage.</t>
  </si>
  <si>
    <t>Approved for adults and children over 1 year of age; commonly prescribed for adults aged 30-60 years.</t>
  </si>
  <si>
    <t>More frequently diagnosed in women (Fibromyalgia affects women about 7 times more than men).</t>
  </si>
  <si>
    <t>Small molecule (anticonvulsant).</t>
  </si>
  <si>
    <t>LYRICA 20MG/ML ORAL SOL</t>
  </si>
  <si>
    <t>Chronic pain, tenderness, fatigue, sleep disturbances, anxiety (specific to fibromyalgia); numbness, tingling, and burning pain (specific to neuropathic pain); seizures (specific to epilepsy)</t>
  </si>
  <si>
    <t>Approximately 3-5% for fibromyalgia; around 7-10% for neuropathic pain conditions; epilepsy affects about 1% of the population in the USA.</t>
  </si>
  <si>
    <t>Often significantly impaired; patients may experience difficulties in daily activities, work, and social interactions.</t>
  </si>
  <si>
    <t>Efficacy of Lyrica has been demonstrated in reducing pain associated with fibromyalgia (about 30% improvement in symptoms), neuropathic pain (up to 50% in some studies), and reduces seizure frequency in epilepsy.</t>
  </si>
  <si>
    <t>Generally considered safe for most patients; however, monitoring is recommended, especially for those with renal impairment or those using other CNS depressants.</t>
  </si>
  <si>
    <t>Common adverse events include dizziness, somnolence, dry mouth, edema, weight gain, and blurred vision. Less common but serious events can include allergic reactions and suicidal thoughts.</t>
  </si>
  <si>
    <t>Approximately $5,000 to $14,000 depending on dosage and insurance coverage.</t>
  </si>
  <si>
    <t>Approved for adults and children 1 year and older, with dosing variations based on condition and age.</t>
  </si>
  <si>
    <t>Affects both genders, but fibromyalgia is more prevalent in women (90% of diagnosed cases) while neuropathic pain and epilepsy show a more even gender distribution.</t>
  </si>
  <si>
    <t>Small molecule drug (anticonvulsant)</t>
  </si>
  <si>
    <t>EPI-PEN JR 0.15MG/0.3ML INJECTOR</t>
  </si>
  <si>
    <t>Difficulty breathing, swelling of the face, lips, or throat, hives, rapid heartbeat, dizziness or lightheadedness, stomach pain, nausea or vomiting.</t>
  </si>
  <si>
    <t>Approximately 1.6% of the U.S. population experiences anaphylaxis at some point in their life.</t>
  </si>
  <si>
    <t>Anaphylaxis can significantly impair quality of life due to fear of exposure to allergens and the need for continuous vigilance.</t>
  </si>
  <si>
    <t>EpiPen Jr is highly effective when administered promptly; can reverse life-threatening symptoms of anaphylaxis when used within minutes.</t>
  </si>
  <si>
    <t>Generally considered safe when used as directed; however, requires proper technique to ensure effective delivery.</t>
  </si>
  <si>
    <t>Common adverse events include injection site reactions, increased heart rate, anxiety, headache, dizziness, tremor.</t>
  </si>
  <si>
    <t>Approximately $600-$800 per year for a two-pack of EpiPens, depending on insurance coverage and co-pays.</t>
  </si>
  <si>
    <t>Primarily used in children and adolescents (0-18 years) but can also be prescribed for adults if necessary.</t>
  </si>
  <si>
    <t>Affects all genders equally, though specific allergic triggers may vary based on individual factors.</t>
  </si>
  <si>
    <t>Auto-injector for epinephrine (a small molecule, emergency therapy).</t>
  </si>
  <si>
    <t>EPIPEN 2-PAK 0.3MG AUTO-INJECTOR</t>
  </si>
  <si>
    <t>Difficulty breathing, swelling of the face or throat, rapid heartbeat, hives, stomach cramps, dizziness, loss of consciousness</t>
  </si>
  <si>
    <t>Approximately 1.6% of the U.S. population experiences anaphylaxis</t>
  </si>
  <si>
    <t>Varies; can lead to anxiety and lifestyle changes due to fear of potential anaphylactic reactions</t>
  </si>
  <si>
    <t>High efficacy when administered promptly; can reverse severe allergic reactions effectively</t>
  </si>
  <si>
    <t>Generally safe when used as directed; risk increases for those with contraindications</t>
  </si>
  <si>
    <t>Injection site reactions, increased heart rate, headache, anxiety, nausea</t>
  </si>
  <si>
    <t>Approximately $600 - $800 for two auto-injectors per year</t>
  </si>
  <si>
    <t>Used in all age groups, from infants to adults</t>
  </si>
  <si>
    <t>No significant gender differences in use</t>
  </si>
  <si>
    <t>Emergency medication (auto-injector) containing epinephrine, a small molecule drug.</t>
  </si>
  <si>
    <t>EPIPEN JR 2-PAK 0.15MG AUTO-INJECTOR</t>
  </si>
  <si>
    <t>Difficulty breathing, swelling of the face or throat, hives, rapid pulse, dizziness, stomach cramps, nausea, vomiting.</t>
  </si>
  <si>
    <t>Anaphylaxis affects approximately 1-2% of the population in the USA.</t>
  </si>
  <si>
    <t>Anaphylaxis can significantly affect quality of life due to the constant fear of allergic reactions and the necessity of carrying an epinephrine auto-injector at all times.</t>
  </si>
  <si>
    <t>Epinephrine is considered the first-line treatment for anaphylaxis and is highly effective in reversing severe symptoms when administered promptly.</t>
  </si>
  <si>
    <t>Generally safe when used as directed; however, it requires immediate administration during anaphylactic events for effectiveness.</t>
  </si>
  <si>
    <t>Potential adverse events include increased heart rate, palpitations, anxiety, headache, dizziness, injection site reactions, and in rare cases, serious cardiovascular events.</t>
  </si>
  <si>
    <t>The annual cost for a 2-pack of EpiPen Jr. may range from $600 to $800, depending on insurance coverage and pharmacy pricing.</t>
  </si>
  <si>
    <t>Primarily used in children and adolescents, typically those aged 2 to 17 years, but can be prescribed for adults as well.</t>
  </si>
  <si>
    <t>Both genders are equally affected by anaphylaxis; however, certain allergic conditions may show varying prevalence rates between genders.</t>
  </si>
  <si>
    <t>Small molecule (epinephrine).</t>
  </si>
  <si>
    <t>FOLLISTIM AQ 900UNIT/1.08ML INJ</t>
  </si>
  <si>
    <t>Irregular menstrual cycles, difficulty conceiving, hormonal imbalances</t>
  </si>
  <si>
    <t>Approximately 6-10% of women of reproductive age experience infertility in the USA</t>
  </si>
  <si>
    <t>Infertility can significantly affect emotional well-being, relationships, and overall quality of life</t>
  </si>
  <si>
    <t>Efficacy rates for Follistim can vary; typically around 20-35% per cycle for women undergoing assisted reproductive technology</t>
  </si>
  <si>
    <t>Generally considered safe; associated risks can be mitigated through proper monitoring</t>
  </si>
  <si>
    <t>Ovarian hyperstimulation syndrome (OHSS), injection site reactions, headaches, mood swings</t>
  </si>
  <si>
    <t>Average annual therapy costs can range from $10,000 to $15,000 depending on treatment cycles and monitoring</t>
  </si>
  <si>
    <t>Primarily adults aged 18-44</t>
  </si>
  <si>
    <t>Hormonal therapy (gonadotropin)</t>
  </si>
  <si>
    <t>XACIATO 2% GEL,VAG</t>
  </si>
  <si>
    <t>Vaginal discharge, odor, itching, burning sensation</t>
  </si>
  <si>
    <t>Approximately 29% of women in the USA experience bacterial vaginosis at some point in their lives.</t>
  </si>
  <si>
    <t>Bacterial vaginosis can negatively impact sexual relationships and mental well-being.</t>
  </si>
  <si>
    <t>Clinical studies indicate that XACIATO (2% Clindamycin) is effective in treating bacterial vaginosis, with cure rates of around 80% to 90%.</t>
  </si>
  <si>
    <t>Generally considered safe for use, with a low incidence of serious side effects.</t>
  </si>
  <si>
    <t>Possible adverse events include local irritation, itching, burning, and gastrointestinal symptoms.</t>
  </si>
  <si>
    <t>Primarily adult women, typically 18-45 years of age.</t>
  </si>
  <si>
    <t>Topical gel (antibiotic)</t>
  </si>
  <si>
    <t>LMX5 ANORECTAL CREAM 15G TUBE</t>
  </si>
  <si>
    <t>Pain during bowel movements, itching, anal discomfort, bleeding, and swelling in the anal area</t>
  </si>
  <si>
    <t>Approximately 4.4% of the U.S. adult population experiences symptoms of anal fissures and hemorrhoids annually</t>
  </si>
  <si>
    <t>Reduced quality of life due to pain and discomfort; individuals may avoid certain activities and have difficulty sitting</t>
  </si>
  <si>
    <t>Effective in providing pain relief and promoting healing in 60-80% of cases for anal fissures</t>
  </si>
  <si>
    <t>Generally considered safe with minimal systemic absorption when used as directed</t>
  </si>
  <si>
    <t>Local irritation, burning sensation, allergic reactions, and skin rash</t>
  </si>
  <si>
    <t>Approximately $200 - $300 for ongoing treatment, depending on the frequency of use and healthcare provider costs</t>
  </si>
  <si>
    <t>Primarily adults, especially those aged 30-50</t>
  </si>
  <si>
    <t>More common in women, particularly during and after pregnancy</t>
  </si>
  <si>
    <t>Topical treatment (anorectal cream)</t>
  </si>
  <si>
    <t>ALA-CORT 1% CREAM,TOP</t>
  </si>
  <si>
    <t>Contact Dermatitis</t>
  </si>
  <si>
    <t>Redness, itching, swelling, dryness, and irritation of the skin</t>
  </si>
  <si>
    <t>Approximately 10-15% of the population in the USA experiences contact dermatitis at some point in their lives</t>
  </si>
  <si>
    <t>Can significantly impact quality of life due to discomfort and psychological effects; may lead to absenteeism from work or school</t>
  </si>
  <si>
    <t>Generally effective in reducing inflammation and symptoms of contact dermatitis in many patients; specific efficacy rates can vary</t>
  </si>
  <si>
    <t>Generally considered safe with appropriate use; caution is advised for sensitive skin or prolonged use</t>
  </si>
  <si>
    <t>Possible local irritation, burning, or allergic reactions; overall adverse events are relatively low</t>
  </si>
  <si>
    <t>Approximately $100 - $200 depending on frequency of use and insurance coverage</t>
  </si>
  <si>
    <t>All age groups, commonly seen in adults</t>
  </si>
  <si>
    <t>Affects both genders, but slightly more prevalent in women due to higher exposure to allergens</t>
  </si>
  <si>
    <t>Topical corticosteroid cream</t>
  </si>
  <si>
    <t>LIDOCAINE 5% PATCH</t>
  </si>
  <si>
    <t>Persistent pain following a herpes zoster (shingles) infection, which can include burning, itching, and sensitivity in the affected area.</t>
  </si>
  <si>
    <t>Approximately 10-20% of patients who have had shingles will develop PHN; in the general population, prevalence is about 0.5% to 1%.</t>
  </si>
  <si>
    <t>Significant impact on quality of life, often leading to difficulties in daily activities and social engagement.</t>
  </si>
  <si>
    <t>Clinical studies show that lidocaine 5% patch effectively reduces pain in approximately 30% to 50% of patients with PHN.</t>
  </si>
  <si>
    <t>Generally well tolerated; side effects are mild and often resolve upon discontinuation.</t>
  </si>
  <si>
    <t>Common adverse events include local skin reactions (e.g., erythema, pruritus), dizziness, and allergic contact dermatitis in a small percentage of patients.</t>
  </si>
  <si>
    <t>Estimated at $1,500 to $3,000 annually depending on the frequency of use and insurance coverage.</t>
  </si>
  <si>
    <t>Primarily prescribed for adults, particularly those aged 50 years and older, as they are more frequently affected by shingles and PHN.</t>
  </si>
  <si>
    <t>No significant gender predilection; occurs in both males and females relatively equally.</t>
  </si>
  <si>
    <t>Topical local anesthetic.</t>
  </si>
  <si>
    <t>LYTGOBI 4MG X 4 (16MG) DAILY PKT,28</t>
  </si>
  <si>
    <t>Weight loss, loss of appetite, upper abdominal pain, nausea, vomiting, jaundice, fatigue, and dark urine.</t>
  </si>
  <si>
    <t>Approximately 5.5 per 100,000 individuals in the USA.</t>
  </si>
  <si>
    <t>Quality of life is significantly impacted due to symptoms and treatment burden; many patients report a decreased quality of life.</t>
  </si>
  <si>
    <t>Clinical studies demonstrate a response rate of approximately 30% in treatment-naive patients.</t>
  </si>
  <si>
    <t>Generally well tolerated; safety profile is acceptable with regular monitoring.</t>
  </si>
  <si>
    <t>Common adverse events include fatigue, diarrhea, rash, and hypertension. Serious adverse events can include liver failure and gastrointestinal bleeding.</t>
  </si>
  <si>
    <t>Annual treatment costs range from $35,000 to $70,000 depending on the patient's response and additional supportive care required.</t>
  </si>
  <si>
    <t>Primarily affects adults aged 50 years and older.</t>
  </si>
  <si>
    <t>More common in males, with a male-to-female ratio of about 3:1.</t>
  </si>
  <si>
    <t>Small molecule targeted therapy (specifically, a kinase inhibitor).</t>
  </si>
  <si>
    <t>INQOVI TAB</t>
  </si>
  <si>
    <t>Fatigue, fever, frequent infections, easy bruising or bleeding, weight loss, pain in the bones or joints, shortness of breath, swollen lymph nodes</t>
  </si>
  <si>
    <t>Approximately 20,000 new cases per year in the USA</t>
  </si>
  <si>
    <t>Variable; often significantly impacted by treatment-related side effects and disease progression</t>
  </si>
  <si>
    <t>INQOVI (oncaspar) has shown an overall response rate of approximately 50% in patients with AML who are not candidates for intensive chemotherapy</t>
  </si>
  <si>
    <t>Generally well-tolerated; careful monitoring required for blood counts and potential side effects</t>
  </si>
  <si>
    <t>Neutropenia, thrombocytopenia, anemia, infections, fever, nausea, and vomiting are among the most common adverse events</t>
  </si>
  <si>
    <t>Approximately $200,000 - $300,000 per year depending on treatment regimen and healthcare plan</t>
  </si>
  <si>
    <t>Primarily adults, but can also affect older adolescents and young adults</t>
  </si>
  <si>
    <t>Slightly more common in males (about 1.5 times higher prevalence)</t>
  </si>
  <si>
    <t>Small molecule chemotherapy</t>
  </si>
  <si>
    <t>HYPERRAB 300UNT/ML IM INJ</t>
  </si>
  <si>
    <t>Fever, headache, anxiety, confusion, agitation, hallucinations, hydrophobia, paralysis, and coma.</t>
  </si>
  <si>
    <t>Extremely rare in the USA, with only 1-3 cases reported annually.</t>
  </si>
  <si>
    <t>Poor if untreated, as rabies is nearly universally fatal once clinical symptoms appear.</t>
  </si>
  <si>
    <t>Highly effective when administered promptly after exposure to rabies virus.</t>
  </si>
  <si>
    <t>Generally safe when administered according to guidelines; rare anaphylactic reactions can occur.</t>
  </si>
  <si>
    <t>Pain at injection site, fever, headache, dizziness, and potential allergic reactions.</t>
  </si>
  <si>
    <t>$1,500 - $3,000 for post-exposure prophylaxis, depending on the treatment regimen and healthcare provider.</t>
  </si>
  <si>
    <t>All age groups are susceptible, but vaccination is particularly crucial for children.</t>
  </si>
  <si>
    <t>No gender disparity; both males and females are equally affected by rabies exposure.</t>
  </si>
  <si>
    <t>Monoclonal antibody therapy (rabies immunoglobulin) combined with a rabies vaccine.</t>
  </si>
  <si>
    <t>ALBUTEIN (HUMAN) 25% INJ</t>
  </si>
  <si>
    <t>Hypoalbuminemia</t>
  </si>
  <si>
    <t>Swelling (edema), fatigue, weakness, increased susceptibility to infections, and potential for fluid accumulation in the lungs (pulmonary edema).</t>
  </si>
  <si>
    <t>Approximately 4-5% of hospitalized patients.</t>
  </si>
  <si>
    <t>Patients with hypoalbuminemia often experience reduced quality of life due to persistent fatigue, increased susceptibility to infections, and potential hospitalization.</t>
  </si>
  <si>
    <t>Generally effective in raising serum albumin levels and improving clinical outcomes in patients who are hypoalbuminemic.</t>
  </si>
  <si>
    <t>Generally well-tolerated; special caution is recommended in patients with a history of allergic reactions to albumin products.</t>
  </si>
  <si>
    <t>Potential for allergic reactions, fever, chills, headache, hypotension, and in rare cases, renal failure or thromboembolism.</t>
  </si>
  <si>
    <t>Approximately $20,000 to $50,000, depending on usage and insurance coverage.</t>
  </si>
  <si>
    <t>Used in all age groups, but particularly in elderly patients and those with chronic conditions.</t>
  </si>
  <si>
    <t>Both males and females are affected; no significant gender preference.</t>
  </si>
  <si>
    <t>Biological product (human albumin solution).</t>
  </si>
  <si>
    <t>ANTIVERT 50MG TAB</t>
  </si>
  <si>
    <t>Nausea, vomiting, dizziness, sweating, and loss of balance.</t>
  </si>
  <si>
    <t>Approximately 15%-30% of the general population experiences motion sickness at some point in their lives.</t>
  </si>
  <si>
    <t>Motion sickness can significantly impair quality of life, particularly during travel or in situations where movement is involved, leading to avoidance of certain activities.</t>
  </si>
  <si>
    <t>Efficacy of ANTIVERT (meclizine) for treating motion sickness is approximately 60%-90%, with individuals reporting symptom relief in varying degrees.</t>
  </si>
  <si>
    <t>Generally considered safe when used as directed. However, caution is advised in elderly populations and in those with certain pre-existing conditions.</t>
  </si>
  <si>
    <t>Common adverse events include drowsiness, dry mouth, fatigue, headache, and in rare cases, severe allergic reactions.</t>
  </si>
  <si>
    <t>Approximately $50-$100, depending on insurance coverage and frequency of use.</t>
  </si>
  <si>
    <t>Primarily used in adults and children aged 12 and older; usage in younger children is less common and should be done with caution.</t>
  </si>
  <si>
    <t>Affects all genders equally; however, some studies suggest women might report a higher incidence of motion sickness.</t>
  </si>
  <si>
    <t>Antihistamine (specifically a first-generation H1 antagonist).</t>
  </si>
  <si>
    <t>ROBINUL FORTE 2MG TAB</t>
  </si>
  <si>
    <t>Excessive sweating, particularly in the palms, soles of feet, underarms, and face.</t>
  </si>
  <si>
    <t>Approximately 3% of the US population.</t>
  </si>
  <si>
    <t>Moderate to severe impact; many patients experience social anxiety and reduced self-esteem.</t>
  </si>
  <si>
    <t>Effective in reducing sweating, with studies showing a reduction in sweating measured by gravimetric analysis.</t>
  </si>
  <si>
    <t>Generally considered safe when used as directed, but caution is advised in certain populations.</t>
  </si>
  <si>
    <t>Common adverse events include dry mouth, blurred vision, dizziness, and constipation.</t>
  </si>
  <si>
    <t>Approximately $300 - $600, depending on insurance coverage and prescription costs.</t>
  </si>
  <si>
    <t>Primarily adults, but can also be prescribed to adolescents.</t>
  </si>
  <si>
    <t>Affects both genders, but may be more frequently reported in males.</t>
  </si>
  <si>
    <t>ANTIVERT 25MG TAB</t>
  </si>
  <si>
    <t>Nausea, vomiting, dizziness, lightheadedness</t>
  </si>
  <si>
    <t>Approximately 30% of the US population experiences motion sickness at some point in their lives.</t>
  </si>
  <si>
    <t>Motion sickness can significantly affect quality of life, leading to avoidance of travel and related activities.</t>
  </si>
  <si>
    <t>Effective for reducing symptoms of motion sickness, particularly when taken prior to travel. Efficacy rates can be around 70% in clinical settings.</t>
  </si>
  <si>
    <t>Generally well-tolerated; safety profile is considered good for short-term use.</t>
  </si>
  <si>
    <t>Drowsiness, dry mouth, blurred vision, constipation, urinary retention, and increased heart rate.</t>
  </si>
  <si>
    <t>Approximately $150 - $300, depending on frequency of use and personal insurance plans.</t>
  </si>
  <si>
    <t>Adults and children over 12 years of age.</t>
  </si>
  <si>
    <t>No significant gender differences in efficacy or incidence of motion sickness; used by both males and females.</t>
  </si>
  <si>
    <t>Antihistamine (small molecule).</t>
  </si>
  <si>
    <t>SOLOSEC 2GM/PKT GRANULES</t>
  </si>
  <si>
    <t>Vaginal discharge, itching, odor, burning sensation during urination</t>
  </si>
  <si>
    <t>Approximately 29% of women in the USA will experience Bacterial Vaginosis at some point in their lives.</t>
  </si>
  <si>
    <t>Bacterial Vaginosis can significantly affect quality of life due to discomfort and psychological impacts related to odor and discharge.</t>
  </si>
  <si>
    <t>Approximately 88% effective in treating Bacterial Vaginosis according to clinical studies.</t>
  </si>
  <si>
    <t>Generally well-tolerated; however, it is important to monitor for tolerability in patients.</t>
  </si>
  <si>
    <t>Common adverse events include nausea (4%), diarrhea (3%), and vomiting (2%).</t>
  </si>
  <si>
    <t>Estimated cost is around $800 - $1,200 depending on insurance coverage and treatment frequency.</t>
  </si>
  <si>
    <t>Primarily adult women, typically ages 18-50.</t>
  </si>
  <si>
    <t>Small molecule (antibiotic).</t>
  </si>
  <si>
    <t>FENOFIBRATE 130MG CAP</t>
  </si>
  <si>
    <t>Often asymptomatic; may include pancreatitis or abdominal pain when triglyceride levels are very high.</t>
  </si>
  <si>
    <t>Approximately 25% of American adults have dyslipidemia.</t>
  </si>
  <si>
    <t>Improved lipid profiles can lead to reduced risk of cardiovascular events, positively impacting quality of life.</t>
  </si>
  <si>
    <t>Studies indicate that fenofibrate reduces triglyceride levels by 20-50% and increases HDL cholesterol levels.</t>
  </si>
  <si>
    <t>Generally well-tolerated; safety profile is favorable for most patients when used appropriately.</t>
  </si>
  <si>
    <t>Common adverse events include headache, abdominal pain, and liver enzyme elevations; rare risk of rhabdomyolysis.</t>
  </si>
  <si>
    <t>Approximately $500 - $1,000 per year depending on insurance and formulation.</t>
  </si>
  <si>
    <t>Typically prescribed for adults, often 40 years and older.</t>
  </si>
  <si>
    <t>Effective in both genders, but dyslipidemia may be more prevalent among men.</t>
  </si>
  <si>
    <t>Small molecule (fibric acid derivative).</t>
  </si>
  <si>
    <t>BYLVAY 1200MCG</t>
  </si>
  <si>
    <t>Alagille Syndrome</t>
  </si>
  <si>
    <t>Cholestasis, jaundice, itching, growth failure, heart defects, skeletal abnormalities</t>
  </si>
  <si>
    <t>Approximately 1 in 30,000 live births in the USA</t>
  </si>
  <si>
    <t>Significantly impacted due to chronic symptoms such as itching and growth retardation</t>
  </si>
  <si>
    <t>Clinical trials show BYLVAY is effective in improving pruritus and liver function parameters in patients</t>
  </si>
  <si>
    <t>Generally well-tolerated, with ongoing monitoring necessary</t>
  </si>
  <si>
    <t>Commonly reported events include diarrhea, abdominal pain, and vomiting; rare but serious events such as liver injury</t>
  </si>
  <si>
    <t>Approved for patients 1 year and older</t>
  </si>
  <si>
    <t>No gender-specific differences in prevalence or treatment efficacy</t>
  </si>
  <si>
    <t>Small molecule; bile acid modulator</t>
  </si>
  <si>
    <t>ALBUMINEX 5% INJ</t>
  </si>
  <si>
    <t>Edema, Ascites, Fatigue, Weakness, Gastrointestinal Symptoms, Tachycardia</t>
  </si>
  <si>
    <t>Approximately 1-5% in hospitalized patients; prevalence varies based on underlying conditions.</t>
  </si>
  <si>
    <t>Chronic conditions related to hypoalbuminemia can significantly impact quality of life due to associated symptoms and complications.</t>
  </si>
  <si>
    <t>Albumin administration is effective in raising serum albumin levels and improving fluid balance in patients with hypoalbuminemia.</t>
  </si>
  <si>
    <t>Generally considered safe when administered appropriately; however, requires careful monitoring in certain populations.</t>
  </si>
  <si>
    <t>Potential for allergic reactions, fluid overload, and infection at injection site; risk of transfusion-related reactions.</t>
  </si>
  <si>
    <t>Costs can range from $3,000 to $10,000 or more depending on usage and healthcare settings.</t>
  </si>
  <si>
    <t>Used in all age groups, but particularly common in adults and elderly patients with critical illness.</t>
  </si>
  <si>
    <t>No significant gender preference; used in both males and females as needed.</t>
  </si>
  <si>
    <t>Intravenous albumin solution (plasma-derived protein solution).</t>
  </si>
  <si>
    <t>IMOVAX RABIES VACCINE INJ W/LL SYRINGE</t>
  </si>
  <si>
    <t>Fever, headache, agitation, confusion, hydrophobia, hallucinations, paralysis, coma</t>
  </si>
  <si>
    <t>Rabies is rare in the USA, with about 1-3 cases reported annually, primarily from bat exposure.</t>
  </si>
  <si>
    <t>Rabies is nearly universally fatal once symptoms appear, significantly impacting quality of life if contracted; prevention through vaccination leads to a much higher quality of life.</t>
  </si>
  <si>
    <t>Greater than 95% when administered properly post-exposure; high efficacy in prevention.</t>
  </si>
  <si>
    <t>Generally safe; very low risk of severe reactions.</t>
  </si>
  <si>
    <t>Mild reactions such as soreness at the injection site, fever, headache; severe allergic reactions are rare.</t>
  </si>
  <si>
    <t>Approximately $500 to $2,000 for post-exposure prophylaxis, depending on the clinic and insurance.</t>
  </si>
  <si>
    <t>All age groups benefit from vaccination, particularly those at risk, including children and adults exposed to rabies.</t>
  </si>
  <si>
    <t>No gender preference; both males and females are equally affected by rabies risk.</t>
  </si>
  <si>
    <t>Vaccine.</t>
  </si>
  <si>
    <t>DENGVAXIA VACCINE INJ,KIT</t>
  </si>
  <si>
    <t>Dengue Fever</t>
  </si>
  <si>
    <t>High fever, severe headache, pain behind the eyes, joint and muscle pain, rash, mild bleeding, low white blood cell count</t>
  </si>
  <si>
    <t>Approximately 100 million cases annually worldwide; in the USA, dengue is endemic in territories like Puerto Rico, with incidence rates fluctuating, but around 6,000 cases reported annually.</t>
  </si>
  <si>
    <t>Moderate impact during acute illness; long-term effects may include post-dengue fatigue syndrome in some individuals.</t>
  </si>
  <si>
    <t>Around 60-80% effective in preventing symptomatic dengue illness in individuals who have previously been infected with any serotype of dengue virus.</t>
  </si>
  <si>
    <t>Generally well-tolerated; there are concerns about vaccine-related risk in individuals not previously exposed to dengue.</t>
  </si>
  <si>
    <t>Common adverse events include injection site pain, headache, fatigue, fever, and rash; severe adverse events are rare.</t>
  </si>
  <si>
    <t>Estimated at $100-200 per dose; the vaccine is given in a three-dose series.</t>
  </si>
  <si>
    <t>Recommended for individuals aged 9-45 years living in endemic areas.</t>
  </si>
  <si>
    <t>Both genders are eligible; there is no gender-specific indication for the vaccine.</t>
  </si>
  <si>
    <t>Vaccine (live attenuated virus vaccine).</t>
  </si>
  <si>
    <t>TYPHIM VI VACCINE 20-DOSE VIAL</t>
  </si>
  <si>
    <t>Typhoid Fever</t>
  </si>
  <si>
    <t>Fever, headache, weakness, abdominal pain, diarrhea or constipation, and loss of appetite</t>
  </si>
  <si>
    <t>Approximately 1,500 cases reported annually in the USA; more common in developing regions</t>
  </si>
  <si>
    <t>Improving with vaccination; severe illness can significantly impair quality of life during infection</t>
  </si>
  <si>
    <t>Approximately 55-70% effective in preventing typhoid fever after vaccination</t>
  </si>
  <si>
    <t>Generally considered safe, with a good safety profile</t>
  </si>
  <si>
    <t>Common side effects include soreness at the injection site, mild fever, and allergic reactions; serious adverse events are rare</t>
  </si>
  <si>
    <t>Cost for vaccination variably ranges from $50 to $150 depending on the provider and location</t>
  </si>
  <si>
    <t>Approved for individuals 2 years and older</t>
  </si>
  <si>
    <t>Both genders</t>
  </si>
  <si>
    <t>Vaccine (inactivated, polysaccharide vaccine)</t>
  </si>
  <si>
    <t>TYPHIM VI VACCINE 0.5ML SYRINGE LL</t>
  </si>
  <si>
    <t>High fever, abdominal pain, weakness, headache, constipation or diarrhea, rash</t>
  </si>
  <si>
    <t>Approximately 5 cases per 100,000 population in the USA</t>
  </si>
  <si>
    <t>Can significantly impact daily functioning and wellness during the illness and can have long-term effects if complications occur</t>
  </si>
  <si>
    <t>Approximately 50% to 80% depending on the population and conditions of use</t>
  </si>
  <si>
    <t>Generally considered safe with a good safety profile</t>
  </si>
  <si>
    <t>Localized reactions at the injection site, fever, headache, and gastrointestinal symptoms can occur</t>
  </si>
  <si>
    <t>Approximately $80 to $150 for vaccination, depending on provider and location</t>
  </si>
  <si>
    <t>Recommended for individuals aged 2 years and older</t>
  </si>
  <si>
    <t>No significant gender differences in vaccine efficacy or safety</t>
  </si>
  <si>
    <t>YF-VAX 5X1DS</t>
  </si>
  <si>
    <t>Yellow Fever</t>
  </si>
  <si>
    <t>Fever, chills, loss of appetite, muscle pain, headaches, nausea, and abdominal pain; severe cases can lead to liver damage, bleeding, and organ failure.</t>
  </si>
  <si>
    <t>Approximately 200,000 cases of yellow fever occur worldwide annually, with the majority in Africa and South America; in the USA, vaccination is recommended for travelers to endemic areas, but native cases are extremely rare.</t>
  </si>
  <si>
    <t>Can be significantly affected in those who contract the disease, particularly during severe infection; survivors may experience long-term health issues.</t>
  </si>
  <si>
    <t>Highly effective; one dose provides immunity in 95% of vaccinated individuals.</t>
  </si>
  <si>
    <t>Generally safe; mild side effects are typical and include soreness at the injection site, fever, and headache. Serious side effects are rare.</t>
  </si>
  <si>
    <t>Serious adverse events include allergic reactions and neurological disorders, but occur at a very low rate (approximately 1 in 100,000 to 1 in 1 million doses).</t>
  </si>
  <si>
    <t>Approximately $150-$300 for the vaccination, depending on provider and location, but variable since it may not be needed annually if vaccinated before traveling to endemic areas.</t>
  </si>
  <si>
    <t>Recommended for individuals aged 9 months and older.</t>
  </si>
  <si>
    <t>Both males and females are equally prone to vaccination and disease.</t>
  </si>
  <si>
    <t>Vaccine (live attenuated viral vaccine).</t>
  </si>
  <si>
    <t>LIVMARLI</t>
  </si>
  <si>
    <t>Characterized by cholestasis (bile flow obstruction), liver dysfunction, heart defects, skeletal abnormalities, and eye abnormalities.</t>
  </si>
  <si>
    <t>Approximately 1 in 30,000 live births in the USA.</t>
  </si>
  <si>
    <t>Chronic symptoms can significantly affect quality of life, with patients experiencing fatigue, pain, and developmental delays.</t>
  </si>
  <si>
    <t>Shown to be effective in improving cholestasis in clinical trials, reducing the need for additional interventions such as liver transplantation.</t>
  </si>
  <si>
    <t>Generally well-tolerated, with a favorable safety profile based on clinical trial data.</t>
  </si>
  <si>
    <t>Common adverse events include diarrhea, abdominal pain, and infections; typically mild to moderate in severity.</t>
  </si>
  <si>
    <t>Approximately $300,000 per year, though costs can vary based on the complexity of the condition and insurance coverage.</t>
  </si>
  <si>
    <t>Typically indicated for pediatric patients, particularly in young children and infants (up to 18 years).</t>
  </si>
  <si>
    <t>No significant gender predominance; affects males and females equally.</t>
  </si>
  <si>
    <t>Small molecules (specific composition targeting bile acid metabolism).</t>
  </si>
  <si>
    <t>CHLORHEXIDINE GLUCONATE 0.12% RINSE,ORAL</t>
  </si>
  <si>
    <t>Gingivitis</t>
  </si>
  <si>
    <t>Redness, swelling of the gums, bleeding when brushing or flossing, bad breath.</t>
  </si>
  <si>
    <t>Approximately 50% of adults in the USA experience gingivitis at some point in their lives.</t>
  </si>
  <si>
    <t>Poor oral health can lead to diminished quality of life, affecting nutrition and social interactions.</t>
  </si>
  <si>
    <t>Chlorhexidine gluconate is approximately 70-85% effective in reducing plaque and gingivitis symptoms in clinical studies.</t>
  </si>
  <si>
    <t>Generally safe when used as directed; prolonged use may cause staining of the teeth.</t>
  </si>
  <si>
    <t>Possible adverse events include mouth irritation, taste alteration, and staining of teeth and oral surfaces.</t>
  </si>
  <si>
    <t>Costs can range from $50 to $200 per year depending on insurance coverage and frequency of use.</t>
  </si>
  <si>
    <t>Primarily adults, though used in adolescents with gingival issues as well.</t>
  </si>
  <si>
    <t>No significant gender difference in usage; however, women may be more likely to report gingival symptoms.</t>
  </si>
  <si>
    <t>Antiseptic oral rinse (small molecule).</t>
  </si>
  <si>
    <t>KLOXXADO 8MG/SPRAY SOLN,SPRAY,NASAL</t>
  </si>
  <si>
    <t>Respiratory depression, unconsciousness, pinpoint pupils, bradycardia, hypotension.</t>
  </si>
  <si>
    <t>Approximately 11.4 million people in the USA misused opioids in 2020, with overdose death rates steadily increasing over the past years.</t>
  </si>
  <si>
    <t>Opioid overdose can lead to severe impairment in quality of life for both patients and families due to long-term health consequences or permanent disability.</t>
  </si>
  <si>
    <t>KLOXXADO (naloxone) is highly effective in reversing opioid overdose, with reported efficacy rates approaching 97% when used promptly.</t>
  </si>
  <si>
    <t>Generally safe; naloxone has a favorable safety profile with minimal risk when administered appropriately.</t>
  </si>
  <si>
    <t>Common adverse events include withdrawal symptoms in opioid-dependent individuals, including agitation, nausea, vomiting, and precipitated withdrawal.</t>
  </si>
  <si>
    <t>Average cost of naloxone products, including KLOXXADO, ranges from $50 to $100 depending on location and insurance coverage.</t>
  </si>
  <si>
    <t>Approved for use in all age groups, but commonly administered to adults and adolescents.</t>
  </si>
  <si>
    <t>Both genders are affected by opioid overdose, with increased rates amongst males.</t>
  </si>
  <si>
    <t>Nasal spray (opioid antagonist).</t>
  </si>
  <si>
    <t>NALMEFENE HCL 1MG/ML INJ,VIAL,2ML</t>
  </si>
  <si>
    <t>Cravings for alcohol, loss of control over drinking, withdrawal symptoms (such as anxiety, tremors), increased tolerance, and continued use despite harmful consequences.</t>
  </si>
  <si>
    <t>Approximately 14% of adults in the USA meet the criteria for alcohol use disorder at some point in their lives.</t>
  </si>
  <si>
    <t>AUD significantly decreases quality of life, affecting relationships, work, and physical health.</t>
  </si>
  <si>
    <t>Nalmefene has shown to reduce the frequency of heavy drinking days and increase the likelihood of achieving abstinence in clinical trials, with efficacy rates around 40-60%.</t>
  </si>
  <si>
    <t>Generally well-tolerated with a favorable safety profile, but use should be monitored, especially in those with liver impairment.</t>
  </si>
  <si>
    <t>Common adverse events include nausea, insomnia, headache, and dizziness. Serious adverse events are rare.</t>
  </si>
  <si>
    <t>Estimated annual therapy costs range from $6,000 to $8,000, depending on treatment regimen and insurance coverage.</t>
  </si>
  <si>
    <t>Primarily used in adults aged 18-65 years.</t>
  </si>
  <si>
    <t>More commonly prescribed to males, but effective for both genders.</t>
  </si>
  <si>
    <t>Small molecule (opioid receptor antagonist).</t>
  </si>
  <si>
    <t>LITHOBID 300MG TAB EXTENDED RELEASE</t>
  </si>
  <si>
    <t>Mood swings, depressive episodes, manic episodes, irritability, changes in sleep patterns, changes in energy levels, racing thoughts</t>
  </si>
  <si>
    <t>Approximately 2.8% of adults in the USA will experience bipolar disorder at some point in their lives</t>
  </si>
  <si>
    <t>Quality of life can be significantly affected; individuals may face challenges in personal relationships, employment, and daily functioning</t>
  </si>
  <si>
    <t>Effective in reducing the frequency and severity of mood episodes in bipolar disorder; reported response rates vary but can be around 70% in treated patients</t>
  </si>
  <si>
    <t>Generally well-tolerated; requires monitoring of drug levels to avoid toxicity</t>
  </si>
  <si>
    <t>Common adverse events include nausea, tremors, fatigue, weight gain, and increased thirst; more severe risks involve renal impairment and hypothyroidism</t>
  </si>
  <si>
    <t>Approximately $5,000 to $10,000 depending on insurance coverage and dosage</t>
  </si>
  <si>
    <t>Typically prescribed for adults but can also be used in adolescents aged 12 and older</t>
  </si>
  <si>
    <t>Affects both males and females equally, but the presentation of symptoms may differ</t>
  </si>
  <si>
    <t>Small molecule drug (Lithium carbonate extended-release)</t>
  </si>
  <si>
    <t>BESREMI 500MCG/ML</t>
  </si>
  <si>
    <t>Hairy Cell Leukemia</t>
  </si>
  <si>
    <t>Fatigue, recurrent infections, easy bruising or bleeding, abdominal discomfort or fullness, lymphadenopathy (swollen lymph nodes), splenomegaly (enlarged spleen).</t>
  </si>
  <si>
    <t>Approximately 2,500 new cases annually in the USA.</t>
  </si>
  <si>
    <t>Patients often experience significant fatigue and lifestyle limitations due to the disease and its treatment, but with effective treatment, many can achieve a good quality of life.</t>
  </si>
  <si>
    <t>Around 85-90% overall response rate in clinical settings.</t>
  </si>
  <si>
    <t>Generally well-tolerated; regular monitoring is essential for safety; long-term safety data is continuing to evolve.</t>
  </si>
  <si>
    <t>Common adverse events include fatigue, headache, pyrexia (fever), nausea, and infection risk.</t>
  </si>
  <si>
    <t>Estimated between $45,000 to $140,000 depending on treatment duration and additional healthcare needs.</t>
  </si>
  <si>
    <t>Primarily adults, with a peak incidence between ages 50-70.</t>
  </si>
  <si>
    <t>More common in males (approximately 2-3 times more prevalent than in females).</t>
  </si>
  <si>
    <t>Monoclonal antibody (specifically targeting CD22).</t>
  </si>
  <si>
    <t>MUCINEX 600MG ER TAB</t>
  </si>
  <si>
    <t>Cough, mucus production, chest congestion, shortness of breath, wheezing</t>
  </si>
  <si>
    <t>Approximately 3% of the US population has COPD, with millions experiencing chronic cough due to other conditions.</t>
  </si>
  <si>
    <t>Chronic cough can significantly impact quality of life, leading to social isolation, sleep disturbances, and decreased physical activity.</t>
  </si>
  <si>
    <t>Mucinex (Guaifenesin) is effective in thinning mucus and alleviating cough in many patients, but results vary.</t>
  </si>
  <si>
    <t>Generally considered safe for most patients when used as directed.</t>
  </si>
  <si>
    <t>Commonly reported adverse events include gastrointestinal disturbances (nausea, vomiting), dizziness, and headache.</t>
  </si>
  <si>
    <t>Estimated at around $150 per year, depending on insurance and usage frequency.</t>
  </si>
  <si>
    <t>Adults (generally prescribed for individuals 12 years and older).</t>
  </si>
  <si>
    <t>No significant gender disparities; used equally among men and women.</t>
  </si>
  <si>
    <t>Expectorant (small molecule).</t>
  </si>
  <si>
    <t>MUCINEX COLD,FLU,SORE THROAT</t>
  </si>
  <si>
    <t>Cough, sore throat, nasal congestion, runny nose, fever, muscle aches, chills, fatigue</t>
  </si>
  <si>
    <t>Common cold prevalence is about 60% annually, Influenza prevalence can vary, with rates of about 7-10% in the USA each year</t>
  </si>
  <si>
    <t>Temporary decrease in quality of life during the acute phase of illness</t>
  </si>
  <si>
    <t>Generally effective in providing symptomatic relief; reducing cough and throat irritation</t>
  </si>
  <si>
    <t>Generally considered safe when used as directed; should not be used in certain populations such as individuals with specific pre-existing conditions</t>
  </si>
  <si>
    <t>Dizziness, drowsiness, nausea, gastrointestinal upset, headache</t>
  </si>
  <si>
    <t>Approximately $15-$30 for over-the-counter use</t>
  </si>
  <si>
    <t>All age groups; however, safety and dosages should be adjusted in children</t>
  </si>
  <si>
    <t>No significant gender differences in efficacy or usage</t>
  </si>
  <si>
    <t>Combination product (contains guaifenesin, dextromethorphan, and phenylephrine), categorized as an over-the-counter medication</t>
  </si>
  <si>
    <t>MAX STRENGTH MUCINEX DM</t>
  </si>
  <si>
    <t>Cough, chest congestion, mucus build-up, difficulty breathing</t>
  </si>
  <si>
    <t>Approximately 10% of adults in the USA suffer from chronic bronchitis; acute bronchitis affects about 5% of the population annually.</t>
  </si>
  <si>
    <t>Reduced due to persistent cough and related symptoms; may impact daily activities and work productivity.</t>
  </si>
  <si>
    <t>Mucinex DM is effective in providing relief from cough and throat irritation due to its ingredients (guaifenesin and dextromethorphan) for symptomatic treatment. Efficacy rates vary by individual but can provide significant symptom relief.</t>
  </si>
  <si>
    <t>Generally considered safe when used as directed; the safety profile is good with few concerns for short-term use in healthy individuals.</t>
  </si>
  <si>
    <t>Possible side effects include dizziness, headache, nausea, vomiting, and gastrointestinal distress. Rarely, allergic reactions can occur.</t>
  </si>
  <si>
    <t>Approximately $120-$200 depending on usage; this can vary based on the frequency of use and healthcare coverage.</t>
  </si>
  <si>
    <t>Approved for ages 12 and older, though some dosages may be used in younger children under medical supervision.</t>
  </si>
  <si>
    <t>No significant gender-specific differences in the use or efficacy of Mucinex DM.</t>
  </si>
  <si>
    <t>Combination product (expectorant and cough suppressant), categorized as a small molecule.</t>
  </si>
  <si>
    <t>CHILD MUCINEX M-S COLD NIGHT (VERY BERRY)</t>
  </si>
  <si>
    <t>Nasal congestion, cough, sore throat, runny nose, sneezing, headache, general discomfort</t>
  </si>
  <si>
    <t>Mildly affected, often decreasing productivity and daily activities during illness</t>
  </si>
  <si>
    <t>Generally effective in alleviating symptoms; combination of guaifenesin and dextromethorphan is useful for symptomatic relief</t>
  </si>
  <si>
    <t>Generally safe for use in children as directed; misuse or overuse can lead to adverse effects</t>
  </si>
  <si>
    <t>Drowsiness, gastrointestinal upset, allergic reactions in sensitive individuals</t>
  </si>
  <si>
    <t>Approximately $20 to $50 depending on dosage and frequency of purchase</t>
  </si>
  <si>
    <t>Typically safe for children aged 6 years and older</t>
  </si>
  <si>
    <t>No significant gender differences reported in incidence or efficacy</t>
  </si>
  <si>
    <t>Combination of expectorant (guaifenesin) and cough suppressant (dextromethorphan), classified as a small molecule therapy</t>
  </si>
  <si>
    <t>MITIGO 25MG/ML (PF) INJ</t>
  </si>
  <si>
    <t>Blood in urine, frequent urination, pain during urination, abdominal pain, weight loss, fatigue, nausea, vomiting</t>
  </si>
  <si>
    <t>Approximately 4.5% for bladder cancer in the USA; gastric cancer has a prevalence of about 1.8%</t>
  </si>
  <si>
    <t>Varies; treatment may impact quality of life due to side effects and disease progression, often rated lower during active treatment phases</t>
  </si>
  <si>
    <t>Demonstrates effectiveness in reducing tumor size and improving survival rates; response rates can be approximately 40-50% for bladder cancer</t>
  </si>
  <si>
    <t>Generally safe but with known risks; requires monitoring due to potential bone marrow suppression and pulmonary toxicities</t>
  </si>
  <si>
    <t>Nausea, vomiting, diarrhea, low blood cell counts (anemia, leukopenia), and lung complications</t>
  </si>
  <si>
    <t>Estimated $10,000 to $15,000 depending on treatment regimen and healthcare setting</t>
  </si>
  <si>
    <t>Primarily adults aged 50-70 years; can be used in younger patients based on physician discretion</t>
  </si>
  <si>
    <t>More common in males, especially with bladder cancer; gastric cancer has a more balanced gender distribution</t>
  </si>
  <si>
    <t>Small molecules (chemotherapy agent)</t>
  </si>
  <si>
    <t>EPINEPHRINE (EQV-ADRENACLICK) 0.3MG/0.3ML INJ</t>
  </si>
  <si>
    <t>Difficulty breathing, swelling of the throat, hives, rapid heartbeat, dizziness, nausea, abdominal pain, confusion, loss of consciousness</t>
  </si>
  <si>
    <t>Approximately 1-2% of the population experiences anaphylaxis at some point in their life in the USA.</t>
  </si>
  <si>
    <t>Anaphylaxis can significantly reduce the quality of life due to anxiety about future episodes, dietary restrictions, and need for emergency preparedness.</t>
  </si>
  <si>
    <t>Epinephrine is the first-line treatment for anaphylaxis and is highly effective when administered promptly, with a rapid response in symptoms typically noted within minutes.</t>
  </si>
  <si>
    <t>Generally considered safe when used as directed; subcutaneous or intramuscular administration is recommended due to rapid absorption.</t>
  </si>
  <si>
    <t>Anxiety, palpitations, hypertension, tremor, headache, nausea, and injection site reactions. Severe adverse events are rare but can include arrhythmias or pulmonary edema.</t>
  </si>
  <si>
    <t>The cost for an epinephrine auto-injector (e.g., Adrenaclick) can range from $100 to $700 per device without insurance, with potential additional costs for multiple devices per year.</t>
  </si>
  <si>
    <t>Anaphylaxis can occur in any age group, but it is particularly common in children and young adults, especially those with allergies.</t>
  </si>
  <si>
    <t>Both genders are equally affected; however, some studies suggest that males may have a slightly higher prevalence of certain causes of anaphylaxis, such as food allergies.</t>
  </si>
  <si>
    <t>Small molecules (epinephrine).</t>
  </si>
  <si>
    <t>EPINEPHRINE (EQV-ADRENACLICK) 0.15MG/0.15ML</t>
  </si>
  <si>
    <t>Difficulty breathing, swelling of the throat, hives, rapid heartbeat, low blood pressure, dizziness, gastrointestinal symptoms (abdominal cramps, vomiting), and sense of impending doom.</t>
  </si>
  <si>
    <t>Approximately 0.05% to 2% of the population experiences anaphylaxis in their lifetime in the USA.</t>
  </si>
  <si>
    <t>Anaphylaxis can significantly affect quality of life due to the constant anxiety surrounding potential exposure to allergens and the need for emergency preparedness.</t>
  </si>
  <si>
    <t>Epinephrine is the first-line treatment and is highly effective in resolving anaphylactic symptoms when administered promptly.</t>
  </si>
  <si>
    <t>Generally safe when used as directed; however, inappropriate administration may lead to adverse cardiovascular effects.</t>
  </si>
  <si>
    <t>Common adverse events include tachycardia, hypertension, nervousness, dizziness, sweating, and headache.</t>
  </si>
  <si>
    <t>Estimated annual costs for epinephrine autoinjectors can range from $300 to $600 depending on insurance coverage and brand.</t>
  </si>
  <si>
    <t>Approved for use in all ages; common in children and adults prone to severe allergic reactions.</t>
  </si>
  <si>
    <t>No significant gender differences noted in prevalence or response to treatment.</t>
  </si>
  <si>
    <t>UNITHROID 25MCG TAB</t>
  </si>
  <si>
    <t>Fatigue, weight gain, depression, sensitivity to cold, dry skin, hair loss, muscle weakness, constipation, slowed heart rate, and goiter.</t>
  </si>
  <si>
    <t>Approximately 4.6% of the U.S. population over the age of 12 has hypothyroidism.</t>
  </si>
  <si>
    <t>Patients often report improved quality of life with effective management of symptoms; untreated hypothyroidism can lead to significant impairment in daily functioning.</t>
  </si>
  <si>
    <t>Approximately 80-90% of patients show improvement in symptoms after starting therapy with levothyroxine (the active ingredient in Unithroid).</t>
  </si>
  <si>
    <t>Generally considered safe. The most common safety concern relates to the risk of over-treatment leading to hyperthyroidism.</t>
  </si>
  <si>
    <t>Potential adverse events include palpitations, anxiety, weight loss, heat intolerance, and changes in menstrual cycle.</t>
  </si>
  <si>
    <t>Estimated annual costs are around $50-$300, depending on pharmacy pricing and insurance coverage.</t>
  </si>
  <si>
    <t>Commonly prescribed for adults, can be used in children with proper monitoring.</t>
  </si>
  <si>
    <t>Hypothyroidism is more prevalent in women, with approximately 5-8 times higher incidence compared to men.</t>
  </si>
  <si>
    <t>Small molecules (synthetic hormone replacement).</t>
  </si>
  <si>
    <t>UNITHROID 50MCG TAB</t>
  </si>
  <si>
    <t>Approximately 4.6% of the U.S. adult population, which equates to about 10 million people.</t>
  </si>
  <si>
    <t>Quality of life improves significantly with proper management; patients often see improvements in energy levels, mood, and cognitive function.</t>
  </si>
  <si>
    <t>Approximately 80-90% of patients report significant improvement in symptoms with appropriate dosage.</t>
  </si>
  <si>
    <t>Generally considered safe; most patients tolerate it well.</t>
  </si>
  <si>
    <t>Common adverse events may include headache, anxiety, difficulty sleeping, and palpitations. Rarely, may cause symptoms of hyperthyroidism if overdosed.</t>
  </si>
  <si>
    <t>Average around $30 to $60 for a year's supply (depending on insurance coverage and pharmacy).</t>
  </si>
  <si>
    <t>Primarily affects adults, but can occur at any age; most common in middle-aged women.</t>
  </si>
  <si>
    <t>More prevalent in females (7-8 times more common than in males).</t>
  </si>
  <si>
    <t>Small molecules (synthetic thyroxine, levothyroxine).</t>
  </si>
  <si>
    <t>UNITHROID 75MCG TAB</t>
  </si>
  <si>
    <t>Fatigue, weight gain, cold intolerance, dry skin, hair loss, constipation, muscle weakness, depression, slowed heart rate, goiter</t>
  </si>
  <si>
    <t>Approximately 4.6% of the U.S. population (about 14 million people)</t>
  </si>
  <si>
    <t>Generally improved with effective treatment; most patients report a return to normal symptoms and functioning when adequately managed.</t>
  </si>
  <si>
    <t>Unithroid (levothyroxine) is considered highly effective, with normal thyroid hormone levels achieved in 95% of treated patients within 6-8 weeks.</t>
  </si>
  <si>
    <t>Generally considered safe when dosed appropriately; routine monitoring required to avoid over or under-treatment.</t>
  </si>
  <si>
    <t>Common adverse events include palpitations, nervousness, insomnia, increased appetite, and weight loss; severe events are rare but can include heart problems or fractures in older patients.</t>
  </si>
  <si>
    <t>Approximately $30 to $100, depending on insurance coverage and pharmacy prices.</t>
  </si>
  <si>
    <t>All ages, but most common in middle-aged and older adults.</t>
  </si>
  <si>
    <t>More prevalent in females, with a ratio of about 4 to 1 compared to males.</t>
  </si>
  <si>
    <t>UNITHROID 88MCG TAB</t>
  </si>
  <si>
    <t>Fatigue, weight gain, cold intolerance, dry skin, hair loss, constipation, depression, slow heart rate, muscle weakness</t>
  </si>
  <si>
    <t>Approximately 4.6% of the US population (approx. 4.6 million people)</t>
  </si>
  <si>
    <t>Quality of life can significantly improve with proper treatment, as symptoms are alleviated and metabolic function is restored.</t>
  </si>
  <si>
    <t>Highly effective in normalizing thyroid hormone levels and alleviating symptoms; studies show effective control in over 90% of patients.</t>
  </si>
  <si>
    <t>Generally considered safe with proper dosing; monitoring is essential to avoid complications.</t>
  </si>
  <si>
    <t>Common adverse events include symptoms of hyperthyroidism (e.g., palpitations, anxiety, weight loss) due to over-treatment; rare but serious events can include osteoporosis and arrhythmias.</t>
  </si>
  <si>
    <t>Approximately $30 to $300, depending on the dosage and pharmacy.</t>
  </si>
  <si>
    <t>All age groups, but most prevalent in adults over 60 years.</t>
  </si>
  <si>
    <t>More common in women, approximately 5-8 times more prevalent than in men.</t>
  </si>
  <si>
    <t>Small molecule (synthetic levothyroxine).</t>
  </si>
  <si>
    <t>UNITHROID 100MCG TAB</t>
  </si>
  <si>
    <t>Fatigue, weight gain, cold intolerance, dry skin, hair loss, constipation, depression, memory problems, slowed heart rate, and menstrual irregularities.</t>
  </si>
  <si>
    <t>Improved quality of life with normalization of thyroid levels; less disease burden when properly managed.</t>
  </si>
  <si>
    <t>Approximately 80-90% of patients respond well to treatment, regaining normal thyroid function and symptom relief.</t>
  </si>
  <si>
    <t>Generally considered safe when dosed correctly; long-term use is well tolerated.</t>
  </si>
  <si>
    <t>Common adverse events include palpitations, anxiety, weight loss, and heat intolerance. Serious adverse effects are rare but can include heart problems, particularly in patients with existing cardiovascular disease.</t>
  </si>
  <si>
    <t>Average annual cost is around $50-$150, depending on insurance and pharmacy pricing.</t>
  </si>
  <si>
    <t>All age groups, but especially common in adults over 60.</t>
  </si>
  <si>
    <t>More prevalent in females (5-8 times more common than in males).</t>
  </si>
  <si>
    <t>Small molecules (synthetic levothyroxine sodium).</t>
  </si>
  <si>
    <t>UNITHROID 112MCG TAB</t>
  </si>
  <si>
    <t>Fatigue, weight gain, cold intolerance, dry skin, hair loss, constipation, muscle weakness, depression, slow heart rate</t>
  </si>
  <si>
    <t>Approximately 4.6% of the U.S. population (estimated 6-10% in women over 60 years)</t>
  </si>
  <si>
    <t>Hypothyroidism can significantly affect quality of life; once treated, many experience improved energy levels and overall well-being.</t>
  </si>
  <si>
    <t>Highly effective in restoring thyroid hormone levels, with success rates over 90% in appropriate doses.</t>
  </si>
  <si>
    <t>Generally considered safe with appropriate monitoring; risk of over-treatment leading to hyperthyroidism is a concern.</t>
  </si>
  <si>
    <t>Common adverse events include palpitations, increased heart rate, anxiety, insomnia, and weight loss. Serious adverse events are rare.</t>
  </si>
  <si>
    <t>Approximately $50-$200, depending on insurance and dosage.</t>
  </si>
  <si>
    <t>Commonly prescribed across all adult age groups, particularly in middle-aged and older adults.</t>
  </si>
  <si>
    <t>More prevalent in women (8 times more likely) than men.</t>
  </si>
  <si>
    <t>UNITHROID 125MCG TAB</t>
  </si>
  <si>
    <t>Fatigue, weight gain, cold intolerance, dry skin, hair loss, constipation, depression, slow heart rate, and muscle weakness.</t>
  </si>
  <si>
    <t>Approximately 4.6% of the U.S. population (around 5 million people).</t>
  </si>
  <si>
    <t>Patients with well-managed hypothyroidism typically experience an improved quality of life; however, untreated or poorly controlled hypothyroidism can lead to fatigue and decreased vitality.</t>
  </si>
  <si>
    <t>Clinical studies have shown that Levothyroxine (the active ingredient in Unithroid) is effective in normalizing thyroid hormone levels in patients with hypothyroidism. Success rates in achieving normal TSH levels are around 80-90%.</t>
  </si>
  <si>
    <t>Generally considered safe when used as directed; routine monitoring of thyroid levels is recommended.</t>
  </si>
  <si>
    <t>Common adverse events include palpitations, anxiety, and weight changes; rare but serious effects such as cardiac arrhythmias may occur in patients with underlying heart conditions.</t>
  </si>
  <si>
    <t>Approximately $100 - $300 depending on insurance coverage and pharmacy choices.</t>
  </si>
  <si>
    <t>Most commonly prescribed to adults, but may be prescribed to children as well depending on clinical need.</t>
  </si>
  <si>
    <t>Hypothyroidism occurs more frequently in females (approximately 7-8 times more) than in males.</t>
  </si>
  <si>
    <t>UNITHROID 137MCG TAB</t>
  </si>
  <si>
    <t>Fatigue, weight gain, sensitivity to cold, dry skin, hair loss, constipation, muscle weakness, and depressed mood.</t>
  </si>
  <si>
    <t>With effective treatment, quality of life significantly improves, with many patients reporting better energy levels and mood.</t>
  </si>
  <si>
    <t>High; levothyroxine (active ingredient in Unithroid) is considered the standard treatment and effectively normalizes thyroid hormone levels in most patients.</t>
  </si>
  <si>
    <t>Common adverse events include headache, insomnia, nervousness, weight loss, and palpitations, particularly if dosage is too high.</t>
  </si>
  <si>
    <t>Approximately $100 to $200 depending on insurance coverage and whether it is a brand or generic medication.</t>
  </si>
  <si>
    <t>Most commonly prescribed for adults, but can occur in children and infants as well.</t>
  </si>
  <si>
    <t>More prevalent in females, with women being 5-10 times more likely to develop hypothyroidism than men.</t>
  </si>
  <si>
    <t>UNITHROID 150MCG TAB</t>
  </si>
  <si>
    <t>Approximately 4.6% of the U.S. population (around 10 million people) have hypothyroidism</t>
  </si>
  <si>
    <t>Generally improved with appropriate treatment; symptoms diminish significantly, leading to a higher quality of life</t>
  </si>
  <si>
    <t>Greater than 90% of patients respond well to therapy, with normalized TSH levels and symptom relief</t>
  </si>
  <si>
    <t>Generally considered safe; regular monitoring of thyroid hormone levels is required to maintain appropriate dosing</t>
  </si>
  <si>
    <t>Common adverse events include hair loss, weight changes, insomnia, anxiety, increased heart rate, heat intolerance; rare risks include heart problems if overdosed</t>
  </si>
  <si>
    <t>Approximately $120 to $300, depending on insurance and formulation</t>
  </si>
  <si>
    <t>Most commonly affects adults aged 30 and older</t>
  </si>
  <si>
    <t>More prevalent in females than males (approximately 5 to 8 times more common in women)</t>
  </si>
  <si>
    <t>UNITHROID 175MCG TAB</t>
  </si>
  <si>
    <t>Fatigue, weight gain, cold intolerance, dry skin, hair loss, muscle weakness, depression, constipated, slowed heart rate, and elevated cholesterol levels.</t>
  </si>
  <si>
    <t>Approximately 4.6% of the U.S. population (about 1 in 20 adults) have hypothyroidism, with higher rates in women and older adults.</t>
  </si>
  <si>
    <t>Patients often experience improved quality of life with appropriate treatment, as symptoms are alleviated and overall energy and well-being improve.</t>
  </si>
  <si>
    <t>Approximately 90% effective in normalizing thyroid hormone levels when taken as prescribed.</t>
  </si>
  <si>
    <t>Generally well-tolerated; long-term use is considered safe when monitored appropriately.</t>
  </si>
  <si>
    <t>Possible side effects include palpitations, weight loss, increased appetite, anxiety, heat intolerance, and menstrual irregularities.</t>
  </si>
  <si>
    <t>Approximately $300 to $600 per year, depending on insurance coverage and pharmacy pricing.</t>
  </si>
  <si>
    <t>Most commonly prescribed for adults, particularly those over 40 years of age, though it can occur in younger individuals.</t>
  </si>
  <si>
    <t>More common in women, with about 10 times higher prevalence compared to men.</t>
  </si>
  <si>
    <t>UNITHROID 200MCG TAB</t>
  </si>
  <si>
    <t>Fatigue, weight gain, cold intolerance, dry skin, hair loss, constipation, muscle weakness, depression, bradycardia</t>
  </si>
  <si>
    <t>Approximately 4.6% of the US population, with higher rates in women and older adults</t>
  </si>
  <si>
    <t>Generally improved with appropriate treatment, may lead to normal life functions and reduced symptoms</t>
  </si>
  <si>
    <t>Typically 70-90% effective in returning TSH levels to normal with appropriate dosage</t>
  </si>
  <si>
    <t>Generally considered safe with regular monitoring of thyroid levels</t>
  </si>
  <si>
    <t>Possible side effects include hyperthyroidism symptoms (if overdosed), palpitations, increased appetite, weight loss, anxiety, and insomnia</t>
  </si>
  <si>
    <t>Approximately $150-$300, depending on insurance and pharmacy</t>
  </si>
  <si>
    <t>Most common in adults, especially those over 60</t>
  </si>
  <si>
    <t>Predominantly affects women (5-8 times more than men)</t>
  </si>
  <si>
    <t>UNITHROID 300MCG TAB</t>
  </si>
  <si>
    <t>Fatigue, weight gain, sensitivity to cold, constipation, dry skin, hair loss, muscle weakness, slow heart rate, depression, impaired memory</t>
  </si>
  <si>
    <t>Approximately 4.6% of the US population (around 5.3 million people) have hypothyroidism, with higher prevalence in women and older adults.</t>
  </si>
  <si>
    <t>Patients with properly managed hypothyroidism report improved quality of life; untreated, the condition can significantly impair daily functioning and overall well-being.</t>
  </si>
  <si>
    <t>Efficacy of UNITHROID in managing hypothyroidism is high, with studies indicating that around 90% of patients achieve normal thyroid hormone levels with appropriate dosing.</t>
  </si>
  <si>
    <t>UNITHROID is generally considered safe when dosed appropriately. Serious adverse events are rare, especially under regular monitoring.</t>
  </si>
  <si>
    <t>Common adverse events include palpitations, anxiety, weight loss, insomnia, and menstrual irregularities; serious adverse events are rare but can include allergic reactions.</t>
  </si>
  <si>
    <t>The annual costs for UNITHROID therapy can vary, but average expenses typically range from $200 to $1,200 depending on insurance coverage and dosages.</t>
  </si>
  <si>
    <t>Most commonly prescribed for adults, particularly women aged 30-60 years; however, it can be prescribed for older adults and children when indicated.</t>
  </si>
  <si>
    <t>Hypothyroidism is more prevalent in women (about 10 times more common) than men.</t>
  </si>
  <si>
    <t>LYVISPAH 5MG/PKT GRANULES,ORAL</t>
  </si>
  <si>
    <t>Intellectual disability, seizures, behavioral problems, skin rashes, musty odor in breath, urine, or skin</t>
  </si>
  <si>
    <t>Approximately 1 in 10,000 to 1 in 15,000 newborns in the USA</t>
  </si>
  <si>
    <t>Managing PKU can significantly improve quality of life; however, strict dietary restrictions are necessary. Patients may face social and emotional challenges.</t>
  </si>
  <si>
    <t>High; effective in reducing phenylalanine levels when used as directed</t>
  </si>
  <si>
    <t>Generally well tolerated; most patients experience minimal side effects when properly monitored</t>
  </si>
  <si>
    <t>Common adverse events include headaches, gastrointestinal disturbances, and allergic reactions</t>
  </si>
  <si>
    <t>Approximately $120,000 to $150,000 for dietary management and medication</t>
  </si>
  <si>
    <t>Primarily used in infants, children, and adults with PKU</t>
  </si>
  <si>
    <t>No significant gender predisposition reported</t>
  </si>
  <si>
    <t>Small molecules (amino acid therapy and dietary management)</t>
  </si>
  <si>
    <t>LYVISPAH 10MG/PKT GRANULES,ORAL</t>
  </si>
  <si>
    <t>Symptoms can include intellectual disability, behavioral problems, and seizures if left untreated. Infants often appear normal at birth but can develop moderate to severe symptoms after a few months due to increased phenylalanine levels.</t>
  </si>
  <si>
    <t>Approximately 1 in 10,000 to 1 in 15,000 births in the USA.</t>
  </si>
  <si>
    <t>With proper dietary management and treatment, individuals can lead a relatively normal quality of life, although they may face dietary restrictions and social challenges due to the condition.</t>
  </si>
  <si>
    <t>Clinical studies report that treatment with LYVISPAH can effectively help maintain plasma phenylalanine levels in the target range when combined with a phenylalanine-restricted diet.</t>
  </si>
  <si>
    <t>Generally considered safe when used as prescribed, with close monitoring of phenylalanine levels.</t>
  </si>
  <si>
    <t>Common adverse events include headache, nausea, diarrhea, and changes in mood or behavior.</t>
  </si>
  <si>
    <t>Estimated to be around $10,000 to $30,000 per year, depending on dietary needs and ongoing monitoring.</t>
  </si>
  <si>
    <t>Primarily affects individuals from infancy through adulthood; treatment typically begins in newborns with PKU screening.</t>
  </si>
  <si>
    <t>No significant gender differences in prevalence or symptoms.</t>
  </si>
  <si>
    <t>Small molecules (specifically indicated for managing metabolic conditions).</t>
  </si>
  <si>
    <t>LYVISPAH 20MG/PKT GRANULES,ORAL</t>
  </si>
  <si>
    <t>Approximately 1 in 10,000 to 1 in 15,000 live births in the USA</t>
  </si>
  <si>
    <t>Can be significantly impacted due to dietary restrictions and the need for continuous management; with appropriate treatment, many can lead fulfilling lives</t>
  </si>
  <si>
    <t>Clinical studies show that adherence to a low-phenylalanine diet supplemented with therapies such as LYVISPAH can lead to improved cognitive outcomes</t>
  </si>
  <si>
    <t>Generally well-tolerated; the safety profile is established in clinical studies</t>
  </si>
  <si>
    <t>Possible gastrointestinal symptoms (e.g., abdominal pain, diarrhea), allergic reactions, and headache</t>
  </si>
  <si>
    <t>Approximately $20,000 - $30,000, depending on adherence and adjunct therapies</t>
  </si>
  <si>
    <t>Primarily children and adolescents but can continue to be relevant into adulthood</t>
  </si>
  <si>
    <t>No significant gender bias; affects both males and females equally</t>
  </si>
  <si>
    <t>Medical food (dietary management supplement for PKU)</t>
  </si>
  <si>
    <t>FYLNETRA 6MG/0.6ML INJ,SOLN,SYR</t>
  </si>
  <si>
    <t>Muscle weakness, muscle cramps, difficulty speaking, swallowing, and breathing, fatigue, weakness in the arms and legs, twitching</t>
  </si>
  <si>
    <t>Approximately 5.4 cases per 100,000 people in the USA</t>
  </si>
  <si>
    <t>Significantly reduced due to progressive muscle weakness and eventual loss of motor function</t>
  </si>
  <si>
    <t>Clinical trials show that FYLNETRA (also known as tofersen) can slow disease progression in specific patients with SOD1 mutations</t>
  </si>
  <si>
    <t>Generally well-tolerated with careful monitoring; however, effects can vary</t>
  </si>
  <si>
    <t>Injection site reactions, headache, nausea, fatigue, elevated liver enzymes</t>
  </si>
  <si>
    <t>Estimated to be about $300,000 to $400,000</t>
  </si>
  <si>
    <t>Primarily adults, typically ages 40-70</t>
  </si>
  <si>
    <t>Slightly more common in men (about 1.5 times more than women)</t>
  </si>
  <si>
    <t>Gene therapy (oligonucleotide-based treatment for SOD1-mediated ALS)</t>
  </si>
  <si>
    <t>ALYMSYS 100MG</t>
  </si>
  <si>
    <t>Fatigue, fever, frequent infections, easy bruising or bleeding, weight loss, bone pain, swollen lymph nodes, enlarged liver or spleen.</t>
  </si>
  <si>
    <t>Approximately 4,000 new cases per year in the USA.</t>
  </si>
  <si>
    <t>Many patients experience significant impacts on quality of life due to treatment and illness, though survival rates have improved with advances in therapy.</t>
  </si>
  <si>
    <t>The drug is used as a component of multi-agent chemotherapy regimens and has a significant impact on achieving remission in ALL (overall response rates of over 80% in children).</t>
  </si>
  <si>
    <t>Generally considered safe when used as directed; side effects are manageable with supportive care.</t>
  </si>
  <si>
    <t>Common adverse events include febrile neutropenia, nausea, vomiting, and increased infection risk.</t>
  </si>
  <si>
    <t>Approximately $30,000 to $70,000 depending on treatment regimen and healthcare insurance coverage.</t>
  </si>
  <si>
    <t>Primarily affects children and young adults, but can occur at any age.</t>
  </si>
  <si>
    <t>Incidence is slightly higher in males than females.</t>
  </si>
  <si>
    <t>Monoclonal antibody (specifically, it is a form of anti-CD19 therapy).</t>
  </si>
  <si>
    <t>ADASUVE 10MG</t>
  </si>
  <si>
    <t>Severe agitation, irritability, aggressive behavior</t>
  </si>
  <si>
    <t>Approximately 2.6% of the U.S. population suffer from bipolar disorder, and schizophrenia affects about 1% of the population; acute agitation can occur in these patients.</t>
  </si>
  <si>
    <t>Significant impairment in functioning and daily activities; improvement in agitation can lead to enhanced quality of life.</t>
  </si>
  <si>
    <t>Effective in reducing acute agitation, with studies showing significant improvement within 2-3 hours post-administration.</t>
  </si>
  <si>
    <t>Generally considered safe when used as directed; however, monitoring is recommended due to potential for adverse effects.</t>
  </si>
  <si>
    <t>Sedation, dizziness, acute extrapyramidal symptoms, hypotension, dysgeusia.</t>
  </si>
  <si>
    <t>Approximately $9,000 per year, depending on the frequency of administration and insurance coverage.</t>
  </si>
  <si>
    <t>No significant gender differences in efficacy; however, prevalence rates may vary slightly by gender.</t>
  </si>
  <si>
    <t>Small molecule (inhalation powder).</t>
  </si>
  <si>
    <t>LAMICTAL 25MG CHEWABLE DISPERSIBLE TAB</t>
  </si>
  <si>
    <t>Seizures (epilepsy), mood swings, depressive episodes, manic episodes (bipolar disorder)</t>
  </si>
  <si>
    <t>Approximately 1% of the population has epilepsy; bipolar disorder affects about 2.8% of adults in the USA</t>
  </si>
  <si>
    <t>Can significantly improve quality of life for patients with effective seizure control and mood stabilization</t>
  </si>
  <si>
    <t>Effective in reducing seizure frequency and stabilizing mood; response rates can be as high as 60-70% for seizure control</t>
  </si>
  <si>
    <t>Generally well-tolerated; requires careful titration to minimize risks of side effects</t>
  </si>
  <si>
    <t>Common adverse events include headache, dizziness, nausea, insomnia, and rash; serious risks include Stevens-Johnson syndrome (very rare but potentially life-threatening)</t>
  </si>
  <si>
    <t>Approximately $2,000 - $4,000 per year depending on insurance coverage</t>
  </si>
  <si>
    <t>Approved for use in adults and children over 2 years of age</t>
  </si>
  <si>
    <t>No strong gender preference; affects both males and females equally</t>
  </si>
  <si>
    <t>Antiepileptic drug (AED) / Mood stabilizer (small molecules)</t>
  </si>
  <si>
    <t>LAMICTAL TAB BIPOLAR STARTER KIT</t>
  </si>
  <si>
    <t>Mood swings, including depressive episodes and manic episodes, irritability, excessive energy, racing thoughts, sleep disturbances, and changes in activity levels.</t>
  </si>
  <si>
    <t>Quality of life can be significantly impaired during episodes of mania and depression, affecting personal relationships, work, and overall functioning.</t>
  </si>
  <si>
    <t>Lamotrigine (the active ingredient in Lamictal) is effective in reducing the frequency of mood episodes in individuals with bipolar disorder; response rates can vary, but efficacy is noted around 50-70% in maintaining mood stability.</t>
  </si>
  <si>
    <t>Generally well-tolerated; however, it requires careful titration to minimize the risk of severe skin rashes, like Stevens-Johnson syndrome.</t>
  </si>
  <si>
    <t>Common adverse events include headache, dizziness, insomnia, nausea, and potential skin rashes.</t>
  </si>
  <si>
    <t>The estimated annual costs for Lamictal can range from $3,000 to $5,000 depending on insurance coverage and dosage.</t>
  </si>
  <si>
    <t>Primarily adults, with increasing recognition of bipolar disorder in adolescents and young adults.</t>
  </si>
  <si>
    <t>Affects both genders equally, though women may have a higher incidence of depressive episodes.</t>
  </si>
  <si>
    <t>Small molecule (anticonvulsant/mood stabilizer).</t>
  </si>
  <si>
    <t>LAMICTAL 100MG TAB</t>
  </si>
  <si>
    <t>In epilepsy, symptoms include seizures, loss of consciousness, and convulsions. In bipolar disorder, symptoms include mood swings, depressive episodes, and manic episodes.</t>
  </si>
  <si>
    <t>Epilepsy affects approximately 1.2% of the population in the USA, while bipolar disorder has a lifetime prevalence of about 2.8%.</t>
  </si>
  <si>
    <t>Patients generally report improved quality of life when adequately managed with treatment; however, those with uncontrolled epilepsy or severe bipolar episodes may experience significant impairment.</t>
  </si>
  <si>
    <t>Lamictal is effective in reducing seizure frequency in epilepsy and stabilizing mood in bipolar disorder, though individual responses may vary. Efficacy rates can be over 50% for seizure control and significant mood stability in bipolar treatment.</t>
  </si>
  <si>
    <t>Generally considered safe when taken as prescribed, but requires monitoring for skin rashes and other potential adverse effects.</t>
  </si>
  <si>
    <t>Common adverse events include headache, dizziness, drowsiness, nausea, and serious skin reactions such as Stevens-Johnson syndrome in rare cases.</t>
  </si>
  <si>
    <t>Approximately $4,000 to $5,000 annually depending on insurance coverage and dosage requirements.</t>
  </si>
  <si>
    <t>Commonly prescribed for adults and children over the age of 2.</t>
  </si>
  <si>
    <t>Both genders are affected, although the prevalence of bipolar disorder may be slightly higher in females.</t>
  </si>
  <si>
    <t>LAMICTAL XR TABLETS 25MG 30S</t>
  </si>
  <si>
    <t>For bipolar disorder: mood swings, depressive episodes, increased energy or irritability. For epilepsy: seizures, loss of consciousness, confusion.</t>
  </si>
  <si>
    <t>Bipolar disorder affects approximately 2.8% of the adult population in the USA; epilepsy affects about 1.2% of the population.</t>
  </si>
  <si>
    <t>Can significantly improve quality of life by stabilizing mood swings and reducing seizure frequency, leading to better functioning in daily activities.</t>
  </si>
  <si>
    <t>Efficacy rates for Lamictal (Lamotrigine) in mood stabilization are around 54% in bipolar disorder; efficacy in seizure reduction is approximately 60-80% depending on the type of seizures.</t>
  </si>
  <si>
    <t>Generally well-tolerated with a good safety profile when used as directed; however, it may require titration to minimize risks.</t>
  </si>
  <si>
    <t>Common adverse events include headache, dizziness, nausea, rash, and insomnia; rare but serious events include severe skin reactions (Stevens-Johnson syndrome).</t>
  </si>
  <si>
    <t>Approximately $600 to $1,200 per year, depending on insurance coverage and pharmacy costs.</t>
  </si>
  <si>
    <t>Approved for use in adults and children aged 2 years and older for epilepsy; for bipolar disorder, typically used in adults.</t>
  </si>
  <si>
    <t>Both genders are prescribed Lamictal, but bipolar disorder has a slightly higher prevalence in females.</t>
  </si>
  <si>
    <t>Small molecule (Anticonvulsant and mood stabilizer).</t>
  </si>
  <si>
    <t>LAMICTAL XR TABLETS 50MG 30S</t>
  </si>
  <si>
    <t>For epilepsy, symptoms include recurrent seizures, which may vary in type and severity. For bipolar disorder, symptoms include mood swings ranging from depressive lows to manic highs, mood instability, irritability, and changes in energy levels.</t>
  </si>
  <si>
    <t>Epilepsy affects approximately 1% of the US population, while bipolar disorder affects about 2.8% of adults at some point in their lives.</t>
  </si>
  <si>
    <t>Individuals with epilepsy and bipolar disorder may experience decreased quality of life due to unpredictability of symptoms, side effects from medications, and social stigma.</t>
  </si>
  <si>
    <t>Lamictal XR (lamotrigine) is effective in controlling seizures in most patients with epilepsy and stabilizing mood in bipolar disorder; around 60-70% of patients may achieve seizure freedom with adequate dose adjustments.</t>
  </si>
  <si>
    <t>Generally considered safe when used as directed; requires monitoring for skin rash and other side effects.</t>
  </si>
  <si>
    <t>Common adverse events include headache, dizziness, nausea, rash, and tremors; serious adverse events include Stevens-Johnson syndrome, particularly during dose escalation.</t>
  </si>
  <si>
    <t>The average annual therapy cost for Lamictal XR in the USA can range from $1,200 to $3,000, depending on dosage and insurance coverage.</t>
  </si>
  <si>
    <t>Approved for use in adults and children 2 years and older.</t>
  </si>
  <si>
    <t>Both genders are affected; however, there may be a slight female predominance in bipolar disorder prevalence.</t>
  </si>
  <si>
    <t>Small molecule (anticonvulsant and mood stabilizer).</t>
  </si>
  <si>
    <t>LAMICTAL XR TABLETS 200MG 30S</t>
  </si>
  <si>
    <t>For epilepsy, symptoms include recurrent seizures that can vary in type and frequency. For bipolar disorder, symptoms may include mood swings that range from depressive episodes to manic or hypomanic states.</t>
  </si>
  <si>
    <t>Approximately 1% of the population has epilepsy, while bipolar disorder affects about 2.6% of U.S. adults.</t>
  </si>
  <si>
    <t>Quality of life can be significantly impacted due to the unpredictability of seizures in epilepsy and mood fluctuations in bipolar disorder, often leading to social, occupational, and relational difficulties.</t>
  </si>
  <si>
    <t>Lamictal XR is effective in reducing the frequency of seizures in epilepsy and stabilizing mood in bipolar disorder, with studies showing improvements in seizure control and mood stabilization in about 60-80% of patients.</t>
  </si>
  <si>
    <t>Generally considered safe, but it requires careful titration and monitoring due to the risk of serious skin rashes and potential seizures if stopped abruptly.</t>
  </si>
  <si>
    <t>Common adverse events can include dizziness, headache, sedation, and rash (potentially serious if it develops into Stevens-Johnson syndrome).</t>
  </si>
  <si>
    <t>The annual therapy costs can range from $1,200 to $3,000, depending on insurance coverage and whether the patient requires additional medications.</t>
  </si>
  <si>
    <t>Typically prescribed for adults and children over 2 years of age, with specific dosing considerations for different age groups.</t>
  </si>
  <si>
    <t>No significant gender bias in prescribing; both men and women can be affected similarly by both epilepsy and bipolar disorder.</t>
  </si>
  <si>
    <t>Small molecules (anticonvulsant and mood stabilizer).</t>
  </si>
  <si>
    <t>LAMICTAL XR TABLETS 25MG/50MG STARTER KIT</t>
  </si>
  <si>
    <t>For Bipolar Disorder: mood swings, depressive episodes, manic episodes; For Epilepsy: seizures, loss of consciousness, muscle spasms</t>
  </si>
  <si>
    <t>Bipolar Disorder: approximately 2.8% of adults; Epilepsy: approximately 1.2% of the population in the USA</t>
  </si>
  <si>
    <t>Can significantly improve quality of life by stabilizing mood and reducing seizure frequency, but may still be affected by residual symptoms of the diseases.</t>
  </si>
  <si>
    <t>60-80% effective for mood stabilization in bipolar disorder; Seizure control varies; about 40-60% may achieve seizure reduction.</t>
  </si>
  <si>
    <t>Generally considered safe when used as prescribed; monitoring for side effects is necessary.</t>
  </si>
  <si>
    <t>Common adverse events include rash, dizziness, nausea, headache, and insomnia. Serious adverse events can include severe skin reactions.</t>
  </si>
  <si>
    <t>Approximately $1,600 to $3,000, depending on insurance coverage and pharmacy pricing.</t>
  </si>
  <si>
    <t>Approved for use in children, adolescents, and adults (typically ages 2 and older).</t>
  </si>
  <si>
    <t>No significant gender differences in efficacy; however, women may experience different side effects related to hormonal changes.</t>
  </si>
  <si>
    <t>LAMICTAL XR TABLETS 25MG/50MG/100MG KIT</t>
  </si>
  <si>
    <t>Seizures, mood swings, depressive episodes, irritability</t>
  </si>
  <si>
    <t>Approximately 1% of the population have epilepsy; bipolar disorder affects about 2.8% of the U.S. adult population</t>
  </si>
  <si>
    <t>Can improve significantly with effective management; however, untreated conditions may lead to significant impairment in social and occupational functioning</t>
  </si>
  <si>
    <t>50-80% of patients respond well to treatment for epilepsy; mood stabilization in bipolar disorder typically ranges between 60-80%</t>
  </si>
  <si>
    <t>Generally well-tolerated; long-term use requires monitoring for skin rashes and mood stability</t>
  </si>
  <si>
    <t>Common: dizziness, headache, nausea; Serious: Stevens-Johnson syndrome, toxic epidermal necrolysis</t>
  </si>
  <si>
    <t>Approximately $5,000 - $15,000 depending on insurance coverage and dosage</t>
  </si>
  <si>
    <t>Approved for ages 2 years and older for epilepsy; typically prescribed for adult populations with bipolar disorder</t>
  </si>
  <si>
    <t>No significant gender differences reported in efficacy; both genders are affected equally</t>
  </si>
  <si>
    <t>Small molecule anticonvulsant and mood stabilizer</t>
  </si>
  <si>
    <t>LAMICTAL ODT TABLETS 25MG MAINT 30S</t>
  </si>
  <si>
    <t>Seizures, loss of consciousness, muscle spasms, confusion, temporary disruption of normal brain function</t>
  </si>
  <si>
    <t>Approximately 1.2% of the population in the USA (about 3 million people)</t>
  </si>
  <si>
    <t>Varies; many patients experience improved quality of life with effective management, but ongoing seizures can affect daily activities and mental health</t>
  </si>
  <si>
    <t>Approximately 50-70% of patients achieve significant seizure reduction with lamotrigine; especially effective for partial and generalized seizures</t>
  </si>
  <si>
    <t>Generally well-tolerated; monitor for the development of serious skin rashes; regular follow-up needed to adjust dosage and monitor response</t>
  </si>
  <si>
    <t>Common: dizziness, headache, nausea; Serious: Stevens-Johnson syndrome, toxic epidermal necrolysis, blood dyscrasias</t>
  </si>
  <si>
    <t>Approximately $5,000 to $10,000, depending on insurance coverage and dosage</t>
  </si>
  <si>
    <t>Approved for use in children (from age 2) and adults</t>
  </si>
  <si>
    <t>Both genders are affected equally; however, women may have specific considerations due to hormonal changes</t>
  </si>
  <si>
    <t>Small molecule (antiepileptic drug)</t>
  </si>
  <si>
    <t>LAMICTAL ODT TABLETS 100MG MAINT 30S</t>
  </si>
  <si>
    <t>Seizures, mood swings, depression, anxiety, irritability</t>
  </si>
  <si>
    <t>Approximately 1.2% of the U.S. population has epilepsy; about 2.6% have bipolar disorder annually</t>
  </si>
  <si>
    <t>Many patients report improved quality of life with effective management; however, some may still experience challenges related to seizures or mood episodes.</t>
  </si>
  <si>
    <t>Lamictal is effective in reducing the frequency of seizures and stabilizing mood in bipolar disorder, with clinical studies showing significant improvement in symptoms.</t>
  </si>
  <si>
    <t>Generally well-tolerated; however, careful titration is necessary due to the risk of skin rashes and potential for Stevens-Johnson syndrome.</t>
  </si>
  <si>
    <t>Common adverse events include dizziness, headache, nausea, insomnia, and rash. Serious events may include skin reactions and seizures upon abrupt discontinuation.</t>
  </si>
  <si>
    <t>Approximately $4,000 - $5,000 depending on dosage and insurance coverage.</t>
  </si>
  <si>
    <t>Approved for use in children (2 years and older) and adults.</t>
  </si>
  <si>
    <t>No significant gender preference; effective in both males and females.</t>
  </si>
  <si>
    <t>Small molecule (antiepileptic agent, mood stabilizer).</t>
  </si>
  <si>
    <t>LAMICTAL ODT TABLETS 200MG MAINT 30S</t>
  </si>
  <si>
    <t>Seizures, mood swings, depression, anxiety</t>
  </si>
  <si>
    <t>Significantly improved with effective management of symptoms; may vary based on disorder severity</t>
  </si>
  <si>
    <t>Approximately 50-60% of patients with epilepsy achieve seizure freedom with appropriate pharmacotherapy; effectiveness in bipolar disorder can lead to a reduction in episodes of mania and depression</t>
  </si>
  <si>
    <t>Generally well-tolerated; risk of serious skin rashes (Stevens-Johnson syndrome) requires monitoring</t>
  </si>
  <si>
    <t>Common adverse effects include dizziness, headache, nausea, insomnia, and rash; serious reactions can occur in a small percentage of patients</t>
  </si>
  <si>
    <t>Approximately $3,000 - $7,000 depending on insurance coverage and patient needs</t>
  </si>
  <si>
    <t>Approved for use in children (ages &gt;2 years) and adults</t>
  </si>
  <si>
    <t>No significant gender preference in efficacy; however, women may require dosage adjustments due to hormonal changes</t>
  </si>
  <si>
    <t>Anticonvulsant/antimood stabilizer (small molecule)</t>
  </si>
  <si>
    <t>TRUDHESA 4MG/ML NASAL SPRAY</t>
  </si>
  <si>
    <t>Cluster Headaches</t>
  </si>
  <si>
    <t>Severe, unilateral head pain; episodes of pain lasting from 15 minutes to 3 hours; associated symptoms may include restlessness, tearing, nasal congestion, and eyelid drooping.</t>
  </si>
  <si>
    <t>Significantly affected during cluster periods; many patients experience anxiety and depression due to the severity and unpredictability of attacks.</t>
  </si>
  <si>
    <t>Clinical studies show TRUDHESA can be effective in providing pain relief within 15 minutes for a majority of patients during an active headache.</t>
  </si>
  <si>
    <t>Generally considered safe for use as directed; it is a novel formulation that is well tolerated.</t>
  </si>
  <si>
    <t>Common adverse events include nasal discomfort, taste disturbance, and somnolence. Serious adverse events are rare.</t>
  </si>
  <si>
    <t>Estimated at $15,000 to $20,000, depending on usage frequency and healthcare coverage.</t>
  </si>
  <si>
    <t>Primarily adults aged 20-50 years, with onset typically occurring in early adulthood.</t>
  </si>
  <si>
    <t>More common in males than females, with a male-to-female ratio of approximately 3:1.</t>
  </si>
  <si>
    <t>Small molecules (nasal spray formulation).</t>
  </si>
  <si>
    <t>EXELDERM 1% SOLN,TOP</t>
  </si>
  <si>
    <t>Rough, scaly patches on sun-exposed skin, redness, and itching</t>
  </si>
  <si>
    <t>Approximately 10 million cases in the USA</t>
  </si>
  <si>
    <t>Can significantly affect quality of life due to discomfort and cosmetic concerns</t>
  </si>
  <si>
    <t>Efficacy rate of about 60-80% in lesion clearance</t>
  </si>
  <si>
    <t>Generally considered safe for topical use with minimal systemic absorption</t>
  </si>
  <si>
    <t>Localized erythema, stinging, peeling, or burning sensation at the application site</t>
  </si>
  <si>
    <t>Approximately $300-$500 depending on treatment frequency and insurance coverage</t>
  </si>
  <si>
    <t>More common in men due to increased sun exposure</t>
  </si>
  <si>
    <t>Topical solution (small molecules)</t>
  </si>
  <si>
    <t>GLUCAGEN DIAGNOSTIC KIT</t>
  </si>
  <si>
    <t>Sweating, trembling, palpitations, confusion, dizziness, irritability, hunger, seizures, loss of consciousness</t>
  </si>
  <si>
    <t>Approximately 4% of the general population, though it can be higher in those with diabetes (15-20% among diabetic patients)</t>
  </si>
  <si>
    <t>Can significantly impact quality of life, particularly for patients with diabetes, due to fear of episodes and the need for constant monitoring</t>
  </si>
  <si>
    <t>Very effective as a rescue treatment to raise blood glucose levels swiftly</t>
  </si>
  <si>
    <t>Generally considered safe when used as directed; however, should only be used in emergency situations</t>
  </si>
  <si>
    <t>Nausea, vomiting, hypersensitivity reactions, transient tachycardia</t>
  </si>
  <si>
    <t>Approximately $200-$300 depending on insurance coverage and pharmacy pricing</t>
  </si>
  <si>
    <t>All age groups, but most commonly used in adults and children with diabetes</t>
  </si>
  <si>
    <t>No specific gender prevalence, affects all genders equally</t>
  </si>
  <si>
    <t>Diagnostic kit (injection of glucagon)</t>
  </si>
  <si>
    <t>CYLTEZO 40MG/0.4ML INJ,PEN,PSORIASIS-UVEITIS</t>
  </si>
  <si>
    <t>Red patches of skin covered with thick, silvery scales (psoriasis); eye pain, sensitivity to light, blurred vision, and inflammation in the eye (uveitis)</t>
  </si>
  <si>
    <t>Psoriasis affects approximately 2-3% of the population in the USA; Uveitis has a prevalence of about 38 cases per 100,000 persons.</t>
  </si>
  <si>
    <t>Psoriasis can significantly impair quality of life due to visible lesions, which may lead to psychological distress and social stigmatization. Uveitis can lead to vision impairment, thus affecting day-to-day activities and overall well-being.</t>
  </si>
  <si>
    <t>Ciltelozumab (Cyltezo) has shown efficacy scores of approximately 70% in alleviating the symptoms of psoriasis; efficacy in uveitis is still under investigation but shows promising results in clinical trials.</t>
  </si>
  <si>
    <t>Cyltezo has a safety profile consistent with other monoclonal antibodies targeting similar pathways, with monitoring for infections and infusion reactions.</t>
  </si>
  <si>
    <t>Common adverse events include injection site reactions, headache, upper respiratory infections, and increased risk of serious infections.</t>
  </si>
  <si>
    <t>Approximately $10,000 to $20,000, depending on the dosing and insurance coverage.</t>
  </si>
  <si>
    <t>Primarily adults aged 18-65.</t>
  </si>
  <si>
    <t>Both genders are affected, but psoriasis may be slightly more common in males.</t>
  </si>
  <si>
    <t>NALTREXONE 50MG</t>
  </si>
  <si>
    <t>For OUD, symptoms may include cravings for opioids, withdrawal symptoms, and impaired control over opioid use. For AUD, symptoms include a strong craving for alcohol, loss of control over drinking, and physical dependence.</t>
  </si>
  <si>
    <t>Approximately 1.6 million adults in the USA have OUD; about 14.5 million adults have AUD (as per the National Institute on Alcohol Abuse and Alcoholism).</t>
  </si>
  <si>
    <t>Treatment with naltrexone can improve quality of life by reducing cravings and enabling better social functioning and mental health stability.</t>
  </si>
  <si>
    <t>Naltrexone has been shown to decrease opioid and alcohol cravings and reduce relapse rates; efficacy rates can be around 30-50% depending on adherence to therapy.</t>
  </si>
  <si>
    <t>Naltrexone is generally considered safe for most patients, but monitoring for liver function is important due to potential hepatotoxicity.</t>
  </si>
  <si>
    <t>Common adverse events include nausea, headache, dizziness, fatigue, and insomnia. Serious but rare events may include liver damage and allergic reactions.</t>
  </si>
  <si>
    <t>Estimated annual therapy costs for naltrexone are around $4,500 depending on insurance coverage and formulation (oral vs. injectable).</t>
  </si>
  <si>
    <t>Typically prescribed to adults aged 18 and older.</t>
  </si>
  <si>
    <t>Both men and women are prescribed naltrexone, though OUD and AUD may be more prevalent in males.</t>
  </si>
  <si>
    <t>Naltrexone is classified as a small molecule antagonist.</t>
  </si>
  <si>
    <t>NALTREXONE HCL 50MG TAB</t>
  </si>
  <si>
    <t>Cravings for opioids or alcohol, increased consumption, withdrawal symptoms, impaired control over use, continued use despite negative consequences.</t>
  </si>
  <si>
    <t>Approximately 1.6% of the U.S. population meets criteria for opioid use disorder, while about 8.5% face alcohol use disorder.</t>
  </si>
  <si>
    <t>Long-term use of Naltrexone can lead to improved quality of life by reducing cravings and preventing relapse, allowing for better social, psychological, and physical health.</t>
  </si>
  <si>
    <t>Naltrexone has shown to reduce relapse rates by approximately 50% in patients with alcohol dependence and opioid use disorder.</t>
  </si>
  <si>
    <t>Generally well-tolerated; considered safe when used as prescribed, but should not be used in patients currently using opioids.</t>
  </si>
  <si>
    <t>Common adverse effects include nausea, vomiting, headache, dizziness, and fatigue. Severe adverse events can include liver toxicity in rare cases.</t>
  </si>
  <si>
    <t>Approximately $1,200 to $2,500 depending on insurance coverage and formulary.</t>
  </si>
  <si>
    <t>Typically prescribed to adults (ages 18-65), but can also be used in older adults.</t>
  </si>
  <si>
    <t>Equally prescribed to males and females, though prevalence rates may vary.</t>
  </si>
  <si>
    <t>Small molecule (opiate antagonist).</t>
  </si>
  <si>
    <t>MYOBLOC 2500UNT/VIL INJ</t>
  </si>
  <si>
    <t>Involuntary muscle contractions causing abnormal postures of the head and neck, pain, and discomfort.</t>
  </si>
  <si>
    <t>Approximately 3 cases per 100,000 individuals in the U.S.</t>
  </si>
  <si>
    <t>Can significantly impair daily activities and social interactions, leading to reduced overall quality of life.</t>
  </si>
  <si>
    <t>Clinical trials show approximately 60-70% of patients achieve meaningful improvement in symptoms.</t>
  </si>
  <si>
    <t>Generally well-tolerated; monitor for potential adverse effects.</t>
  </si>
  <si>
    <t>Common adverse events include dry mouth, fatigue, dizziness, and injection site reactions.</t>
  </si>
  <si>
    <t>Estimated at $15,000 to $30,000 per year, depending on dosing frequency and insurance coverage.</t>
  </si>
  <si>
    <t>Primarily adults aged 30-60 years.</t>
  </si>
  <si>
    <t>More common in women than in men, with a ratio of about 2:1.</t>
  </si>
  <si>
    <t>Botulinum toxin Type B (neurotoxin therapy).</t>
  </si>
  <si>
    <t>MYOBLOC 10000UNT/VIL INJ</t>
  </si>
  <si>
    <t>Involuntary muscle contractions, abnormal neck position, neck pain, and discomfort.</t>
  </si>
  <si>
    <t>Approximately 0.6-1.2 cases per 100,000 people in the USA.</t>
  </si>
  <si>
    <t>Significantly affected due to chronic pain and inability to perform normal activities.</t>
  </si>
  <si>
    <t>Generally considered effective; approximately 70-80% of patients report significant symptom improvement with treatment.</t>
  </si>
  <si>
    <t>Generally well-tolerated with low risk when administered by experienced professionals.</t>
  </si>
  <si>
    <t>Common adverse events include muscle weakness, injection site pain, and dysphagia; rare events may include respiratory depression and allergic reactions.</t>
  </si>
  <si>
    <t>Estimated at $10,000 to $20,000 annually depending on treatment frequency and dosage.</t>
  </si>
  <si>
    <t>Primarily affects adults, typically aged 30-60 years.</t>
  </si>
  <si>
    <t>More common in women than men, with a female-to-male ratio of approximately 2:1.</t>
  </si>
  <si>
    <t>Botulinum toxin type B (a neurotoxin), classified as a biological therapy.</t>
  </si>
  <si>
    <t>POTELIGEO 4MG/ML INJ,SOLN</t>
  </si>
  <si>
    <t>Swollen lymph nodes, fever, night sweats, weight loss, fatigue, and skin lesions.</t>
  </si>
  <si>
    <t>Approximately 14,000 new cases of PTCL diagnosed annually in the USA; prevalence is about 1 person per 100,000.</t>
  </si>
  <si>
    <t>Can be significantly affected due to severe symptoms and treatment side effects, especially impacting daily activities and emotional well-being.</t>
  </si>
  <si>
    <t>Clinical trials show an overall response rate of about 29% in previously treated PTCL patients.</t>
  </si>
  <si>
    <t>Generally well-tolerated, but may cause neutropenia and other hematologic toxicities; monitoring is essential.</t>
  </si>
  <si>
    <t>Common adverse events include infusion-related reactions, fatigue, pruritus, and myelosuppression (specifically neutropenia).</t>
  </si>
  <si>
    <t>Approximately $250,000 to $300,000 per year, depending on therapy duration and insurance coverage.</t>
  </si>
  <si>
    <t>Most commonly used in adults aged 18 and older, predominantly in the 50-75 age range.</t>
  </si>
  <si>
    <t>Slightly more common in males than females (approximately 60% male).</t>
  </si>
  <si>
    <t>XIPERE 40MG/ML INJ,SUSP,OPH</t>
  </si>
  <si>
    <t>Eye redness, pain, light sensitivity, blurred vision</t>
  </si>
  <si>
    <t>Approximately 38.5 cases per 100,000 persons in the USA</t>
  </si>
  <si>
    <t>Patients often experience reduced visual acuity and significant lifestyle limitations, impacting overall quality of life</t>
  </si>
  <si>
    <t>Clinical trials indicate efficacy rates of approximately 70-75% for symptom management and inflammation reduction</t>
  </si>
  <si>
    <t>Generally well-tolerated; significant safety profile with a low incidence of serious adverse effects</t>
  </si>
  <si>
    <t>Potential adverse events include ocular pressure increase, irritation at injection site, and blurred vision</t>
  </si>
  <si>
    <t>Estimated at around $30,000 to $50,000 depending on treatment protocol and frequency of injections</t>
  </si>
  <si>
    <t>Primarily adults aged 20-50 years, but can occur in any age group</t>
  </si>
  <si>
    <t>There is no significant gender predominance, although specific types of uveitis may differ slightly between genders</t>
  </si>
  <si>
    <t>Monoclonal antibodies (suspension for ophthalmic use)</t>
  </si>
  <si>
    <t>RETISERT 0.59MG INTRAVITREAL IMPLANT</t>
  </si>
  <si>
    <t>Eye redness, pain, blurred vision, sensitivity to light, and floaters</t>
  </si>
  <si>
    <t>Approximately 38 cases per 100,000 people in the USA</t>
  </si>
  <si>
    <t>Can significantly impact daily activities and overall well-being; chronic cases may lead to decreased vision and functional impairment</t>
  </si>
  <si>
    <t>Approximately 75% of patients show improvement in vision within 3 months of administration</t>
  </si>
  <si>
    <t>Generally well-tolerated; long-term safety data is limited but signals a favorable profile</t>
  </si>
  <si>
    <t>Increased intraocular pressure, cataract formation, inflammation, and retinal detachment</t>
  </si>
  <si>
    <t>Approximately $22,000 - $30,000</t>
  </si>
  <si>
    <t>Primarily adults, but can occur in any age group</t>
  </si>
  <si>
    <t>Intravitreal implant (sustained-release delivery system)</t>
  </si>
  <si>
    <t>AMITRIPTYLINE HCL 12.5MG/CHLORDIAZEPOXIDE 5MG</t>
  </si>
  <si>
    <t>Persistent worry, restlessness, fatigue, difficulty concentrating, irritability, sleep disturbances, feelings of hopelessness, and loss of interest or pleasure.</t>
  </si>
  <si>
    <t>Approximately 3.1% of adults experience GAD in a given year; depression affects about 7% of the adult population annually in the USA.</t>
  </si>
  <si>
    <t>Significantly affected in a large percentage of patients (estimated 40-60% experience impaired quality of life due to symptoms).</t>
  </si>
  <si>
    <t>Amitriptyline and chlordiazepoxide combination shows moderate efficacy in treating GAD and depression, with response rates of 50-70% in clinical trials.</t>
  </si>
  <si>
    <t>Generally well tolerated; however, sedation and withdrawal symptoms can occur.</t>
  </si>
  <si>
    <t>Common adverse events include drowsiness, dizziness, dry mouth, blurred vision, constipation, and potential for dependence on chlordiazepoxide.</t>
  </si>
  <si>
    <t>Estimated annual therapy costs range from $600 to $1,000 depending on insurance coverage and pharmacy pricing.</t>
  </si>
  <si>
    <t>Generally prescribed for adults, typically ages 18-65.</t>
  </si>
  <si>
    <t>Both males and females are prescribed this combination; however, higher prevalence in females for depression and anxiety disorders.</t>
  </si>
  <si>
    <t>Combination of small molecule antidepressants (Amitriptyline) and benzodiazepine anxiolytics (Chlordiazepoxide).</t>
  </si>
  <si>
    <t>AMITRIPTYLINE HCL 25MG/CHLORDIAZEPOXIDE 10MG</t>
  </si>
  <si>
    <t>Anxiety, depression, insomnia, tension, irritability</t>
  </si>
  <si>
    <t>Approximately 19% of adults in the USA experience anxiety disorders, while 7% experience major depressive disorder in a given year.</t>
  </si>
  <si>
    <t>Patients often report significant improvement in quality of life with effective treatment, including improved mood, sleep, and daily functioning.</t>
  </si>
  <si>
    <t>Amitriptyline has shown to be effective in reducing symptoms of anxiety and depression, with response rates around 60-75%.</t>
  </si>
  <si>
    <t>Generally considered safe when used as prescribed; however, close monitoring is advised due to potential side effects.</t>
  </si>
  <si>
    <t>Common adverse events include drowsiness, dry mouth, weight gain, dizziness, and constipation. Severe but rare adverse events can include cardiac arrhythmias.</t>
  </si>
  <si>
    <t>Approximately $500-$1000 depending on insurance coverage and duration of therapy.</t>
  </si>
  <si>
    <t>Adults (often prescribed for those aged 18-65 years)</t>
  </si>
  <si>
    <t>Both genders are affected, though women are more likely to be diagnosed with anxiety and depression.</t>
  </si>
  <si>
    <t>Combination therapy (tricyclic antidepressant and benzodiazepine).</t>
  </si>
  <si>
    <t>ESTRADIOL 0.05MG/DAY PATCH</t>
  </si>
  <si>
    <t>Hot flashes, night sweats, vaginal dryness, mood swings, sleep disturbances, and joint pain.</t>
  </si>
  <si>
    <t>Approximately 50 million women in the USA are estimated to be experiencing menopause at any given time.</t>
  </si>
  <si>
    <t>Quality of life can significantly improve with estradiol therapy, reducing menopausal symptoms and enhancing overall well-being.</t>
  </si>
  <si>
    <t>Estradiol patches have shown to be effective in reducing the frequency and severity of menopausal symptoms in approximately 75-90% of users.</t>
  </si>
  <si>
    <t>Generally considered safe for short-term use; long-term safety data suggests various risks associated with prolonged estrogen use.</t>
  </si>
  <si>
    <t>Common adverse events include skin irritation at the patch site, nausea, headaches, and bloating. More serious risks include thromboembolism and increased risk of certain cancers.</t>
  </si>
  <si>
    <t>Approximately $350 - $1,000 depending on insurance coverage and brand.</t>
  </si>
  <si>
    <t>Primarily prescribed to women aged 45 and older, typically around the onset of menopause.</t>
  </si>
  <si>
    <t>Hormone replacement therapy (HRT), specifically a synthetic estrogen.</t>
  </si>
  <si>
    <t>ESTRADIOL 0.025MG/DAY (MINIVELLE) PATCH</t>
  </si>
  <si>
    <t>Hot flashes, vaginal dryness, night sweats, mood swings, and sleep disturbances</t>
  </si>
  <si>
    <t>Approximately 1.3 million women in the USA experience menopause annually, with a significant percentage experiencing symptoms (around 75% of menopausal women).</t>
  </si>
  <si>
    <t>Quality of life may significantly improve with appropriate treatment, as effective management of symptoms leads to better physical and mental well-being.</t>
  </si>
  <si>
    <t>The efficacy of ESTRADIOL patches in symptom relief is high, with studies showing up to a 90% improvement in hot flash frequency and severity.</t>
  </si>
  <si>
    <t>Generally considered safe when used appropriately; risks increase with long-term use, especially in women with a history of certain cancers, cardiovascular disease, or thromboembolic disorders.</t>
  </si>
  <si>
    <t>Common adverse events may include skin irritation at the patch site, breast tenderness, headache, nausea, and increased risk of venous thromboembolism.</t>
  </si>
  <si>
    <t>Estimated annual therapy costs for ESTRADIOL patches can range from $1,200 to $2,400 depending on insurance coverage and brand preferences.</t>
  </si>
  <si>
    <t>Primarily women aged 45 to 55 years, as this is the typical age range for menopause onset.</t>
  </si>
  <si>
    <t>Hormonal therapy (small molecules)</t>
  </si>
  <si>
    <t>EFUDEX 5% CREAM,TOP</t>
  </si>
  <si>
    <t>Rough, scaly patches on sun-exposed skin, red or pink spots, potential lesions</t>
  </si>
  <si>
    <t>Approximately 11 million cases of actinic keratosis in the USA</t>
  </si>
  <si>
    <t>Can be significantly affected due to skin appearance and potential progression to skin cancer</t>
  </si>
  <si>
    <t>Approximately 70-90% effective in clearing actinic keratosis lesions</t>
  </si>
  <si>
    <t>Generally well-tolerated; safety profile promotes use as a topical treatment</t>
  </si>
  <si>
    <t>Local irritation, burning, erythema, scaling, and crusting; less common systemic effects</t>
  </si>
  <si>
    <t>Approximately $500 to $1,000 depending on frequency of application and healthcare provider fees</t>
  </si>
  <si>
    <t>More common in males due to higher occupational sun exposure, but also prevalent in females</t>
  </si>
  <si>
    <t>Topical chemotherapy agent (small molecule)</t>
  </si>
  <si>
    <t>SODIUM CHLORIDE 3% INHL 15ML</t>
  </si>
  <si>
    <t>Symptoms of hypernatremia include thirst, confusion, muscle twitching, and seizures. In cystic fibrosis, symptoms are related to respiratory distress, persistent cough, saltiness of skin, and difficulty breathing.</t>
  </si>
  <si>
    <t>Hypernatremia occurs in approximately 1-2% of hospitalized patients in the USA. Cystic fibrosis affects about 30,000 individuals in the USA, with a prevalence of 1 in 3,500 newborns.</t>
  </si>
  <si>
    <t>Quality of life can be significantly affected in patients with cystic fibrosis due to chronic disease management needs, while hypernatremia management has less impact on quality of life when effectively treated.</t>
  </si>
  <si>
    <t>Sodium chloride 3% inhalation solution is effective for improving lung function and hydration in patients with cystic fibrosis, leading to decreased exacerbations and improved mucus clearance.</t>
  </si>
  <si>
    <t>Generally safe for use; however, monitoring is required to avoid issues related to sodium overload or pulmonary irritation.</t>
  </si>
  <si>
    <t>Potential adverse events may include cough, worsening bronchospasm, and nasal irritation during inhalation.</t>
  </si>
  <si>
    <t>The annual cost for cystic fibrosis therapy, including sodium chloride inhalation, can range from $20,000 to $30,000, depending on overall treatment plans and insurance coverage.</t>
  </si>
  <si>
    <t>Approved for use in children and adults, particularly those with cystic fibrosis, though exact age can depend on the specific treatment regimen.</t>
  </si>
  <si>
    <t>Both genders are equally affected by hypernatremia; cystic fibrosis affects both males and females, but the incidence and severity can vary slightly between genders.</t>
  </si>
  <si>
    <t>Small molecule (inhaled hypertonic saline).</t>
  </si>
  <si>
    <t>PAROXETINE HCL 10MG TAB</t>
  </si>
  <si>
    <t>Persistent sadness, loss of interest, fatigue, anxiety, agitation, difficulty concentrating, sleep disturbances, changes in appetite, feelings of worthlessness.</t>
  </si>
  <si>
    <t>Approximately 7% of adults in the USA experience Major Depressive Disorder annually; anxiety disorders affect about 19.1% of adults.</t>
  </si>
  <si>
    <t>Paroxetine can significantly improve the quality of life by reducing symptoms of depression and anxiety, leading to better social and occupational functioning.</t>
  </si>
  <si>
    <t>Paroxetine is effective in improving depressive symptoms in approximately 60-70% of patients.</t>
  </si>
  <si>
    <t>Generally safe when used as prescribed; monitoring for risk factors is advised.</t>
  </si>
  <si>
    <t>Common side effects include nausea, dry mouth, drowsiness, insomnia, and sexual dysfunction, with rare cases of serotonin syndrome.</t>
  </si>
  <si>
    <t>Approximately $500-$1,500 depending on insurance coverage and pharmacy prices.</t>
  </si>
  <si>
    <t>Approved for adults; commonly prescribed for ages 18-65.</t>
  </si>
  <si>
    <t>The prevalence of depression and anxiety is higher in females; however, both genders receive treatment.</t>
  </si>
  <si>
    <t>CYSTAGON 50MG</t>
  </si>
  <si>
    <t>The main symptoms of cystinosis include kidney dysfunction, growth retardation, eye problems (including corneal deposits), and potential complications affecting other organs.</t>
  </si>
  <si>
    <t>Approximately 1 in 100,000 to 1 in 200,000 live births in the United States.</t>
  </si>
  <si>
    <t>Quality of life for patients can be significantly affected due to chronic symptoms, frequent medical visits, and the impact of organ damage; however, treatment can improve quality of life.</t>
  </si>
  <si>
    <t>Cystagon (cysteamine bitartrate) has been shown to be effective in reducing cystine levels in tissues, leading to improved kidney function and reduced complications.</t>
  </si>
  <si>
    <t>Generally considered safe with regular monitoring; long-term safety data are available.</t>
  </si>
  <si>
    <t>Common adverse events include gastrointestinal symptoms like nausea, vomiting, and abdominal pain; long-term use can also lead to eye-related issues (corneal deposit formation).</t>
  </si>
  <si>
    <t>Approximately $30,000 to $50,000 annually, depending on dosage and healthcare coverage.</t>
  </si>
  <si>
    <t>Primarily affects children and young adults, but can be diagnosed at any age.</t>
  </si>
  <si>
    <t>The disease affects both genders equally.</t>
  </si>
  <si>
    <t>CYSTAGON 150MG</t>
  </si>
  <si>
    <t>Impaired growth, renal tubular Fanconi syndrome, ocular manifestations (corneal deposits), rickets, and progressive renal failure.</t>
  </si>
  <si>
    <t>Approximately 2,000 to 3,000 cases in the USA.</t>
  </si>
  <si>
    <t>Quality of life can be significantly impacted due to continuous treatment, chronic health issues, and complications associated with cystinosis.</t>
  </si>
  <si>
    <t>Cystagon has been shown to effectively reduce cystine levels in patients, which can lead to improved outcomes and delayed progression of renal failure.</t>
  </si>
  <si>
    <t>Generally well-tolerated, but long-term use requires monitoring due to potential side effects.</t>
  </si>
  <si>
    <t>Common adverse events include gastrointestinal disturbances (nausea, vomiting, diarrhea), dizziness, and potential for renal toxicity with long-term use.</t>
  </si>
  <si>
    <t>Approximately $40,000 to $60,000.</t>
  </si>
  <si>
    <t>Primarily affects children and young adults, but may present at any age.</t>
  </si>
  <si>
    <t>Small molecules (cysteamine bitartrate).</t>
  </si>
  <si>
    <t>CLINDAMYCIN PO4 2% CREAM,VAG</t>
  </si>
  <si>
    <t>Vaginal discharge (often fishy in odor), itching, irritation, and discomfort in the vaginal area.</t>
  </si>
  <si>
    <t>Approximately 29% of women ages 14-49 in the USA may experience bacterial vaginosis at some point in their lives.</t>
  </si>
  <si>
    <t>Can significantly impact quality of life, including physical discomfort and psychological distress due to symptoms.</t>
  </si>
  <si>
    <t>Generally effective; studies show the cure rate can be as high as 80-90% with appropriate treatment.</t>
  </si>
  <si>
    <t>Generally considered safe when used as directed; however, prolonged use or misuse may lead to disruptions in normal vaginal flora.</t>
  </si>
  <si>
    <t>Potential adverse events include local irritation, allergic reactions, and gastrointestinal disturbances if used orally.</t>
  </si>
  <si>
    <t>Estimated at $200-$500, including the cost of prescriptions and preventative measures.</t>
  </si>
  <si>
    <t>Most common in females aged 15-44.</t>
  </si>
  <si>
    <t>Antibiotic cream (topical formulation).</t>
  </si>
  <si>
    <t>CERASPORT CITRUS REHYDRATION SALTS</t>
  </si>
  <si>
    <t>Thirst, dry mouth, dark urine, fatigue, dizziness, confusion, rapid heartbeat</t>
  </si>
  <si>
    <t>Approximately 1 in 5 children in the USA experience dehydration annually due to acute gastroenteritis</t>
  </si>
  <si>
    <t>Improvements in hydration status correlate with better overall health and recovery, leading to enhanced quality of life</t>
  </si>
  <si>
    <t>High efficacy in rehydration, especially in preventing severe dehydration in children and adults</t>
  </si>
  <si>
    <t>Generally considered safe with proper use; most individuals tolerate the solution well</t>
  </si>
  <si>
    <t>Few adverse events; possible gastrointestinal discomfort (e.g., bloating, nausea)</t>
  </si>
  <si>
    <t>Approximately $50 - $100 for family use, depending on frequency and method of purchase</t>
  </si>
  <si>
    <t>Suitable for all ages, particularly children and elderly populations</t>
  </si>
  <si>
    <t>No significant gender differences in usage or effects</t>
  </si>
  <si>
    <t>Oral rehydration salts (ORS)</t>
  </si>
  <si>
    <t>CERA SPORT CITRUS REHYDRATION SALTS</t>
  </si>
  <si>
    <t>Thirst, dry mouth, fatigue, dizziness, headache, muscle cramps</t>
  </si>
  <si>
    <t>Estimated 1 in 8 athletes may experience dehydration, with higher rates in warm climates</t>
  </si>
  <si>
    <t>Can be significantly impaired during dehydration episodes, recovery improves quality of life upon rehydration</t>
  </si>
  <si>
    <t>High efficacy in rehydration and electrolyte replenishment during and after athletic activities</t>
  </si>
  <si>
    <t>Generally considered safe when used as directed; hydration levels should be monitored</t>
  </si>
  <si>
    <t>Minimal; potential for gastrointestinal discomfort or cramping when consumed in excess</t>
  </si>
  <si>
    <t>Approximately $100 - $200 depending on usage frequency and number of units consumed</t>
  </si>
  <si>
    <t>Suitable for all ages, but commonly used by athletes and individuals aged 10-50</t>
  </si>
  <si>
    <t>No specific gender preference; used by all genders</t>
  </si>
  <si>
    <t>Electrolyte replacement therapy (rehydration salts)</t>
  </si>
  <si>
    <t>SUNOSI 75MG TAB</t>
  </si>
  <si>
    <t>Excessive daytime sleepiness, sudden sleep attacks, cataplexy (sudden loss of muscle tone), sleep paralysis, hallucinations during sleep-wake transitions</t>
  </si>
  <si>
    <t>Approximately 0.02% of the general population in the USA</t>
  </si>
  <si>
    <t>Significantly impaired due to disruptions in daily activities, social interactions, and occupational performance</t>
  </si>
  <si>
    <t>Studies have shown SUNOSI (solriamfetol) improves wakefulness in patients with narcolepsy, with a response rate up to 75% in clinical trials</t>
  </si>
  <si>
    <t>Commonly well-tolerated, but long-term safety data are still evolving</t>
  </si>
  <si>
    <t>Common adverse events include headache, decreased appetite, insomnia, and anxiety; serious but rare events include cardiovascular issues</t>
  </si>
  <si>
    <t>Approximately $10,000 to $12,000 per year</t>
  </si>
  <si>
    <t>Primarily adults (median age of onset in late adolescence to early adulthood, but can occur in childhood)</t>
  </si>
  <si>
    <t>Affects both genders equally, but some studies indicate a slight male preponderance</t>
  </si>
  <si>
    <t>Small molecules (specifically a wake-promoting agent)</t>
  </si>
  <si>
    <t>SUNOSI 150MG TAB</t>
  </si>
  <si>
    <t>Excessive daytime sleepiness, cataplexy, sleep paralysis, hypnagogic hallucinations</t>
  </si>
  <si>
    <t>Approximately 0.05% of the population in the USA</t>
  </si>
  <si>
    <t>Significantly impacted due to sleep disturbances, difficulty with daily activities, and social interactions</t>
  </si>
  <si>
    <t>Clinical studies demonstrate a significant reduction in excessive daytime sleepiness among patients with narcolepsy</t>
  </si>
  <si>
    <t>Generally well-tolerated; the safety profile shows low incidence of severe adverse reactions</t>
  </si>
  <si>
    <t>Common adverse events include insomnia, headache, decreased appetite, dry mouth, and nausea</t>
  </si>
  <si>
    <t>Approximately $5,000 to $7,500 depending on insurance coverage</t>
  </si>
  <si>
    <t>Adults and children aged 6 years and older</t>
  </si>
  <si>
    <t>Both genders are affected, but there is a slight male predominance</t>
  </si>
  <si>
    <t>Small molecules (specifically classified as a wakefulness-promoting agent)</t>
  </si>
  <si>
    <t>SECURA TB FOAM CLEANSER, TOP, 4.5OZ BOTTLE</t>
  </si>
  <si>
    <t>Redness, itching, burning sensations, rash, dry skin</t>
  </si>
  <si>
    <t>Approximately 15-20% of the U.S. population experiences contact dermatitis at some point in their lives.</t>
  </si>
  <si>
    <t>Can significantly affect daily activities, emotional well-being, and social interactions, particularly in severe cases.</t>
  </si>
  <si>
    <t>Generally effective in cleansing affected areas and preventing further irritation.</t>
  </si>
  <si>
    <t>Considered safe for topical use; however, additional factors such as individual skin sensitivity should be taken into account.</t>
  </si>
  <si>
    <t>Possible local irritation, allergic reactions, and dryness.</t>
  </si>
  <si>
    <t>Approximately $200-$500, depending on usage and additional treatment for underlying conditions.</t>
  </si>
  <si>
    <t>All ages, although more common in adults due to occupational exposure.</t>
  </si>
  <si>
    <t>Equal prevalence in both males and females, with slight variation depending on occupation and exposure risks.</t>
  </si>
  <si>
    <t>Topical cleanser.</t>
  </si>
  <si>
    <t>SECURA DIMETHICONE 5% CREAM,TOP</t>
  </si>
  <si>
    <t>Redness, itching, burning, and irritation of the skin</t>
  </si>
  <si>
    <t>Approximately 10-15% of the population experiences some form of allergic contact dermatitis in their lifetime</t>
  </si>
  <si>
    <t>Can significantly impact quality of life due to discomfort and potential social embarrassment; most patients report an improvement after treatment</t>
  </si>
  <si>
    <t>Approximately 70-80% improvement in symptoms with proper use of the cream</t>
  </si>
  <si>
    <t>Generally considered safe for topical use; minimal systemic absorption</t>
  </si>
  <si>
    <t>Skin irritation, rash, or allergic reactions can occur in a small percentage of users</t>
  </si>
  <si>
    <t>Estimated $100 - $200 depending on frequency of use and insurance coverage</t>
  </si>
  <si>
    <t>All age groups, but particularly common in adults</t>
  </si>
  <si>
    <t>Affects both genders, though some studies suggest slightly higher incidence in females due to occupational exposures</t>
  </si>
  <si>
    <t>Topical cream (silicone-based emollient)</t>
  </si>
  <si>
    <t>IGALMI 180MCG FILM,SUBLINGUAL</t>
  </si>
  <si>
    <t>Agitation, restlessness, irritability, and non-cooperation</t>
  </si>
  <si>
    <t>Approximately 5% of the U.S. population experiences schizophrenia in their lifetime; bipolar disorder affects about 2.8% of the U.S. adult population.</t>
  </si>
  <si>
    <t>Can significantly improve quality of life when effectively managing agitation; untreated agitation can disrupt daily functioning.</t>
  </si>
  <si>
    <t>Clinical studies have shown IGALMI to reduce agitation significantly within 30 minutes of administration, with up to 70% of patients responding positively.</t>
  </si>
  <si>
    <t>Generally well-tolerated; ongoing monitoring is advised for those with cardiovascular conditions.</t>
  </si>
  <si>
    <t>Common adverse events include sedation, dizziness, and headache; serious adverse events are rare.</t>
  </si>
  <si>
    <t>Estimated annual therapy costs range from $6,500 to $8,000 depending on dosage and frequency.</t>
  </si>
  <si>
    <t>Both males and females are affected, though the incidence of schizophrenia is slightly higher in males.</t>
  </si>
  <si>
    <t>Small molecules (sublingual film formulation).</t>
  </si>
  <si>
    <t>LASIX 80MG TAB</t>
  </si>
  <si>
    <t>Swelling in the legs, ankles, or feet; Shortness of breath; Fatigue; Increased urination; High blood pressure</t>
  </si>
  <si>
    <t>Approximately 5% of the U.S. population has hypertension, while heart failure affects about 6.2 million adults. Edema prevalence varies based on underlying conditions.</t>
  </si>
  <si>
    <t>Can improve significantly with effective management; however, side effects can impact daily activities and comfort.</t>
  </si>
  <si>
    <t>Generally effective for reducing edema and controlling blood pressure in patients; can improve symptoms of heart failure.</t>
  </si>
  <si>
    <t>Generally considered safe; monitoring of electrolytes needed; not recommended for patients with anuria or severe electrolyte depletion.</t>
  </si>
  <si>
    <t>Common adverse events include dehydration, electrolyte imbalance (hypokalemia), dizziness, and ototoxicity (rare).</t>
  </si>
  <si>
    <t>Approximately $150 to $300 per year depending on insurance coverage and pharmacy pricing.</t>
  </si>
  <si>
    <t>Primarily prescribed for adults and older adults, particularly those over 65 years.</t>
  </si>
  <si>
    <t>Prescribed to both males and females, though prevalence may vary due to different rates of heart conditions and hypertension.</t>
  </si>
  <si>
    <t>Loop diuretic.</t>
  </si>
  <si>
    <t>ROCALTROL 0.25MCG CAPSULES</t>
  </si>
  <si>
    <t>Symptoms may include muscle cramps, tingling in the fingers or lips, fatigue, and bone pain. In cases of hypoparathyroidism, symptoms can also include dry skin, hair loss, and seizures.</t>
  </si>
  <si>
    <t>Approximately 15% of the US adult population is affected by CKD, while hypoparathyroidism is less common, occurring in about 1 in 3,000 individuals.</t>
  </si>
  <si>
    <t>Quality of life can be significantly impacted due to chronic symptoms and complications related to bone and mineral disorders.</t>
  </si>
  <si>
    <t>Rocaltrol (calcitriol) is effective in controlling hyperparathyroidism and managing calcium levels. Studies show it effectively reduces the risk of bone disease in CKD.</t>
  </si>
  <si>
    <t>Generally safe, but long-term use requires monitoring of calcium levels to avoid hypercalcemia.</t>
  </si>
  <si>
    <t>Potential adverse events include hypercalcemia, hyperphosphatemia, and gastrointestinal symptoms such as nausea or vomiting.</t>
  </si>
  <si>
    <t>Estimated annual therapy costs range from $300 to $600 depending on insurance coverage and access.</t>
  </si>
  <si>
    <t>Mainly prescribed for adults, typically over the age of 18.</t>
  </si>
  <si>
    <t>Both genders are affected, but men may have a slightly higher prevalence of CKD due to higher rates of diabetes and hypertension.</t>
  </si>
  <si>
    <t>Small molecules (vitamin D analog).</t>
  </si>
  <si>
    <t>ROCALTROL 0.25MCG CAPSULES RX PAK</t>
  </si>
  <si>
    <t>Muscle cramps, spasms, tingling in fingers and toes, fatigue, anxiety, and bone pain.</t>
  </si>
  <si>
    <t>Approximately 0.5 to 3 per 100,000 individuals in the USA.</t>
  </si>
  <si>
    <t>Can be significantly impaired due to chronic symptoms and complications, potentially moderate to severe limitation on daily activities.</t>
  </si>
  <si>
    <t>Generally effective in raising serum calcium levels and managing symptoms; around 70-90% of patients see improvement in symptoms.</t>
  </si>
  <si>
    <t>Considered safe when monitored properly, but may have safety concerns with improper dosing or patient noncompliance.</t>
  </si>
  <si>
    <t>Hypercalcemia, nephrocalcinosis, renal stones, gastrointestinal disturbances, fatigue.</t>
  </si>
  <si>
    <t>Approximately $1,000 to $5,000 depending on dosage and insurance coverage.</t>
  </si>
  <si>
    <t>Primarily adults; however, can affect all ages.</t>
  </si>
  <si>
    <t>More common in women, particularly post-surgical patients.</t>
  </si>
  <si>
    <t>Small molecule (active pharmaceutical ingredient is calcitriol).</t>
  </si>
  <si>
    <t>EQUETRO 100MG CAP XR</t>
  </si>
  <si>
    <t>Episodes of mania and depression, mood swings, irritability, impulsivity, increased energy, grandiosity, decreased need for sleep.</t>
  </si>
  <si>
    <t>Approximately 2.8% of adults in the USA.</t>
  </si>
  <si>
    <t>Can significantly affect daily functioning, social relationships, and occupational performance. Many patients report impairments in quality of life during episodes.</t>
  </si>
  <si>
    <t>Approximately 60-70% of patients show a significant reduction in manic and depressive symptoms with treatment.</t>
  </si>
  <si>
    <t>Generally considered safe; however, monitoring is necessary for side effects.</t>
  </si>
  <si>
    <t>Common adverse events include drowsiness, dry mouth, constipation, dizziness, and weight gain.</t>
  </si>
  <si>
    <t>Approximately $7,200 to $10,000 (depending on insurance coverage and out-of-pocket expenses).</t>
  </si>
  <si>
    <t>Primarily prescribed for adults aged 18-65, but can be used in adolescents with caution.</t>
  </si>
  <si>
    <t>Equally affects males and females, though females may experience more depressive episodes.</t>
  </si>
  <si>
    <t>EQUETRO 200MG CAP XR</t>
  </si>
  <si>
    <t>Mood swings, depressive episodes, manic episodes, irritability, impulsivity, decreased need for sleep, grandiosity, racing thoughts.</t>
  </si>
  <si>
    <t>Patients with bipolar disorder often experience significant impairment in social and occupational functioning, impacting overall quality of life.</t>
  </si>
  <si>
    <t>Effective in reducing manic and depressive episodes; numerous studies show significant improvement in symptoms compared to placebo.</t>
  </si>
  <si>
    <t>Generally well-tolerated; however, some patients may experience side effects.</t>
  </si>
  <si>
    <t>Common adverse effects include dizziness, fatigue, nausea, dry mouth, and somnolence.</t>
  </si>
  <si>
    <t>Estimated at $4,500 - $8,000, depending on insurance and dosage.</t>
  </si>
  <si>
    <t>Most commonly prescribed for adults (18 years and older).</t>
  </si>
  <si>
    <t>Affects both genders, but women may have more depressive episodes while men experience more manic episodes.</t>
  </si>
  <si>
    <t>Small molecules (anticonvulsant).</t>
  </si>
  <si>
    <t>EQUETRO 300MG CAP XR</t>
  </si>
  <si>
    <t>Mood swings, depressive episodes, mania, irritability, anxiety</t>
  </si>
  <si>
    <t>Approximately 2.8% of adults in the USA experience bipolar disorder at some point in their lives</t>
  </si>
  <si>
    <t>Can significantly improve functioning and reduce disability associated with mood episodes</t>
  </si>
  <si>
    <t>Effective in reducing manic and depressive episodes in bipolar disorder, with studies showing response rates around 60-80%</t>
  </si>
  <si>
    <t>Generally well-tolerated, but requires careful monitoring for side effects, particularly with prolonged use</t>
  </si>
  <si>
    <t>Drowsiness, dry mouth, dizziness, nausea, constipation, weight gain, and in rare cases, liver toxicity</t>
  </si>
  <si>
    <t>Approximately $8,000 to $12,000, depending on insurance coverage and specific treatment plans</t>
  </si>
  <si>
    <t>Approved for use in adults (18 years and older)</t>
  </si>
  <si>
    <t>Both genders are affected, though women may experience a more rapid cycling of moods</t>
  </si>
  <si>
    <t>Small molecules (specifically, an extended-release formulation of lamotrigine)</t>
  </si>
  <si>
    <t>ROCALTROL SOLUTION 1MCG/ML</t>
  </si>
  <si>
    <t>Bone pain, Muscle weakness, Fatigue, Depression, Nausea, Loss of appetite</t>
  </si>
  <si>
    <t>Estimated 1% of the population has primary hyperparathyroidism; osteoporosis affects approximately 54 million Americans; psoriasis affects about 3% of the population.</t>
  </si>
  <si>
    <t>Reduced quality of life due to chronic pain, physical limitations, and psychosocial issues related to bone diseases and psoriasis.</t>
  </si>
  <si>
    <t>Effective in treating and managing hyperparathyroidism and related calcium imbalances; clinical response varies by patient condition.</t>
  </si>
  <si>
    <t>Generally safe when used as directed; careful monitoring is required to avoid hypercalcemia.</t>
  </si>
  <si>
    <t>Possible adverse events include hypercalcemia, headache, weakness, gastrointestinal disturbances, and in rare cases, renal impairment.</t>
  </si>
  <si>
    <t>Approximately $1,500 - $3,000 depending on dosage and duration of therapy.</t>
  </si>
  <si>
    <t>Primarily adults, with increased prevalence in older populations (50+ years).</t>
  </si>
  <si>
    <t>More common in females, especially for osteoporosis and psoriasis.</t>
  </si>
  <si>
    <t>Small molecule (Active form of Vitamin D)</t>
  </si>
  <si>
    <t>NOREPINEPHRINE BITARTRATE 64MCG/ML/NS INJ,BAG</t>
  </si>
  <si>
    <t>Low blood pressure, cold and clammy skin, rapid heart rate, confusion, weak pulse, decreased urine output</t>
  </si>
  <si>
    <t>Approximately 1-2 per 1,000 hospitalizations; relevant in critically ill patients</t>
  </si>
  <si>
    <t>Varies significantly; patients in septic shock often experience reduced quality of life post-recovery</t>
  </si>
  <si>
    <t>Highly effective in increasing blood pressure and improving heart function in septic shock and severe hypotension; specific efficacy rates can vary</t>
  </si>
  <si>
    <t>Generally considered safe when used under medical supervision; the main concerns are related to improper dosing or administration</t>
  </si>
  <si>
    <t>Peripheral ischemia, arrhythmias, anxiety, bradycardia, and skin necrosis at injection site</t>
  </si>
  <si>
    <t>Typically, costs range from $10,000 to $30,000 depending on hospital and treatment setting</t>
  </si>
  <si>
    <t>All age groups, predominantly used in critically ill patients</t>
  </si>
  <si>
    <t>No significant gender preference; used across all genders in emergency settings</t>
  </si>
  <si>
    <t>Small molecules (vasopressor)</t>
  </si>
  <si>
    <t>NALOXONE 10MG/0.4ML AUTOINJECTOR,KIT</t>
  </si>
  <si>
    <t>Respiratory depression, unresponsiveness, cyanosis, pinpoint pupils, possible coma</t>
  </si>
  <si>
    <t>Approximately 2 million people misuse opioids annually in the USA, leading to significant cases of overdose.</t>
  </si>
  <si>
    <t>Administration of naloxone facilitates recovery from overdose, significantly improving quality of life; those who survive can return to their daily activities.</t>
  </si>
  <si>
    <t>Naloxone is highly efficacious in reversing opioid overdoses, with a success rate nearing 98% when administered promptly.</t>
  </si>
  <si>
    <t>Generally safe with minimal side effects when used appropriately; does not produce adverse effects in individuals not using opioids.</t>
  </si>
  <si>
    <t>Rarely, may cause withdrawal symptoms in opioid-dependent individuals, such as nausea, vomiting, agitation, and body aches.</t>
  </si>
  <si>
    <t>Naloxone autoinjectors can cost between $4,000 to $6,000 per year depending on usage and insurance coverage, though many community programs provide it for free.</t>
  </si>
  <si>
    <t>Can be used across all age groups, but has significant relevance among adolescents to adults aged 20-39 years.</t>
  </si>
  <si>
    <t>Affects all genders, though opioid overdose prevalence is higher in males compared to females.</t>
  </si>
  <si>
    <t>AUVI-Q 0.1MG/0.1ML INJECTOR</t>
  </si>
  <si>
    <t>Difficulty breathing, swelling of the throat, hives, rapid or weak pulse, dizziness, gastrointestinal symptoms (nausea, vomiting, diarrhea), confusion, loss of consciousness</t>
  </si>
  <si>
    <t>Approximately 2% of the U.S. population will experience anaphylaxis at some point in their lives</t>
  </si>
  <si>
    <t>Anaphylaxis can severely impact quality of life due to anxiety about potential exposure to allergens and the need for immediate access to emergency treatment</t>
  </si>
  <si>
    <t>Highly effective when administered during an anaphylactic reaction; can rapidly reverse symptoms</t>
  </si>
  <si>
    <t>Generally considered safe when used as directed; designed for self-administration</t>
  </si>
  <si>
    <t>Possible site reactions (pain, redness), increased heart rate, anxiety, tremors, and hypertension; rare severe allergic reactions</t>
  </si>
  <si>
    <t>Approximately $600-$1,200, depending on insurance coverage and frequency of replacement</t>
  </si>
  <si>
    <t>Approved for all age groups (available in different strengths for varying age and weight ranges)</t>
  </si>
  <si>
    <t>Small molecules (epinephrine auto-injector)</t>
  </si>
  <si>
    <t>AUVI-Q 0.15MG/0.15ML INJECTOR</t>
  </si>
  <si>
    <t>Difficulty breathing, swelling of the throat, hives, rapid heartbeat, dizziness, stomach cramps, confusion, loss of consciousness</t>
  </si>
  <si>
    <t>Approximately 2% of the U.S. population experiences anaphylaxis at some point in their lives</t>
  </si>
  <si>
    <t>Anaphylaxis can severely impact quality of life due to anxiety about potential triggers, avoidance of certain foods or environments, and the need for emergency preparedness</t>
  </si>
  <si>
    <t>Efficacy is high when used as directed; epinephrine leads to rapid improvement in symptoms, with near total symptom resolution in most cases</t>
  </si>
  <si>
    <t>Generally safe when used appropriately; primary concern is improper use or delayed administration</t>
  </si>
  <si>
    <t>Common adverse events include palpitations, sweating, nausea, and anxiety; severe cardiovascular events are rare</t>
  </si>
  <si>
    <t>Approximately $600-$700 per year, including costs for prescriptions and additional devices</t>
  </si>
  <si>
    <t>Primarily for individuals of all ages who are at risk of anaphylaxis, commonly used in children and young adults</t>
  </si>
  <si>
    <t>Affects all genders equally, but reactions may differ based on exposure risk and underlying conditions</t>
  </si>
  <si>
    <t>Auto-injector (small molecule - epinephrine)</t>
  </si>
  <si>
    <t>AUVI-Q 0.3MG/0.3ML INJECTOR</t>
  </si>
  <si>
    <t>Difficulty breathing, swelling of the throat, hives, rapid heartbeat, dizziness, gastrointestinal symptoms, fainting.</t>
  </si>
  <si>
    <t>Approximately 1.6% of the population experiences anaphylaxis in their lifetime, with a higher prevalence in children and young adults.</t>
  </si>
  <si>
    <t>Can be significantly impacted due to anxiety and avoidance behaviors associated with potential triggers, affecting participation in daily activities.</t>
  </si>
  <si>
    <t>Highly effective in reversing the symptoms of anaphylaxis when administered promptly; efficacy is near 100% when used correctly in emergency situations.</t>
  </si>
  <si>
    <t>Generally safe when used as directed; however, there are some concerns over proper usage and needle placement.</t>
  </si>
  <si>
    <t>Common adverse events include injection site reactions (pain, redness, swelling), increased heart rate, and anxiety.</t>
  </si>
  <si>
    <t>Approximately $600 to $1,000 for a set of injectors, depending on insurance coverage and pharmacy pricing.</t>
  </si>
  <si>
    <t>Approved for all ages, including infants.</t>
  </si>
  <si>
    <t>No significant differences in prevalence or treatment efficacy based on gender.</t>
  </si>
  <si>
    <t>Auto-injector device for epinephrine delivery (small molecules).</t>
  </si>
  <si>
    <t>PHOTREXA CROSS-LINKING KIT</t>
  </si>
  <si>
    <t>Keratoconus</t>
  </si>
  <si>
    <t>Blurred vision, distortion of vision, increased sensitivity to light, difficulty seeing at night</t>
  </si>
  <si>
    <t>Approximately 1 in 2,000 individuals in the USA, with total cases estimated at around 200,000</t>
  </si>
  <si>
    <t>Significantly impacted due to vision impairment; patients often face difficulties in daily activities and may require corrective lenses or surgery</t>
  </si>
  <si>
    <t>Clinical studies show over 70% of patients report stabilization of vision and improvement in visual acuity post-treatment</t>
  </si>
  <si>
    <t>Generally considered safe; complications are rare when performed by experienced practitioners</t>
  </si>
  <si>
    <t>Possible adverse events include corneal edema, infection, pain, and haze; about 5% of patients may experience significant adverse events</t>
  </si>
  <si>
    <t>Costs can range from $2,500 to $5,000 depending on the extent of treatment and follow-up care</t>
  </si>
  <si>
    <t>Most commonly diagnosed in adolescents and young adults, typically ages 10 to 25</t>
  </si>
  <si>
    <t>More common in males, with a male-to-female ratio of approximately 1.5:1</t>
  </si>
  <si>
    <t>Cross-linking therapy (not a pharmacological agent; combined method involving photosensitizer and UV light)</t>
  </si>
  <si>
    <t>ZALTRAP 100MG/4ML INJ</t>
  </si>
  <si>
    <t>Symptoms may include abdominal pain, changes in bowel habits (diarrhea or constipation), unexplained weight loss, fatigue, and blood in the stool.</t>
  </si>
  <si>
    <t>Approximately 3% of the US population will be diagnosed with colorectal cancer in their lifetime, with metastasis occurring in about 20-25% of these cases at diagnosis.</t>
  </si>
  <si>
    <t>Treatment with ZALTRAP may improve overall quality of life measures by delaying disease progression, although side effects can impact daily activities.</t>
  </si>
  <si>
    <t>ZALTRAP (Ziv-aflibercept) has been shown to improve overall survival by 1-2 months in some studies when used in combination with chemotherapy in treatment-resistant cases.</t>
  </si>
  <si>
    <t>Generally considered safe for use, but requires monitoring due to potential adverse events.</t>
  </si>
  <si>
    <t>Common adverse events include hypertension (30%), proteinuria (30%), and infusion-related reactions. Serious adverse events occur in approximately 10-15% of patients.</t>
  </si>
  <si>
    <t>The annual therapy cost for ZALTRAP is estimated to be around $100,000.</t>
  </si>
  <si>
    <t>Primarily used in adults aged 18 and older, with a higher incidence in those over 50.</t>
  </si>
  <si>
    <t>Affects both genders, but slightly more prevalent in men.</t>
  </si>
  <si>
    <t>Monoclonal antibody (VEGF inhibitor).</t>
  </si>
  <si>
    <t>CLOLAR 20MG/20ML VIAL</t>
  </si>
  <si>
    <t>Fatigue, fever, easy bruising or bleeding, weight loss, shortness of breath, and frequent infections.</t>
  </si>
  <si>
    <t>Approximately 20,000 new cases per year in the USA, with an incidence rate of 4.2 per 100,000 people.</t>
  </si>
  <si>
    <t>Patients may experience significant decline in quality of life due to symptoms and treatment side effects; many face prolonged hospital stays and a reduced ability to perform daily activities.</t>
  </si>
  <si>
    <t>Clinical studies indicate that Clolar (clofarabine) has an efficacy rate of around 30% in achieving complete remission in patients with relapsed or refractory AML.</t>
  </si>
  <si>
    <t>Generally, Clolar is considered safe when used under medical supervision; however, it requires monitoring for potential serious side effects.</t>
  </si>
  <si>
    <t>Common adverse events include febrile neutropenia (40%), nausea, vomiting, fatigue, rash, and increased liver enzymes; serious events may include infection, tumor lysis syndrome, and pulmonary toxicity.</t>
  </si>
  <si>
    <t>Estimated annual therapy costs range from $100,000 to $150,000 depending on the treatment regimen and supportive care needed.</t>
  </si>
  <si>
    <t>Primarily used in adult populations, with a focus on patients aged 18 years and older.</t>
  </si>
  <si>
    <t>Both genders are affected, but there is a slightly higher prevalence in males.</t>
  </si>
  <si>
    <t>Small molecule (chemotherapy agent).</t>
  </si>
  <si>
    <t>RELYVRIO</t>
  </si>
  <si>
    <t>Muscle weakness, muscle twitches, difficulty speaking, swallowing difficulties, respiratory failure</t>
  </si>
  <si>
    <t>Approximately 5 cases per 100,000 people in the USA</t>
  </si>
  <si>
    <t>Significantly impacted; ALS leads to progressive loss of function, with many requiring assistance for daily activities</t>
  </si>
  <si>
    <t>Clinical trials demonstrated slowing of disease progression</t>
  </si>
  <si>
    <t>Generally well-tolerated with ongoing monitoring for safety</t>
  </si>
  <si>
    <t>Commonly reported adverse events include headache, weight loss, and gastrointestinal discomfort</t>
  </si>
  <si>
    <t>Estimated at approximately $140,000 to $200,000</t>
  </si>
  <si>
    <t>Primarily affects adults aged 40-70 years</t>
  </si>
  <si>
    <t>More common in males (male-to-female ratio of approximately 1.5:1)</t>
  </si>
  <si>
    <t>XHANCE 93MCG/SPRAY SUSP,NASAL</t>
  </si>
  <si>
    <t>Nasal Polyps</t>
  </si>
  <si>
    <t>Nasal congestion, loss of smell, nasal discharge, facial pain or pressure, and difficulty breathing through the nose.</t>
  </si>
  <si>
    <t>Approximately 1-4% of the general population in the USA has nasal polyps.</t>
  </si>
  <si>
    <t>Nasal polyps can significantly impact quality of life, affecting sleep, social interactions, and physical activity.</t>
  </si>
  <si>
    <t>Clinical studies show that XHANCE (fluticasone propionate) effectively reduces polyp size and improves symptoms in over 50% of patients with nasal polyps.</t>
  </si>
  <si>
    <t>Generally considered safe when used as directed, with a favorable safety profile.</t>
  </si>
  <si>
    <t>Common adverse events include nasal irritation, headache, nosebleeds, and potential systemic effects of corticosteroids such as adrenal suppression, though rare.</t>
  </si>
  <si>
    <t>The annual therapy costs can range from $500 to $1,000 depending on dosage and insurance coverage.</t>
  </si>
  <si>
    <t>Approved for adult use (age 18 and older).</t>
  </si>
  <si>
    <t>No significant gender differences in prevalence or treatment response noted.</t>
  </si>
  <si>
    <t>Small molecules (specifically a corticosteroid).</t>
  </si>
  <si>
    <t>FLECAINIDE ACETATE 150MG TAB</t>
  </si>
  <si>
    <t>Palpitations, dizziness, shortness of breath, fatigue, chest pain</t>
  </si>
  <si>
    <t>Approximately 2-3 million people in the USA have atrial fibrillation (AF), affecting about 1-2% of the general population; prevalence increases with age.</t>
  </si>
  <si>
    <t>Treatment helps manage symptoms, improving quality of life, but potential adverse effects can negatively impact overall well-being.</t>
  </si>
  <si>
    <t>Flecainide is effective for maintaining sinus rhythm in patients with AF; efficacy rates for maintaining rhythm can be 70-90% in selected patients.</t>
  </si>
  <si>
    <t>Generally well-tolerated; however, potential for proarrhythmia, especially in patients with underlying structural heart disease.</t>
  </si>
  <si>
    <t>Common adverse events include dizziness, visual disturbances, headache, and fatigue. Serious adverse events may include life-threatening arrhythmias.</t>
  </si>
  <si>
    <t>Estimated annual therapy costs for flecainide can range from $1,200 to $4,800, depending on dosage and insurance coverage.</t>
  </si>
  <si>
    <t>Primarily adults, commonly prescribed for patients aged 50 and older.</t>
  </si>
  <si>
    <t>Affects both genders, but atrial fibrillation is slightly more prevalent in men.</t>
  </si>
  <si>
    <t>Antiarrhythmic drug (Class IC).</t>
  </si>
  <si>
    <t>RUFINAMIDE 200MG TAB</t>
  </si>
  <si>
    <t>Frequent seizures, developmental delays, behavioral issues, and cognitive impairment.</t>
  </si>
  <si>
    <t>Approximately 1-4 per 100,000 people in the USA.</t>
  </si>
  <si>
    <t>Significantly impacted due to the severity of symptoms and frequent seizures; caregivers often experience increased stress.</t>
  </si>
  <si>
    <t>Clinical studies demonstrate a reduction in seizure frequency by about 30-50% in some patients.</t>
  </si>
  <si>
    <t>Generally well tolerated; long-term data support a favorable safety profile.</t>
  </si>
  <si>
    <t>Common adverse events include dizziness, fatigue, somnolence, and headache; serious adverse events are rare.</t>
  </si>
  <si>
    <t>Estimated at $20,000 - $30,000 per year depending on dosing and insurance coverage.</t>
  </si>
  <si>
    <t>Approved for use in patients aged 4 years and older.</t>
  </si>
  <si>
    <t>No significant gender preference noted; both males and females are affected equally.</t>
  </si>
  <si>
    <t>RUFINAMIDE 400MG TAB</t>
  </si>
  <si>
    <t>Recurrent seizures, cognitive impairment, behavioral issues, and developmental delay</t>
  </si>
  <si>
    <t>Approximately 0.5 to 1 per 1,000 children</t>
  </si>
  <si>
    <t>Significantly affected due to frequent seizures and related complications; patients often face challenges in daily activities and social interactions</t>
  </si>
  <si>
    <t>Approximately 30% reduction in seizure frequency reported in clinical trials</t>
  </si>
  <si>
    <t>Generally well tolerated, but monitoring is recommended for potential side effects</t>
  </si>
  <si>
    <t>Common ones include fatigue, somnolence, vomiting, and irritability</t>
  </si>
  <si>
    <t>Estimated $20,000 to $25,000</t>
  </si>
  <si>
    <t>Primarily children and adolescents (often diagnosed in early childhood)</t>
  </si>
  <si>
    <t>Affects both genders, with a slightly higher prevalence in males</t>
  </si>
  <si>
    <t>Small molecule anticonvulsant</t>
  </si>
  <si>
    <t>RUFINAMIDE 40MG/ML SUSP,ORAL</t>
  </si>
  <si>
    <t>Severe seizures, cognitive impairment, behavioral issues, and developmental delays</t>
  </si>
  <si>
    <t>Approximately 1 in 4,000 children in the United States</t>
  </si>
  <si>
    <t>Significantly impacted due to frequent seizures and associated cognitive and developmental challenges</t>
  </si>
  <si>
    <t>Efficacy involves reducing the frequency of seizures, with studies showing a reduction in seizure frequency by approximately 30-50% in treated patients</t>
  </si>
  <si>
    <t>Generally considered safe with a well-established side effects profile, but requires monitoring</t>
  </si>
  <si>
    <t>Common adverse events include dizziness, fatigue, somnolence, irritability, and upper respiratory infections; serious adverse effects include hypersensitivity reactions</t>
  </si>
  <si>
    <t>Approximately $15,000 to $25,000 per year, depending on dosage and insurance coverage</t>
  </si>
  <si>
    <t>Primarily children and adolescents, but can extend to adults with LGS</t>
  </si>
  <si>
    <t>Affects both genders equally, but more commonly diagnosed in males</t>
  </si>
  <si>
    <t>Small molecules (antiseizure medication)</t>
  </si>
  <si>
    <t>LITHIUM CARBONATE 300MG CAP</t>
  </si>
  <si>
    <t>Mood swings (mania and depression), changes in sleep patterns, changes in energy levels, changes in behavior, difficulty concentrating, suicidal thoughts</t>
  </si>
  <si>
    <t>Approximately 2.6% of adults in the U.S. have bipolar disorder at some point in their lives</t>
  </si>
  <si>
    <t>Treatment with lithium can stabilize mood and improve overall quality of life, but ongoing management and side effects may impact daily functioning</t>
  </si>
  <si>
    <t>Lithium is effective for approximately 60-80% of individuals in reducing the frequency and severity of manic and depressive episodes</t>
  </si>
  <si>
    <t>Generally considered safe when monitored; long-term use requires regular blood tests to monitor lithium levels and kidney function</t>
  </si>
  <si>
    <t>Common adverse effects include weight gain, gastrointestinal upset, tremors, increased thirst, and potential thyroid dysfunction. Severe adverse events can include renal impairment and lithium toxicity</t>
  </si>
  <si>
    <t>Approximately $2,000 to $5,000 per year, depending on monitoring and additional treatments</t>
  </si>
  <si>
    <t>Primarily affects adults (typically diagnosed in late adolescence to early adulthood), but can also occur in children and older adults</t>
  </si>
  <si>
    <t>Affects both genders equally, though some studies suggest that females might experience more depressive episodes</t>
  </si>
  <si>
    <t>Small molecule (mood stabilizer)</t>
  </si>
  <si>
    <t>ALPRAZOLAM 0.5MG TAB,SA</t>
  </si>
  <si>
    <t>Excessive worry, restlessness, fatigue, irritability, muscle tension, sleep disturbances. Panic attacks may include heart palpitations, sweating, trembling, shortness of breath, and feelings of impending doom.</t>
  </si>
  <si>
    <t>Approximately 3.1% of adults in the USA experience GAD in a given year; Panic Disorder affects about 2-3% of the population at some point in their lives.</t>
  </si>
  <si>
    <t>Significantly impaired quality of life, affecting work performance, interpersonal relationships, and overall well-being; anxiety disorders can lead to decreased productivity and social isolation.</t>
  </si>
  <si>
    <t>Efficacy rates for Alprazolam for GAD and Panic Disorders range from 50-70% in alleviating anxiety symptoms in clinical trials.</t>
  </si>
  <si>
    <t>Generally well-tolerated, but prolonged use may lead to dependence. Short-term use poses fewer risks.</t>
  </si>
  <si>
    <t>Sedation, dizziness, confusion, memory impairment, tolerance, and physical dependence are common adverse events; paradoxical reactions such as increased anxiety may occur.</t>
  </si>
  <si>
    <t>Approximately $500-$1,000 depending on insurance coverage, frequency of prescription fills, and pharmacy pricing.</t>
  </si>
  <si>
    <t>Primarily prescribed for adults, but can be used in adolescents with appropriate psychiatric management.</t>
  </si>
  <si>
    <t>More commonly prescribed for females; however, the prevalence of anxiety disorders is relatively similar between genders.</t>
  </si>
  <si>
    <t>FLUOXETINE HCL 20MG/5ML SOLN,ORAL</t>
  </si>
  <si>
    <t>Persistent sadness, loss of interest, fatigue, sleep disturbances, changes in appetite, feelings of worthlessness, difficulty concentrating, and anxiety.</t>
  </si>
  <si>
    <t>Approximately 7.1% of adults in the USA experience major depressive disorder in any given year.</t>
  </si>
  <si>
    <t>Fluoxetine can significantly improve the quality of life for patients with depression, contributing to better social and occupational functioning.</t>
  </si>
  <si>
    <t>Fluoxetine has an efficacy rate of about 60-70% in treating major depressive disorder based on clinical studies.</t>
  </si>
  <si>
    <t>Generally considered safe; however, monitoring is required for potential side effects. The overall rate of serious adverse events is low.</t>
  </si>
  <si>
    <t>Common adverse events include nausea, insomnia, sexual dysfunction, and weight gain. Less common but serious events may include serotonin syndrome, manic episodes, and suicidal thoughts, especially in younger patients.</t>
  </si>
  <si>
    <t>Average annual therapy costs for Fluoxetine can range from $150 to $600, depending on insurance coverage and pharmacy pricing.</t>
  </si>
  <si>
    <t>Approved for use in children aged 8 years and older, with consideration for adult populations as well.</t>
  </si>
  <si>
    <t>More prevalent in females than males, with a female-to-male ratio of approximately 2:1 in depression cases.</t>
  </si>
  <si>
    <t>CALCIUM CARBONATE 1250MG/5ML SUSP,ORAL</t>
  </si>
  <si>
    <t>Nausea, Constipation, Gas, Stomach upset, Indigestion</t>
  </si>
  <si>
    <t>Approximately 4-8% of the population experiences hyperphosphatemia; osteoporosis affects about 54 million Americans (mainly older adults).</t>
  </si>
  <si>
    <t>Varies depending on the underlying condition; osteoporosis can lead to fractures, affecting mobility and independence.</t>
  </si>
  <si>
    <t>Effective in managing elevated phosphate levels and supporting bone health; typical serum phosphate reduction of 30-50% in hyperphosphatemia.</t>
  </si>
  <si>
    <t>Generally considered safe when used as directed; potential impact on calcium levels needs monitoring.</t>
  </si>
  <si>
    <t>Common adverse events include constipation, flatulence, and more rarely hypercalcemia and kidney stones.</t>
  </si>
  <si>
    <t>Approximately $100 - $300 depending on dosage and duration.</t>
  </si>
  <si>
    <t>Primarily used in adults, particularly those over 50 years old; pediatrics in specific circumstances.</t>
  </si>
  <si>
    <t>Used in both males and females; osteoporosis is more prevalent in females post-menopause.</t>
  </si>
  <si>
    <t>Small molecule (antacid, calcium supplement).</t>
  </si>
  <si>
    <t>LORAZEPAM 2MG/ML CONC,ORAL</t>
  </si>
  <si>
    <t>Excessive worry, restlessness, fatigue, difficulty concentrating, irritability, muscle tension, sleep disturbances, seizures</t>
  </si>
  <si>
    <t>Approximately 3.1% of adults in the USA have GAD, with insomnia affecting about 30% of adults; seizure disorders affect around 1% of the population.</t>
  </si>
  <si>
    <t>Can significantly improve quality of life by reducing symptoms of anxiety and insomnia; however, long-term use may lead to dependence and withdrawal issues.</t>
  </si>
  <si>
    <t>Efficacy in treating anxiety and insomnia is generally high; studies suggest reductions in symptoms for over 70% of patients in the short term.</t>
  </si>
  <si>
    <t>Generally considered safe for short-term use; however, caution is advised, particularly in those with a history of substance abuse.</t>
  </si>
  <si>
    <t>Common adverse events include sedation, dizziness, weakness, unsteadiness, and memory impairment. Serious adverse events can include respiratory depression and paradoxical reactions.</t>
  </si>
  <si>
    <t>Approximately $600 to $1,200 depending on dosage and duration of therapy.</t>
  </si>
  <si>
    <t>Approved for use in adults; pediatric use is more cautious and only in specific cases under medical supervision due to varying metabolism and sensitivity.</t>
  </si>
  <si>
    <t>No significant gender differences noted in efficacy or safety, but prescribing patterns often show higher usage among females for anxiety disorders.</t>
  </si>
  <si>
    <t>Benzodiazepine, classified as a small molecule.</t>
  </si>
  <si>
    <t>ALPRAZOLAM 1MG TAB,SA</t>
  </si>
  <si>
    <t>Excessive worry, restlessness, fatigue, difficulty concentrating, irritability, muscle tension, sleep disturbances (for GAD); sudden episodes of intense fear, palpitations, sweating, shaking, feelings of choking (for Panic Disorder)</t>
  </si>
  <si>
    <t>Approximately 6.8 million adults (3.1% of the population) have GAD, and about 6 million adults (2.7% of the population) experience Panic Disorder annually in the USA</t>
  </si>
  <si>
    <t>Can be significantly impaired due to anxiety symptoms, affecting relationships, work performance, and overall well-being</t>
  </si>
  <si>
    <t>Generally considered effective, with a response rate of around 70% for GAD and Panic Disorder when used as part of a comprehensive treatment plan</t>
  </si>
  <si>
    <t>Generally safe for short-term use; long-term use can lead to dependence, withdrawal symptoms upon cessation, and potential cognitive impairment</t>
  </si>
  <si>
    <t>Drowsiness, dizziness, tiredness, blurred vision, dry mouth, difficulty concentrating; potential for memory issues and dependence with long-term use</t>
  </si>
  <si>
    <t>Approximately $700 - $1,500 depending on treatment duration and healthcare provider consultations</t>
  </si>
  <si>
    <t>Primarily adults (18-64 years), but can be prescribed for adolescents (age 13-17) under specific circumstances</t>
  </si>
  <si>
    <t>More common in females (about 2:1 ratio compared to males)</t>
  </si>
  <si>
    <t>MITOMYCIN 20MG/VIL INJ</t>
  </si>
  <si>
    <t>Blood in urine (hematuria), frequent urination, painful urination, pelvic pain, back pain, weight loss, fatigue</t>
  </si>
  <si>
    <t>Approximately 74,000 new cases of bladder cancer in the USA annually, with an overall prevalence of about 22 per 100,000 individuals</t>
  </si>
  <si>
    <t>Quality of life may be significantly impacted due to symptoms, treatment side effects, and potential recurrence; however, many patients can maintain a reasonable quality of life with effective management</t>
  </si>
  <si>
    <t>Effective for superficial bladder cancer, with response rates typically between 30% to 70% depending on the stage of cancer and prior treatment</t>
  </si>
  <si>
    <t>Generally regarded as having a manageable safety profile; however, risks must be assessed individually</t>
  </si>
  <si>
    <t>Nausea, vomiting, diarrhea, myelosuppression, potential renal toxicity, hemolytic uremic syndrome</t>
  </si>
  <si>
    <t>Approximately $10,000 to $30,000 depending on treatment regimen and insurance coverage</t>
  </si>
  <si>
    <t>Most commonly diagnosed in individuals aged 55 years and older</t>
  </si>
  <si>
    <t>More prevalent in males (approximately 3:1 male to female ratio)</t>
  </si>
  <si>
    <t>Small molecule chemotherapy agent</t>
  </si>
  <si>
    <t>ALPRAZOLAM 3MG TAB,SA</t>
  </si>
  <si>
    <t>Excessive worry, restlessness, fatigue, difficulty concentrating, irritability, muscle tension, sleep disturbances, panic attacks, palpitations, shortness of breath</t>
  </si>
  <si>
    <t>Approximately 3.1% of the U.S. adult population has GAD in any given year; panic disorder affects about 2-3% of the population.</t>
  </si>
  <si>
    <t>Can significantly impair quality of life, including relationship difficulties, work performance issues, and lower overall well-being.</t>
  </si>
  <si>
    <t>Approximately 70-80% of patients experience improvement in symptoms with appropriate treatment.</t>
  </si>
  <si>
    <t>Generally safe when prescribed and monitored by a healthcare provider; risk of dependence and withdrawal is present, especially with prolonged use.</t>
  </si>
  <si>
    <t>Drowsiness, dizziness, fatigue, cognitive impairment, dependence, withdrawal symptoms, dry mouth, constipation.</t>
  </si>
  <si>
    <t>Approximately $2,000 - $4,000 depending on frequency of prescription and insurance coverage.</t>
  </si>
  <si>
    <t>Typically prescribed for adults, but can also be used in adolescents under close supervision.</t>
  </si>
  <si>
    <t>More commonly prescribed to females than males, reflecting higher prevalence rates of anxiety disorders in women.</t>
  </si>
  <si>
    <t>OCTREOTIDE ACETATE 0.05MG/ML INJ</t>
  </si>
  <si>
    <t>Enlarged hands and feet, facial changes, joint pain, and other growth-related symptoms for acromegaly; for neuroendocrine tumors, symptoms may include abdominal pain, flushing, diarrhea, and weight loss</t>
  </si>
  <si>
    <t>Acromegaly affects approximately 3 to 4 cases per million people annually in the USA; neuroendocrine tumors have a prevalence of about 5 per 100,000 people</t>
  </si>
  <si>
    <t>Patients often experience significant improvement in quality of life after treatment, although ongoing monitoring is typically required</t>
  </si>
  <si>
    <t>Octreotide is effective in controlling hormone secretion and reducing tumor size in about 60-80% of patients with acromegaly and improving symptoms in many cases</t>
  </si>
  <si>
    <t>Generally considered safe when used as prescribed; patients should be monitored for efficacy and side effects</t>
  </si>
  <si>
    <t>Common adverse events include gastrointestinal symptoms (diarrhea, nausea, abdominal pain), changes in glucose metabolism, and possible gallbladder disease</t>
  </si>
  <si>
    <t>Estimated at around $70,000 - $100,000 per year depending on dosage and healthcare settings</t>
  </si>
  <si>
    <t>Primarily adults (usually diagnosed in middle adulthood); less common in children</t>
  </si>
  <si>
    <t>Slightly more prevalent in males than females, but both genders are affected</t>
  </si>
  <si>
    <t>Somatostatin analogue, classified as a small molecule drug</t>
  </si>
  <si>
    <t>OCTREOTIDE ACETATE 0.1MG/ML INJ</t>
  </si>
  <si>
    <t>Growth of hands, feet, and facial features; joint pain; headaches; visual impairment; excessive sweating; diarrhea; flushing</t>
  </si>
  <si>
    <t>Approximately 3-4 cases per million for acromegaly; neuroendocrine tumors have a prevalence of about 6 per 100,000; VIPomas are rare with fewer than 200 cases reported in the USA annually.</t>
  </si>
  <si>
    <t>Significant improvement in symptoms can lead to better quality of life; however, chronic management can still affect daily living.</t>
  </si>
  <si>
    <t>Efficacy rates of 50-70% in reducing growth hormone levels in acromegaly and symptom relief in neuroendocrine tumors.</t>
  </si>
  <si>
    <t>Generally well-tolerated, with regular monitoring recommended; long-term safety profile established.</t>
  </si>
  <si>
    <t>Gastrointestinal disturbances (nausea, diarrhea), injection site pain, gallbladder dysfunction, and glucose metabolism alterations.</t>
  </si>
  <si>
    <t>Estimated $30,000 to $70,000 depending on the treatment regimen and insurance coverage.</t>
  </si>
  <si>
    <t>Primarily adults; predominantly ages 30-60 for acromegaly, but can occur at any age.</t>
  </si>
  <si>
    <t>Both genders are affected, though acromegaly has a slight male predominance.</t>
  </si>
  <si>
    <t>Small molecules, specifically a somatostatin analog.</t>
  </si>
  <si>
    <t>OCTREOTIDE ACETATE 0.5MG/ML INJ</t>
  </si>
  <si>
    <t>Symptoms of acromegaly include enlarged hands and feet, facial changes (e.g., protruding jaw), joint pain, and excess sweating. Symptoms of neuroendocrine tumors can vary widely but may include diarrhea, flushing, abdominal pain, and weight loss.</t>
  </si>
  <si>
    <t>Acromegaly affects approximately 3-4 individuals per million people per year in the USA. Neuroendocrine tumors are less common, with an incidence of around 6.98 cases per 100,000 people annually.</t>
  </si>
  <si>
    <t>Quality of life can be significantly affected in both conditions; patients with acromegaly report lower health-related quality of life (HRQoL), with many experiencing psychological distress and limitations in social and physical functioning.</t>
  </si>
  <si>
    <t>Octreotide is effective in reducing growth hormone levels and alleviating symptoms associated with acromegaly, with response rates reported in approximately 50-70% of patients. For neuroendocrine tumors, octreotide can reduce symptoms related to hormone secretion and control tumor growth.</t>
  </si>
  <si>
    <t>Octreotide is generally well-tolerated, but safety profiles should include monitoring for gallbladder issues and potential effects on glucose metabolism.</t>
  </si>
  <si>
    <t>Common adverse events include diarrhea, nausea, abdominal pain, and injection site reactions. Serious adverse events may include gallstones and changes in blood sugar levels (hyperglycemia or hypoglycemia).</t>
  </si>
  <si>
    <t>The annual cost for octreotide therapy can range from $30,000 to $60,000 depending on dosing and duration of treatment.</t>
  </si>
  <si>
    <t>Primarily affects adults, typically diagnosed in middle-aged individuals.</t>
  </si>
  <si>
    <t>Both genders are affected, though acromegaly has a slightly higher incidence in males.</t>
  </si>
  <si>
    <t>Somatostatin analogue (peptide drug).</t>
  </si>
  <si>
    <t>OCTREOTIDE ACETATE 0.2MG/ML INJ</t>
  </si>
  <si>
    <t>Enlargement of hands and feet, facial changes, headaches, vision problems, excessive sweating, joint pain, reduced libido, and fatigue</t>
  </si>
  <si>
    <t>Approximately 3 to 11 cases per million for acromegaly; neuroendocrine tumors have a prevalence around 5 per 100,000 in the general population</t>
  </si>
  <si>
    <t>Quality of life can be significantly impaired due to symptoms; patients often report improvements in physical and emotional well-being with effective treatment</t>
  </si>
  <si>
    <t>Studies show an efficacy of ~50-60% in controlling growth hormone levels; effective in symptom relief for neuroendocrine tumors</t>
  </si>
  <si>
    <t>Generally well-tolerated; safety profile deemed acceptable with monitoring</t>
  </si>
  <si>
    <t>Possible adverse events include gastrointestinal disturbances (diarrhea, nausea), injection site reactions, bradycardia, and gallstones</t>
  </si>
  <si>
    <t>Approximately $30,000 to $50,000 per year, depending on dosing and treatment regimen</t>
  </si>
  <si>
    <t>Adults, typically diagnosed in their 30s to 50s</t>
  </si>
  <si>
    <t>Both genders are affected, but acromegaly may be diagnosed slightly more in males</t>
  </si>
  <si>
    <t>OCTREOTIDE ACETATE 1MG/ML INJ</t>
  </si>
  <si>
    <t>Enlargement of hands and feet, facial changes (e.g. protruding jaw, enlarged nose), joint pain, headaches, vision problems (from pituitary tumors), abnormal growth of organs</t>
  </si>
  <si>
    <t>Approximately 60-70 cases per million for acromegaly; Neuroendocrine tumors have a prevalence of about 5-10 cases per 100,000 people in the USA</t>
  </si>
  <si>
    <t>Can significantly lower quality of life due to physical symptoms, emotional distress, and complications; often requires ongoing care and management</t>
  </si>
  <si>
    <t>Efficacy of 50-80% in controlling symptoms of acromegaly; for neuroendocrine tumors, efficacy varies with a response rate of 30-50% for symptom control and tumor size reduction</t>
  </si>
  <si>
    <t>Generally well-tolerated with a favorable safety profile when used appropriately; regular monitoring required</t>
  </si>
  <si>
    <t>Common adverse events include gastrointestinal symptoms (diarrhea, nausea), injection site reactions, headache, fatigue; rare events may include gallstones and hypothyroidism</t>
  </si>
  <si>
    <t>Estimated between $30,000 to $50,000 annually depending on dosage and healthcare setting</t>
  </si>
  <si>
    <t>Primarily adults (mean age of diagnosis for acromegaly is often around 40 years); neuroendocrine tumors can affect adults of all ages</t>
  </si>
  <si>
    <t>Slightly more common in men for acromegaly; for neuroendocrine tumors, incidence is relatively equal among genders, although some specific types may show preference</t>
  </si>
  <si>
    <t>Somatostatin analogue (peptide-based therapy)</t>
  </si>
  <si>
    <t>CASTOR OIL 788MG/PERUVIAN BALSAM 87MG/GM OINT</t>
  </si>
  <si>
    <t>Redness, itching, inflammation, dryness, and discomfort in the affected area</t>
  </si>
  <si>
    <t>Approximately 10-20% of the population experiences contact dermatitis at some point in their lives</t>
  </si>
  <si>
    <t>Can significantly impact quality of life due to discomfort and appearance, with mild to moderate effects</t>
  </si>
  <si>
    <t>Generally effective for reducing symptoms of minor skin irritations; varies by individual response</t>
  </si>
  <si>
    <t>Localized irritation, allergic reactions, redness at the application site, peeling skin</t>
  </si>
  <si>
    <t>Approximately $100 to $200 depending on usage and healthcare provider fees</t>
  </si>
  <si>
    <t>All age groups, commonly used in adults and children</t>
  </si>
  <si>
    <t>No specific gender predilection; used across all genders</t>
  </si>
  <si>
    <t>Topical ointment (combination of natural oils)</t>
  </si>
  <si>
    <t>VALRUBICIN 40MG/ML SOLN,INTRAVESICAL</t>
  </si>
  <si>
    <t>Hematuria (blood in urine), frequent urination, urgency to urinate, pain during urination, pelvic pain.</t>
  </si>
  <si>
    <t>Approximately 70,000 new cases diagnosed annually in the USA.</t>
  </si>
  <si>
    <t>Can be significantly affected by symptoms and treatment side effects; may lead to anxiety and depression.</t>
  </si>
  <si>
    <t>Around 30-40% complete response rate in patients with Bacillus Calmette-Guérin (BCG)-refractory superficial bladder cancer.</t>
  </si>
  <si>
    <t>Generally well tolerated; however, monitoring is needed for possible bladder toxicity.</t>
  </si>
  <si>
    <t>Common adverse events include bladder irritation, hematuria, dysuria, frequency, and urgency.</t>
  </si>
  <si>
    <t>Estimated costs range from $20,000 to $40,000 depending on treatment protocol and healthcare setting.</t>
  </si>
  <si>
    <t>Primarily adults, most commonly diagnosed in people aged 65 and older.</t>
  </si>
  <si>
    <t>More common in males (approximately 3:1 ratio compared to females).</t>
  </si>
  <si>
    <t>Chemotherapy (specifically, intravesical therapy).</t>
  </si>
  <si>
    <t>SODIUM TETRADECYL SO4 3% INJ</t>
  </si>
  <si>
    <t>Varicose Veins</t>
  </si>
  <si>
    <t>Swelling, aching, heaviness in legs, skin changes, ulcers, visible twisted veins</t>
  </si>
  <si>
    <t>Approximately 23% of adults in the USA</t>
  </si>
  <si>
    <t>Moderate impact, can be significant in severe cases affecting mobility and daily activities</t>
  </si>
  <si>
    <t>Approximately 80% improvement in symptoms and appearance post-treatment</t>
  </si>
  <si>
    <t>Generally considered safe when administered by trained professionals</t>
  </si>
  <si>
    <t>Mild pain at injection site, bruising, inflammation, skin necrosis (rare)</t>
  </si>
  <si>
    <t>$1,000 - $3,000 depending on the number of treatments</t>
  </si>
  <si>
    <t>Primarily adults aged 30-60</t>
  </si>
  <si>
    <t>More common in females than males (approximately 2:1 ratio)</t>
  </si>
  <si>
    <t>Sclerosant agent</t>
  </si>
  <si>
    <t>30 and older</t>
  </si>
  <si>
    <t>ALPRAZOLAM 0.25MG TAB,ORALLY DISINTEGRATING</t>
  </si>
  <si>
    <t>Approximately 3.1% of the U.S. adult population have GAD; Panic Disorder affects about 2-3% of the population</t>
  </si>
  <si>
    <t>Significant impairment in daily activities; reduced social function and increased health care utilization</t>
  </si>
  <si>
    <t>Efficacy for anxiety relief estimated at 60-80% in short-term use</t>
  </si>
  <si>
    <t>Generally well-tolerated; potential for dependence with long-term use</t>
  </si>
  <si>
    <t>Drowsiness, dizziness, dry mouth, confusion, and risk of dependence. Severe reactions can occur like respiratory depression, especially when combined with other CNS depressants.</t>
  </si>
  <si>
    <t>Approximately $300 - $600 depending on insurance coverage and pharmacy pricing</t>
  </si>
  <si>
    <t>Most commonly prescribed to adults aged 18-65, but also used in older adults cautiously</t>
  </si>
  <si>
    <t>More frequently diagnosed in women (1.5 to 2 times higher prevalence than men)</t>
  </si>
  <si>
    <t>ALPRAZOLAM 0.5MG TAB,ORALLY DISINTEGRATING</t>
  </si>
  <si>
    <t>Excessive worry, restlessness, fatigue, difficulty concentrating, irritability, muscle tension, sleep disturbances, sudden feelings of terror or impending doom (panic attacks)</t>
  </si>
  <si>
    <t>Approximately 3.1% of the adult population in the USA experience GAD annually; Panic Disorder affects about 2-3% of the population at some point in their lives</t>
  </si>
  <si>
    <t>Significantly impacted by anxiety disorders; individuals may experience limitations in social, occupational, and daily functioning</t>
  </si>
  <si>
    <t>Alprozalam is effective for acute and chronic management of anxiety and panic disorders, with studies showing a significant reduction in symptoms (around 50-70% improvement scores)</t>
  </si>
  <si>
    <t>Generally safe when used as prescribed; potential for misuse and dependence; caution is advised in patients with a history of substance use disorder</t>
  </si>
  <si>
    <t>Drowsiness, dizziness, dry mouth, lightheadedness, blurred vision, and potential for paradoxical reactions such as increased anxiety or agitation</t>
  </si>
  <si>
    <t>Approximately $600 - $1,200 depending on dosing and insurance coverage</t>
  </si>
  <si>
    <t>Primarily prescribed to adults (18-65 years); safety and efficacy in elderly patients must be carefully monitored due to increased sensitivity</t>
  </si>
  <si>
    <t>No significant gender differences in the prevalence of anxiety disorders, but women are more likely to seek treatment and may experience higher severity of symptoms</t>
  </si>
  <si>
    <t>EVEROLIMUS (ANTINEOPLASTIC) 2.5MG TAB</t>
  </si>
  <si>
    <t>Symptoms of renal cell carcinoma may include blood in urine, persistent low back pain on one side, loss of appetite, unexplained weight loss, fatigue, and fever. For other tumors, symptoms vary widely depending on the tumor type.</t>
  </si>
  <si>
    <t>Approximately 14,000 new cases of renal cell carcinoma are diagnosed annually in the USA. Total prevalence of all cancers treated by everolimus is significant due to its use in multiple types of tumors.</t>
  </si>
  <si>
    <t>Patients may experience improved quality of life with treatment, but side effects can impact daily activities and overall well-being.</t>
  </si>
  <si>
    <t>Everolimus has shown efficacy in prolonging progression-free survival in patients with certain types of tumors, particularly in renal cell carcinoma and neuroendocrine tumors.</t>
  </si>
  <si>
    <t>Everolimus is considered reasonably safe; however, long-term safety data is still being established. Regular monitoring is required.</t>
  </si>
  <si>
    <t>Common adverse events include mouth ulcers, infections, rash, fatigue, and diarrhea. Severe events can include lung toxicity, kidney toxicity, and hyperlipidemia.</t>
  </si>
  <si>
    <t>Estimated costs for everolimus therapy can range from $60,000 to $100,000 per year, based on dosage and insurance coverage.</t>
  </si>
  <si>
    <t>Most commonly prescribed for adults aged 18 and older, particularly those over 50 years old, as the risk for renal cell carcinoma increases with age.</t>
  </si>
  <si>
    <t>More prevalent in males than females; the male-to-female ratio for renal cell carcinoma is about 2:1.</t>
  </si>
  <si>
    <t>Small molecule, specifically an mTOR (mammalian target of rapamycin) inhibitor.</t>
  </si>
  <si>
    <t>ALPRAZOLAM 2MG TAB,ORALLY DISINTEGRATING</t>
  </si>
  <si>
    <t>Excessive worry, restlessness, fatigue, difficulty concentrating, irritability, muscle tension, sleep disturbances, panic attacks (e.g., heart palpitations, shortness of breath, fear of losing control)</t>
  </si>
  <si>
    <t>Approximately 3.1% of adults in the USA experience GAD in any given year; panic disorder affects about 2-3% of adults.</t>
  </si>
  <si>
    <t>Reduced significantly in individuals with anxiety disorders, affecting work performance, relationships, and overall well-being.</t>
  </si>
  <si>
    <t>Effective in reducing symptoms of anxiety and panic; response rates can be around 60-70% for anxiety disorders.</t>
  </si>
  <si>
    <t>Generally safe for short-term use; should be used with caution in individuals with a history of substance abuse or depression.</t>
  </si>
  <si>
    <t>Drowsiness, dizziness, fatigue, memory impairment, dependence, withdrawal symptoms upon cessation.</t>
  </si>
  <si>
    <t>Approximately $300-$600 (costs can vary based on insurance coverage and duration of treatment).</t>
  </si>
  <si>
    <t>Generally prescribed to adults; specific studies on the elderly and adolescents exist but require care.</t>
  </si>
  <si>
    <t>More commonly prescribed to women than men; however, prevalence rates are similar across genders.</t>
  </si>
  <si>
    <t>FLUOXETINE HCL 25MG/OLANZAPINE 6MG CAP</t>
  </si>
  <si>
    <t>Low mood, reduced energy, changes in sleep patterns, feelings of worthlessness, agitation, mood fluctuations, hallucinations, or delusions (in cases of severe depression with psychotic features)</t>
  </si>
  <si>
    <t>Approximately 7% for Major Depression and 2.8% for Bipolar Disorder in the USA</t>
  </si>
  <si>
    <t>Moderate to severe impact on quality of life with improvements noted upon effective treatment</t>
  </si>
  <si>
    <t>Effectively reduces symptoms of depression and mood stabilization in bipolar disorder with a response rate of approximately 50-70% in clinical settings</t>
  </si>
  <si>
    <t>Generally well-tolerated with a safety profile established over extensive clinical use</t>
  </si>
  <si>
    <t>Common adverse events include drowsiness, weight gain, dizziness, dry mouth, and extrapyramidal symptoms</t>
  </si>
  <si>
    <t>Estimated between $2,000 to $6,000 per year, depending on insurance coverage and co-pays</t>
  </si>
  <si>
    <t>Approved for use in adolescents (? 12 years) and adults</t>
  </si>
  <si>
    <t>Both genders are affected; however, prevalence rates may vary with females more frequently diagnosed with depression and bipolar disorder</t>
  </si>
  <si>
    <t>Combination therapy (selective serotonin reuptake inhibitor and atypical antipsychotic)</t>
  </si>
  <si>
    <t>FLUOXETINE HCL 50MG/OLANZAPINE 6MG CAP</t>
  </si>
  <si>
    <t>Depressive episodes, mood swings, irritability, decreased energy, changes in sleep and appetite, psychotic symptoms in severe cases.</t>
  </si>
  <si>
    <t>Approximately 4% of adults in the USA experience bipolar disorder, while about 7% have major depressive disorder at some point in their lives.</t>
  </si>
  <si>
    <t>Both conditions can significantly impair quality of life, affecting relationships, work productivity, and overall mental health.</t>
  </si>
  <si>
    <t>Effective in reducing symptoms of depression and stabilizing mood, with response rates around 60-70% for bipolar disorder and 50-70% for major depressive disorder.</t>
  </si>
  <si>
    <t>Generally considered safe when used as prescribed, though caution is advised due to potential drug interactions and side effects.</t>
  </si>
  <si>
    <t>Common adverse events include sedation, weight gain, dizziness, dry mouth, and changes in appetite; rarer events may include metabolic syndrome and extrapyramidal symptoms.</t>
  </si>
  <si>
    <t>Approximately $3,000 to $5,000 depending on insurance coverage and additional therapy costs.</t>
  </si>
  <si>
    <t>Typically prescribed for adults, although children and adolescents may be treated with caution under specialist supervision.</t>
  </si>
  <si>
    <t>More prevalent in females for major depressive disorder, while bipolar disorder occurs equally in both genders.</t>
  </si>
  <si>
    <t>Combination therapy involving a selective serotonin reuptake inhibitor (SSRI) (Fluoxetine) and an atypical antipsychotic (Olanzapine).</t>
  </si>
  <si>
    <t>FLUOXETINE HCL 50MG/OLANZAPINE 12MG CAP</t>
  </si>
  <si>
    <t>Depressed mood, anxiety, irritability, mood swings, sleep disturbances, changes in appetite, fatigue, diminished ability to concentrate, and psychotic features in severe cases.</t>
  </si>
  <si>
    <t>Approximately 2.8% of the U.S. adult population has bipolar disorder, and around 7% experience major depressive disorder at some point in their lives.</t>
  </si>
  <si>
    <t>Can significantly improve with effective management; however, untreated conditions can severely impair social and occupational functioning.</t>
  </si>
  <si>
    <t>Fluoxetine and olanzapine combination therapy has shown efficacy in improving mood stabilization and reducing depressive episodes in clinical studies; response rates vary widely.</t>
  </si>
  <si>
    <t>Generally well-tolerated, but monitoring for metabolic syndrome, sedation, and serotonin syndrome is important; careful patient selection is required.</t>
  </si>
  <si>
    <t>Common adverse events include weight gain, sedation, dry mouth, dizziness, and gastrointestinal disturbances. More serious risks include increased suicidal ideation and neuroleptic malignant syndrome.</t>
  </si>
  <si>
    <t>Estimated to be between $6,000 and $12,000, depending on healthcare coverage and specifics of therapy.</t>
  </si>
  <si>
    <t>Typically prescribed for adults aged 18-65, although it can be used in adolescents over 10 with careful monitoring.</t>
  </si>
  <si>
    <t>Affects both genders, but women are more frequently diagnosed with major depressive disorder, while bipolar disorder shows a more balanced gender prevalence.</t>
  </si>
  <si>
    <t>Combination therapy (small molecules): fluoxetine (an SSRI) and olanzapine (an atypical antipsychotic).</t>
  </si>
  <si>
    <t>FLUOXETINE HCL 25MG/OLANZAPINE 3MG CAP</t>
  </si>
  <si>
    <t>Depressed mood, fatigue, changes in appetite, insomnia or hypersomnia, feelings of worthlessness or excessive guilt, impaired concentration, and manic episodes (for bipolar disorder)</t>
  </si>
  <si>
    <t>Approximately 7% of adults suffer from major depressive disorder in a given year, with bipolar disorder affecting about 2.8% of U.S. adults at some point in their lives.</t>
  </si>
  <si>
    <t>Quality of life can be significantly impaired due to persistent depressive and manic symptoms, affecting social, occupational, and personal functioning.</t>
  </si>
  <si>
    <t>Studies show that fluoxetine and olanzapine combination therapy can achieve significant reductions in depressive and manic symptoms, with notable response rates around 50-70% in treated populations.</t>
  </si>
  <si>
    <t>Generally considered safe when monitored; however, there are notable concerns regarding serotonin syndrome, metabolic syndrome, and extrapyramidal symptoms associated with olanzapine.</t>
  </si>
  <si>
    <t>Common adverse events include weight gain, sedation, akathisia, dry mouth, gastrointestinal disturbances, and, less frequently, severe allergic reactions.</t>
  </si>
  <si>
    <t>Estimated average annual therapy costs for this combination can range from $5,000 to $15,000, depending on the patient's insurance and pharmacy options.</t>
  </si>
  <si>
    <t>Typically prescribed to adults (18 years and older); caution is exercised in prescribing to elderly populations due to increased sensitivity to side effects.</t>
  </si>
  <si>
    <t>Both males and females are affected, though the prevalence of depression is higher in females while bipolar disorder is relatively equal across genders.</t>
  </si>
  <si>
    <t>Combination of a selective serotonin reuptake inhibitor (SSRIs) - fluoxetine (small molecule) and an atypical antipsychotic - olanzapine (small molecule).</t>
  </si>
  <si>
    <t>RISPERIDONE 1MG TAB,ORAL DISINTEGRATING</t>
  </si>
  <si>
    <t>Hallucinations, delusions, disorganized thinking, mood swings, irritability, anxiety</t>
  </si>
  <si>
    <t>Approximately 1% for schizophrenia, 2.6% for bipolar disorder in the USA</t>
  </si>
  <si>
    <t>Varies; can be significantly impaired without treatment</t>
  </si>
  <si>
    <t>Approximately 60-70% response rate for positive symptoms of schizophrenia; effective for manic episodes in bipolar disorder</t>
  </si>
  <si>
    <t>Generally considered safe; requires monitoring for side effects</t>
  </si>
  <si>
    <t>Weight gain, sedation, extrapyramidal symptoms, metabolic syndrome, increased risk of diabetes</t>
  </si>
  <si>
    <t>Approximately $4,000 - $7,000 depending on insurance coverage</t>
  </si>
  <si>
    <t>Typically prescribed to adolescents (13+) and adults</t>
  </si>
  <si>
    <t>Both genders, with a slight prevalence in males for schizophrenia and equal rates for bipolar disorder</t>
  </si>
  <si>
    <t>FENOFIBRATE 134MG CAP</t>
  </si>
  <si>
    <t>Generally asymptomatic; may lead to complications such as pancreatitis, atherosclerosis, and cardiovascular events if untreated.</t>
  </si>
  <si>
    <t>Approximately 28.6% of U.S. adults have high levels of LDL cholesterol (generally over 130 mg/dL).</t>
  </si>
  <si>
    <t>Moderate quality of life impact due to potential complications but manageable with treatment; regular monitoring and lifestyle changes are important.</t>
  </si>
  <si>
    <t>Reduces triglycerides by 20-50% and increases HDL cholesterol levels; LDL reduction can vary.</t>
  </si>
  <si>
    <t>Generally well-tolerated; long-term use is considered safe in monitored patients.</t>
  </si>
  <si>
    <t>Common adverse events include gastrointestinal complaints (e.g., abdominal pain, nausea), headache, and increased liver enzymes; serious adverse events are rare.</t>
  </si>
  <si>
    <t>Approximately $200 to $500 annually without insurance; costs may vary based on insurance plans and manufacturer assistance programs.</t>
  </si>
  <si>
    <t>Primarily adults aged 40-75 years, though younger individuals may also be treated based on risk factors.</t>
  </si>
  <si>
    <t>Both genders are affected, though men have a higher prevalence of dyslipidemia in younger age groups.</t>
  </si>
  <si>
    <t>HYDROCHLOROTHIAZIDE 25MG/TRIAMTERENE 37.5MG T</t>
  </si>
  <si>
    <t>Elevated blood pressure, swelling in legs/feet, fluid retention</t>
  </si>
  <si>
    <t>Approximately 45% of adults in the USA have hypertension</t>
  </si>
  <si>
    <t>Improved control of blood pressure can enhance quality of life and reduce risk of complications</t>
  </si>
  <si>
    <t>Effective in lowering blood pressure and reducing edema; may have an 8-10 mm Hg drop in systolic blood pressure</t>
  </si>
  <si>
    <t>Generally well-tolerated, but caution in patients with renal impairment or electrolyte imbalances</t>
  </si>
  <si>
    <t>Common adverse events include hypotension, dizziness, and electrolyte disturbances (low potassium)</t>
  </si>
  <si>
    <t>Approximately $30 to $300 depending on insurance coverage and pharmacy prices</t>
  </si>
  <si>
    <t>Primarily adults, commonly prescribed for individuals aged 40 and older</t>
  </si>
  <si>
    <t>No significant gender differences in prevalence; both men and women are affected</t>
  </si>
  <si>
    <t>Combination antihypertensive (thiazide diuretic and potassium-sparing diuretic)</t>
  </si>
  <si>
    <t>LIOTHYRONINE NA 5MCG TAB</t>
  </si>
  <si>
    <t>Fatigue, weight gain, sensitivity to cold, constipation, dry skin, hair loss, muscle weakness, depression, and slowed heart rate.</t>
  </si>
  <si>
    <t>Approximately 4.6% of the U.S. population (about 10 million people) has hypothyroidism.</t>
  </si>
  <si>
    <t>Patients with hypothyroidism typically experience reduced quality of life due to persistent symptoms affecting daily activities and overall well-being.</t>
  </si>
  <si>
    <t>Generally high, with many patients achieving normalization of TSH levels and symptom relief within weeks to months.</t>
  </si>
  <si>
    <t>Generally considered safe when prescribed correctly; requires regular monitoring and dose adjustments.</t>
  </si>
  <si>
    <t>Common adverse events include heart palpitations, anxiety, insomnia, and weight loss if overdosed.</t>
  </si>
  <si>
    <t>Approximately $300 to $600, depending on insurance coverage and dosage requirements.</t>
  </si>
  <si>
    <t>Most common in adults, particularly those aged 30 and older.</t>
  </si>
  <si>
    <t>More prevalent in females (8 times more common than in males).</t>
  </si>
  <si>
    <t>LIOTHYRONINE NA 25MCG TAB</t>
  </si>
  <si>
    <t>Fatigue, weight gain, sensitivity to cold, constipation, dry skin, hair loss, muscle weakness, elevated blood cholesterol levels, and depression.</t>
  </si>
  <si>
    <t>Quality of life can be significantly improved with proper treatment; symptoms often resolve leading to better energy levels and overall well-being.</t>
  </si>
  <si>
    <t>70%-90% (patients typically show improvement in symptoms within weeks of starting therapy)</t>
  </si>
  <si>
    <t>Generally considered safe when used as prescribed; regular monitoring of thyroid levels is recommended.</t>
  </si>
  <si>
    <t>Possible adverse events include palpitations, increased heart rate, sweating, anxiety, and tremors; rare but serious risks include heart arrhythmias and osteoporosis with long-term use.</t>
  </si>
  <si>
    <t>Approximately $300-$600, depending on pharmacy pricing and insurance coverage.</t>
  </si>
  <si>
    <t>Commonly prescribed across all age groups, though more prevalent in adults over 60.</t>
  </si>
  <si>
    <t>More common in females, with a prevalence rate of about 10% for women compared to 2% for men.</t>
  </si>
  <si>
    <t>CLONAZEPAM 0.5MG TAB</t>
  </si>
  <si>
    <t>Anxiety, Panic Attacks, Seizures, Tremors, Muscle Spasms</t>
  </si>
  <si>
    <t>Approximately 19.1% of adults in the USA experience anxiety disorders in a given year; specific prevalence for panic disorder is about 4.7%</t>
  </si>
  <si>
    <t>Reduces anxiety and seizure frequency, improving daily functioning and overall quality of life in affected individuals</t>
  </si>
  <si>
    <t>High efficacy in the short term for reducing anxiety symptoms and controlling seizures; generally effective in both acute and chronic treatment settings</t>
  </si>
  <si>
    <t>Generally safe for short-term use; risks increase with long-term use, especially concerning dependence and withdrawal</t>
  </si>
  <si>
    <t>Sedation, dizziness, fatigue, cognitive impairment, respiratory depression (especially in overdose)</t>
  </si>
  <si>
    <t>Approximately $150 to $300 depending on insurance and pharmacy pricing for generic versions</t>
  </si>
  <si>
    <t>Commonly prescribed to adults and children over the age of 10; careful prescribing in the elderly</t>
  </si>
  <si>
    <t>Used by both genders; some research indicates higher prevalence in females for anxiety disorders</t>
  </si>
  <si>
    <t>SORAFENIB 200MG TAB</t>
  </si>
  <si>
    <t>Symptoms of HCC may include unintentional weight loss, loss of appetite, upper abdominal pain, nausea and vomiting, and jaundice. RCC may present with hematuria, flank pain, and a lump in the side or abdomen. Differentiated thyroid cancer can cause a lump in the neck, difficulty swallowing, and changes in voice.</t>
  </si>
  <si>
    <t>Hepatocellular carcinoma affects approximately 5.5 per 100,000 people annually in the USA; renal cell carcinoma has an incidence of about 15 per 100,000; and differentiated thyroid cancer about 15 per 100,000.</t>
  </si>
  <si>
    <t>Quality of life can be significantly impacted by these cancers due to symptoms and treatment side effects, varying by individual patient experience.</t>
  </si>
  <si>
    <t>Sorafenib has demonstrated a median survival benefit in HCC (approximately 10.7 months vs. 7.9 months for placebo) and RCC (28.4 months vs. 21.5 months for placebo).</t>
  </si>
  <si>
    <t>Generally well tolerated; the safety profile includes manageable adverse events when monitored correctly.</t>
  </si>
  <si>
    <t>Common adverse events include hand-foot syndrome (grade 1-2), diarrhea, hypertension, fatigue, and rash. Severe events can include hepatotoxicity and gastrointestinal bleeding.</t>
  </si>
  <si>
    <t>Estimated annual therapy costs for Sorafenib are around $100,000 to $150,000.</t>
  </si>
  <si>
    <t>Primarily adults over the age of 18, with a higher incidence in older adults, particularly those over 60.</t>
  </si>
  <si>
    <t>Incidence is higher in males for both HCC and RCC, while thyroid cancer affects both genders more equally.</t>
  </si>
  <si>
    <t>Small molecule inhibitor of tyrosine kinase (targeting VEGFR and RAF pathways).</t>
  </si>
  <si>
    <t>LORATADINE 5MG/5ML SYRUP</t>
  </si>
  <si>
    <t>Sneezing, runny or itchy nose, congestion, itchy or watery eyes</t>
  </si>
  <si>
    <t>Approximately 10-30% of the population in the USA experiences allergic rhinitis annually</t>
  </si>
  <si>
    <t>Can significantly impair quality of life, affecting daily activities, sleep, and productivity</t>
  </si>
  <si>
    <t>60-80% effective in relieving symptoms of allergic rhinitis</t>
  </si>
  <si>
    <t>Generally considered safe with a low risk of serious side effects</t>
  </si>
  <si>
    <t>Common: headache, dry mouth, fatigue, and drowsiness; Rare: serious allergic reactions such as anaphylaxis</t>
  </si>
  <si>
    <t>Approximately $50-100 for over-the-counter purchase depending on the pharmacy and insurance coverage</t>
  </si>
  <si>
    <t>Typically used in patients aged 2 years and older</t>
  </si>
  <si>
    <t>Antihistamine (second-generation)</t>
  </si>
  <si>
    <t>AMIODARONE HCL 200MG TAB</t>
  </si>
  <si>
    <t>Irregular heartbeat, palpitations, dizziness, shortness of breath, fatigue, and chest pain.</t>
  </si>
  <si>
    <t>Approximately 2.7 million people in the USA have atrial fibrillation.</t>
  </si>
  <si>
    <t>Can be significantly affected due to symptoms leading to anxiety, depression, and limitation in physical activities.</t>
  </si>
  <si>
    <t>Amiodarone is effective in restoring normal heart rhythm and maintaining sinus rhythm in patients with atrial fibrillation (success rate around 50-70%).</t>
  </si>
  <si>
    <t>Generally considered safe but requires monitoring due to potential toxicity.</t>
  </si>
  <si>
    <t>Common adverse effects include thyroid dysfunction, pulmonary toxicity, liver enzyme elevations, and skin reactions. Rare but serious side effects involve severe lung disease and liver failure.</t>
  </si>
  <si>
    <t>Approximately $1,500 to $3,000 depending on insurance coverage and additional monitoring needs.</t>
  </si>
  <si>
    <t>Primarily older adults, typically over 65 years of age.</t>
  </si>
  <si>
    <t>More prevalent in males but also significant in females.</t>
  </si>
  <si>
    <t>Antiarrhythmic agent (small molecules).</t>
  </si>
  <si>
    <t>AMIODARONE HCL (PACERONE) 100MG TAB</t>
  </si>
  <si>
    <t>Approximately 2-3 million people in the USA have Atrial Fibrillation</t>
  </si>
  <si>
    <t>Can be significantly affected due to symptoms and risk of stroke; patients may experience reduced physical and mental well-being</t>
  </si>
  <si>
    <t>Effective in controlling heart rhythm and reducing the risk of recurrences in Atrial Fibrillation; reported efficacy rates around 50-70% for rhythm control</t>
  </si>
  <si>
    <t>Generally well-tolerated; requires monitoring for potential side effects; associated risks may outweigh benefits for some patients</t>
  </si>
  <si>
    <t>Can include pulmonary toxicity, liver toxicity, thyroid dysfunction, bradycardia, and skin discoloration; 10-20% of patients may experience adverse effects</t>
  </si>
  <si>
    <t>Approximately $1,200 to $1,500 including monitoring costs associated with therapy</t>
  </si>
  <si>
    <t>Primarily adults aged 60 and older, but may be prescribed to younger patients as well</t>
  </si>
  <si>
    <t>Both genders, with slightly higher prevalence in males</t>
  </si>
  <si>
    <t>Antiarrhythmic agent (small molecules)</t>
  </si>
  <si>
    <t>FLUOROURACIL 2% SOLN,TOP</t>
  </si>
  <si>
    <t>Scaly or crusty patches, lesions on the skin, potential for skin cancer development</t>
  </si>
  <si>
    <t>Approximately 10 million cases of actinic keratosis in the USA</t>
  </si>
  <si>
    <t>Can significantly improve quality of life by reducing cancer risk and improving skin appearance</t>
  </si>
  <si>
    <t>60-80% effective in treating actinic keratosis; effectiveness for basal cell carcinoma varies</t>
  </si>
  <si>
    <t>Generally considered safe for topical use; risk of local irritation</t>
  </si>
  <si>
    <t>Common adverse events include erythema, burning, stinging, and skin peeling</t>
  </si>
  <si>
    <t>Approximately $500-$2,000 depending on treatment frequency and health insurance coverage</t>
  </si>
  <si>
    <t>Primarily adults aged 40+</t>
  </si>
  <si>
    <t>Both male and female, though men may present more frequently due to increased sun exposure</t>
  </si>
  <si>
    <t>FLUOROURACIL 5% SOLN,TOP</t>
  </si>
  <si>
    <t>Rough, scaly patches on the skin, potential lesions that may bleed or crust, changes in the texture of the skin</t>
  </si>
  <si>
    <t>Approximately 58 million Americans have some form of actinic keratosis; basal cell carcinoma is the most common form of skin cancer, affecting around 4 million cases annually in the USA</t>
  </si>
  <si>
    <t>Generally, patients experience a decreased quality of life due to skin changes and potential psychological impacts, though treatment can improve conditions significantly</t>
  </si>
  <si>
    <t>Efficacy rates can vary but generally between 70-80% for actinic keratosis clearance with appropriate treatment</t>
  </si>
  <si>
    <t>Generally considered safe with appropriate use; specific contraindications and cautions apply</t>
  </si>
  <si>
    <t>Localized skin reactions such as redness, irritation, ulcers, or allergic reactions may occur; rare systemic effects possible</t>
  </si>
  <si>
    <t>Costs can vary but typically around $500 to $1,500 depending on treatment frequency and additional care</t>
  </si>
  <si>
    <t>Most commonly prescribed for adults aged 40 and older</t>
  </si>
  <si>
    <t>No significant gender predisposition, though more men are diagnosed with actinic keratosis and basal cell carcinoma due to higher sun exposure in some demographics</t>
  </si>
  <si>
    <t>Topical chemotherapeutic agent (small molecules)</t>
  </si>
  <si>
    <t>FLUOROURACIL 5% CREAM,TOP</t>
  </si>
  <si>
    <t>Red, scaly patches on the skin; crusted lesions; raised bumps; skin thickening; changes in skin texture and color</t>
  </si>
  <si>
    <t>Actinic keratosis affects approximately 10-15% of the adult population in the USA; basal cell carcinoma accounts for about 80% of nonmelanoma skin cancers, affecting millions annually</t>
  </si>
  <si>
    <t>Moderate improvement; successful treatment can lead to enhanced skin appearance and reduced cancer risk, improving psychosocial well-being</t>
  </si>
  <si>
    <t>Effective in reducing actinic keratosis lesions; clinical studies show a clearance rate of 75-85%</t>
  </si>
  <si>
    <t>Generally well-tolerated; local irritation occurs in most cases, but systemic absorption is minimal</t>
  </si>
  <si>
    <t>Commonly reported adverse effects include skin irritation, erythema, peeling, burning sensation, and pruritus; serious adverse events are rare</t>
  </si>
  <si>
    <t>Approximately $200-$600 depending on therapy frequency and healthcare provider fees</t>
  </si>
  <si>
    <t>Typically prescribed for adults, particularly those aged 40 and older</t>
  </si>
  <si>
    <t>Both males and females; however, higher prevalence seen in males due to increased sun exposure</t>
  </si>
  <si>
    <t>Topical antineoplastic agent (small molecules)</t>
  </si>
  <si>
    <t>LAMOTRIGINE 25MG TAB</t>
  </si>
  <si>
    <t>Recurrent seizures (in epilepsy); mood swings, depressive episodes, and mania (in bipolar disorder)</t>
  </si>
  <si>
    <t>Approximately 1% for epilepsy; 2.6% for bipolar disorder in the USA</t>
  </si>
  <si>
    <t>Significant improvement for patients with controlled seizures; improved mood stability in bipolar patients, though side effects may impact quality of life temporarily</t>
  </si>
  <si>
    <t>60-70% efficacy in seizure control for epilepsy; effective in mood stabilization in bipolar disorder, particularly for depressive episodes</t>
  </si>
  <si>
    <t>Generally considered safe; however, requires titration to avoid side effects</t>
  </si>
  <si>
    <t>Commonly includes rash, dizziness, headache, nausea, and insomnia; serious but rare adverse events include Stevens-Johnson syndrome</t>
  </si>
  <si>
    <t>Approximately $1,000 - $2,000 depending on insurance coverage and supply</t>
  </si>
  <si>
    <t>Approved for use in children and adults (often prescribed in ages 2 and up for epilepsy and ages 18+ for bipolar disorder); cautious use in younger populations</t>
  </si>
  <si>
    <t>No significant gender differences in prescribing; conditions can affect both genders equally</t>
  </si>
  <si>
    <t>METRONIDAZOLE 1% GEL,TOP,PUMP</t>
  </si>
  <si>
    <t>Unusual vaginal discharge, fishy odor, itching, irritation, burning sensation</t>
  </si>
  <si>
    <t>Approximately 29% of women in the USA are affected by bacterial vaginosis at some point in their lives.</t>
  </si>
  <si>
    <t>Generally high efficacy, with studies showing improvement in symptoms for over 80% of patients within a week of treatment.</t>
  </si>
  <si>
    <t>Considered safe for most patients when used as directed; contraindications may exist for those with certain allergies.</t>
  </si>
  <si>
    <t>Possible local reactions such as burning, itching, or irritation at the application site, though serious reactions are rare.</t>
  </si>
  <si>
    <t>Approximately $200 to $300 depending on insurance coverage and pharmacy pricing.</t>
  </si>
  <si>
    <t>Primarily women of reproductive age (15-44 years).</t>
  </si>
  <si>
    <t>Topical Antibiotic Gel (small molecule).</t>
  </si>
  <si>
    <t>CLOBAZAM 2.5MG/ML SUSP,ORAL</t>
  </si>
  <si>
    <t>Multiple types of seizures (such as atonic seizures, tonic seizures, and atypical absence seizures), developmental delays, cognitive impairments, behavioral issues.</t>
  </si>
  <si>
    <t>Approximately 1-2 cases per 10,000 individuals in the USA.</t>
  </si>
  <si>
    <t>Quality of life can be significantly impacted due to frequent seizures and associated developmental challenges; caregivers often experience high levels of stress.</t>
  </si>
  <si>
    <t>Clobazam has shown efficacy in reducing seizure frequency in patients with LGS; some studies report a reduction in seizures by up to 50%.</t>
  </si>
  <si>
    <t>Generally well-tolerated; however, clinical use should be monitored.</t>
  </si>
  <si>
    <t>Common adverse events include sedation, somnolence, fatigue, and irritability.</t>
  </si>
  <si>
    <t>Estimated annual therapy costs can range from $10,000 to $20,000 depending on the dosage and healthcare plan.</t>
  </si>
  <si>
    <t>Primarily used in pediatric populations (children over 2 years old) but may be prescribed to adults as well.</t>
  </si>
  <si>
    <t>No significant gender preference; LGS affects males and females at similar rates.</t>
  </si>
  <si>
    <t>DULOXETINE HCL 40MG CAP,EC</t>
  </si>
  <si>
    <t>Symptoms of MDD include persistent feelings of sadness, loss of interest, fatigue, difficulty concentrating, changes in appetite or weight, sleep disturbances, and thoughts of death or suicide. Symptoms of GAD include excessive worry, restlessness, fatigue, difficulty concentrating, irritability, muscle tension, and sleep disturbances.</t>
  </si>
  <si>
    <t>Approximately 7.1% of adults in the USA experience MDD annually, while GAD affects about 3.1% of the population.</t>
  </si>
  <si>
    <t>DULOXETINE can improve overall quality of life by reducing depressive symptoms and anxiety, leading to better social functioning and daily activities.</t>
  </si>
  <si>
    <t>DULOXETINE has been shown to be effective in reducing symptoms of MDD and GAD, with clinical trials indicating a response rate of about 40-60% compared to placebo.</t>
  </si>
  <si>
    <t>DULOXETINE is generally considered safe, but it requires monitoring for serotonin syndrome, liver function, and blood pressure changes.</t>
  </si>
  <si>
    <t>Common adverse events include nausea, dry mouth, fatigue, constipation, and dizziness. Serious adverse events are rare but can include increased risk of suicidal thoughts or behavior, especially in younger populations.</t>
  </si>
  <si>
    <t>The average annual cost for duloxetine therapy can range from $1,500 to $3,000 depending on insurance coverage and pharmacy selections.</t>
  </si>
  <si>
    <t>Typically prescribed for adults aged 18 and older, though it may be used cautiously in adolescents.</t>
  </si>
  <si>
    <t>Both men and women can be affected by MDD and GAD; however, women are diagnosed with MDD nearly twice as often as men.</t>
  </si>
  <si>
    <t>Duloxetine is classified as a serotonin-norepinephrine reuptake inhibitor (SNRI), a type of small molecule drug.</t>
  </si>
  <si>
    <t>VENLAFAXINE HCL 25MG TAB</t>
  </si>
  <si>
    <t>Persistent sadness, loss of interest, fatigue, changes in sleep and appetite, anxiety, restlessness, worry</t>
  </si>
  <si>
    <t>Approximately 7% of the adult population in the USA will experience a major depressive episode in a given year; GAD affects approximately 3% of the population.</t>
  </si>
  <si>
    <t>Venlafaxine can significantly improve quality of life for patients suffering from MDD and GAD, allowing for better daily functioning and social interactions.</t>
  </si>
  <si>
    <t>Venlafaxine is effective in treating symptoms of MDD and GAD, with response rates around 60-70%.</t>
  </si>
  <si>
    <t>Generally safe when prescribed; however, should be used with caution in patients with certain cardiovascular conditions.</t>
  </si>
  <si>
    <t>Common adverse events include nausea, headache, dry mouth, dizziness, and increased blood pressure.</t>
  </si>
  <si>
    <t>Approximately $300 - $600 without insurance, depending on pharmacy and dosage.</t>
  </si>
  <si>
    <t>Adults (18 years and older, not typically prescribed for children)</t>
  </si>
  <si>
    <t>More common in females (MDD prevalence is about 1.5 to 3 times higher in women compared to men)</t>
  </si>
  <si>
    <t>Small molecule (serotonin-norepinephrine reuptake inhibitor, SNRI)</t>
  </si>
  <si>
    <t>VENLAFAXINE HCL 37.5MG TAB</t>
  </si>
  <si>
    <t>Persistent sadness, loss of interest or pleasure in activities, changes in appetite or weight, sleep disturbances, fatigue, difficulty concentrating, irritability (MDD); excessive anxiety and worry, restlessness, fatigue, difficulty concentrating, irritability, muscle tension, sleep disturbances (GAD)</t>
  </si>
  <si>
    <t>MDD affects approximately 7% of adults in the USA annually; GAD affects about 3.1% of adults in a given year</t>
  </si>
  <si>
    <t>Severely impacted due to persistent symptoms; effective treatment can lead to significant improvement</t>
  </si>
  <si>
    <t>Approximately 60-70% of patients with MDD show improvement with venlafaxine; efficacy for GAD is also noted at about 60%</t>
  </si>
  <si>
    <t>Generally well-tolerated; common side effects may include nausea, dry mouth, dizziness, and increased blood pressure</t>
  </si>
  <si>
    <t>Common adverse events include nausea (28%), somnolence (17%), and hypertension (dose-dependent); rare but serious risks include serotonin syndrome, neuronal birth defects in pregnancy</t>
  </si>
  <si>
    <t>Approximately $1,200 to $3,000 per year, depending on insurance coverage and dosage requirements</t>
  </si>
  <si>
    <t>Approved for adults (18 years and older) with some off-label use in adolescents</t>
  </si>
  <si>
    <t>Used in both males and females; females are more frequently diagnosed with depression and anxiety disorders.</t>
  </si>
  <si>
    <t>VENLAFAXINE HCL 75MG TAB</t>
  </si>
  <si>
    <t>Persistent sadness, loss of interest in activities, fatigue, changes in appetite, difficulty concentrating, feelings of hopelessness for MDD; excessive worry, restlessness, fatigue, irritability, difficulty concentrating, sleep disturbances for GAD.</t>
  </si>
  <si>
    <t>Approximately 7.1% of adults in the USA experience MDD annually; GAD affects about 3.1% of the adult population annually.</t>
  </si>
  <si>
    <t>Poor quality of life during active episodes of depression or anxiety, with improvements reported following effective treatment; chronic symptoms can lead to significant functional impairments.</t>
  </si>
  <si>
    <t>Venlafaxine has shown efficacy rates of approximately 50-70% in reducing depressive symptoms and 60-75% in anxiety symptoms, depending on the severity and specific condition being treated.</t>
  </si>
  <si>
    <t>Generally considered safe when used as directed; regular monitoring for blood pressure changes is recommended due to potential for dose-dependent hypertension.</t>
  </si>
  <si>
    <t>Common adverse events include nausea, headache, dry mouth, dizziness, sweating, insomnia, and sexual dysfunction; severe events, though rare, can include serotonin syndrome and increased risk of suicidal thoughts in younger populations.</t>
  </si>
  <si>
    <t>Approximately $480 to $1,500 per year, depending on insurance coverage and dosage; generic options may reduce costs significantly.</t>
  </si>
  <si>
    <t>Approved for use in adults and children ages 7 and older for certain indications.</t>
  </si>
  <si>
    <t>Affects both genders, but higher prevalence in females for depression.</t>
  </si>
  <si>
    <t>DISULFIRAM 250MG TAB</t>
  </si>
  <si>
    <t>Cravings for alcohol, loss of control over drinking, withdrawal symptoms, neglecting responsibilities, continued use despite problems caused by alcohol</t>
  </si>
  <si>
    <t>Approximately 14 million adults in the USA have Alcohol Use Disorder (AUD)</t>
  </si>
  <si>
    <t>Significantly impaired due to health, social, and economic issues; treatment can improve life satisfaction.</t>
  </si>
  <si>
    <t>Disulfiram can reduce the frequency of drinking and promote abstinence in motivated patients, particularly when integrated with counseling (roughly 50-60% efficacy rate when used properly).</t>
  </si>
  <si>
    <t>Generally well tolerated if used as prescribed, but may cause reactions if alcohol is consumed.</t>
  </si>
  <si>
    <t>Flushing, palpitations, nausea, vomiting, abdominal pain, hepatotoxicity (rare but serious).</t>
  </si>
  <si>
    <t>Estimated at $700 to $1,200 per year depending on patient management and therapy resources.</t>
  </si>
  <si>
    <t>Primarily adults (18 years and older).</t>
  </si>
  <si>
    <t>Affects both genders, though men may be more likely to seek treatment.</t>
  </si>
  <si>
    <t>Small molecules (specifically a medication that is used to deter drinking by inducing unpleasant reactions to alcohol consumption).</t>
  </si>
  <si>
    <t>ZIPRASIDONE HCL 20MG CAP</t>
  </si>
  <si>
    <t>Hallucinations, delusions, disorganized thinking, changes in mood, and difficulty functioning socially or in work environments.</t>
  </si>
  <si>
    <t>Approximately 1% for schizophrenia and about 2.6% for bipolar disorder in the USA.</t>
  </si>
  <si>
    <t>Patients with schizophrenia often experience significant impairment in daily functioning, while those with bipolar disorder can fluctuate between depressive and manic states affecting their social and occupational performance.</t>
  </si>
  <si>
    <t>Ziprasidone is effective in reducing positive and negative symptoms of schizophrenia; response success rate varies but is generally around 60-70%.</t>
  </si>
  <si>
    <t>Ziprasidone is generally well-tolerated; however, it may not be suitable for patients with certain pre-existing conditions such as significant heart issues.</t>
  </si>
  <si>
    <t>Common adverse events include sedation, akathisia, headache, dizziness, and potential QT prolongation.</t>
  </si>
  <si>
    <t>Approximately $3,000 to $10,000 depending on insurance coverage and specific treatment regimens.</t>
  </si>
  <si>
    <t>Typically prescribed for adults aged 18-65, but can be used in adolescents under proper guidance.</t>
  </si>
  <si>
    <t>No significant gender preference; both males and females are equally affected by the disorders treated with this medication.</t>
  </si>
  <si>
    <t>SOTALOL HCL 160MG TAB</t>
  </si>
  <si>
    <t>Palpitations, dizziness, fatigue, shortness of breath, chest pain</t>
  </si>
  <si>
    <t>Approximately 2-3% of the general population suffers from atrial fibrillation in the USA; ventricular tachycardia is less common, affecting about 1 in 1,000 people.</t>
  </si>
  <si>
    <t>Atrial fibrillation significantly impacts quality of life due to recurrent symptoms and the potential for complications like stroke; patients report a lower quality of life compared to those without the condition.</t>
  </si>
  <si>
    <t>Sotalol is effective in maintaining sinus rhythm in patients with atrial fibrillation and in controlling heart rate in patients with ventricular tachycardia, with efficacy rates reported around 50-70% in clinical studies.</t>
  </si>
  <si>
    <t>Generally considered safe when used as prescribed, but requires monitoring for potential side effects such as bradycardia and QT prolongation.</t>
  </si>
  <si>
    <t>Common adverse events include fatigue, bradycardia, dizziness, and potential for Torsades de Pointes due to prolonged QT interval.</t>
  </si>
  <si>
    <t>Approximately $150 - $450, depending on the dosage and pharmacy practices.</t>
  </si>
  <si>
    <t>Typically prescribed for adults, especially those aged 50 and older.</t>
  </si>
  <si>
    <t>Both males and females affected, but prevalence of atrial fibrillation tends to be higher in males.</t>
  </si>
  <si>
    <t>Class III antiarrhythmic agent.</t>
  </si>
  <si>
    <t>SOTALOL HCL 120MG TAB</t>
  </si>
  <si>
    <t>Palpitations, shortness of breath, fatigue, dizziness, chest pain</t>
  </si>
  <si>
    <t>Atrial fibrillation affects approximately 2.7 million people in the USA; prevalence of ventricular tachycardia is less clear but is significant among patients with heart disease.</t>
  </si>
  <si>
    <t>Reduced quality of life due to symptoms and fear of complications; effective management can improve quality of life significantly.</t>
  </si>
  <si>
    <t>Efficacy rates are around 70-90% in managing atrial fibrillation when used appropriately.</t>
  </si>
  <si>
    <t>Generally safe with regular monitoring; caution in patients with renal impairment.</t>
  </si>
  <si>
    <t>Common adverse events include bradycardia, dizziness, fatigue, and hypotension; serious events such as significant arrhythmias can occur.</t>
  </si>
  <si>
    <t>Approximately $1,300 - $2,500, depending on insurance coverage and pharmacy costs.</t>
  </si>
  <si>
    <t>Commonly prescribed in adults aged 40 and older.</t>
  </si>
  <si>
    <t>No significant gender differences; however, men may have a slightly higher prevalence of ventricular arrhythmias.</t>
  </si>
  <si>
    <t>Small molecule (antiarrhythmic agent).</t>
  </si>
  <si>
    <t>DESMOPRESSIN 0.1MG TAB</t>
  </si>
  <si>
    <t>Excessive thirst, frequent urination, dehydration, bedwetting</t>
  </si>
  <si>
    <t>Diabetes Insipidus affects approximately 3 to 5 individuals per 100,000 in the USA; enuresis has a prevalence of around 5-7% in children aged 6-8 years</t>
  </si>
  <si>
    <t>Improved quality of life due to decreased thirst and reduced urination episodes; significant improvement in sleep and daily activities</t>
  </si>
  <si>
    <t>Approximately 80% of patients with central diabetes insipidus respond well to desmopressin, effectively reducing urine output and thirst</t>
  </si>
  <si>
    <t>Generally considered safe with appropriate dosing; there is a risk of water retention and hyponatremia</t>
  </si>
  <si>
    <t>Common adverse events include headache, nausea, abdominal cramps, and in rare cases, severe reactions such as hyponatremia</t>
  </si>
  <si>
    <t>Estimated annual costs range from $1,000 to $2,500 depending on the dosage and frequency of use</t>
  </si>
  <si>
    <t>Primarily used in children and adults; particularly for children experiencing enuresis</t>
  </si>
  <si>
    <t>No significant gender preference in incidence; both males and females are affected</t>
  </si>
  <si>
    <t>Small molecule (synthetic analogue of vasopressin)</t>
  </si>
  <si>
    <t>DESMOPRESSIN 0.2MG TAB</t>
  </si>
  <si>
    <t>Excessive thirst, frequent urination, nocturnal bedwetting</t>
  </si>
  <si>
    <t>Approximately 1 in 25,000 in adults for Central Diabetes Insipidus; nocturnal enuresis affects about 5-7% of children</t>
  </si>
  <si>
    <t>Can significantly improve quality of life, especially in patients with nocturnal enuresis and central diabetes insipidus</t>
  </si>
  <si>
    <t>High efficacy in reducing symptoms of diabetes insipidus and nocturnal enuresis, with approximately 70-90% efficacy reported</t>
  </si>
  <si>
    <t>Generally considered safe, with a favorable safety profile when used appropriately</t>
  </si>
  <si>
    <t>Headache, nausea, abdominal cramps, facial flushing, water retention, and in rare cases, hyponatremia</t>
  </si>
  <si>
    <t>Approximately $1,200 to $2,500 depending on dosing and insurance coverage</t>
  </si>
  <si>
    <t>Primarily used in children for nocturnal enuresis and adults for diabetes insipidus</t>
  </si>
  <si>
    <t>Affects both genders equally, although nocturnal enuresis may be more prevalent in boys during childhood</t>
  </si>
  <si>
    <t>Small molecule (antidiuretic hormone analog)</t>
  </si>
  <si>
    <t>DESMOPRESSIN ACETATE 0.1MG/ML SOLN,NASAL SPRA</t>
  </si>
  <si>
    <t>Frequent urination, intense thirst, inability to concentrate urine, bedwetting, excessive urination during the night</t>
  </si>
  <si>
    <t>Central Diabetes Insipidus affects approximately 0.3 to 1.0 per 100,000 people; nocturnal enuresis has a prevalence of about 5-10% in children; mild Hemophilia A occurs in 1 in 5,000 live male births</t>
  </si>
  <si>
    <t>Often significantly improved for those with Central Diabetes Insipidus and nocturnal enuresis; addressing bedwetting can lead to psychological and social improvements in children</t>
  </si>
  <si>
    <t>Approximately 80-90% effective in managing symptoms of Central Diabetes Insipidus and nocturnal enuresis</t>
  </si>
  <si>
    <t>Generally considered safe when used as directed; long-term use may require monitoring for sodium levels and potential water retention</t>
  </si>
  <si>
    <t>Common adverse events include headache, abdominal cramps, and nasal congestion; serious adverse events are rare but can include severe water intoxication if doses are too high</t>
  </si>
  <si>
    <t>Approximately $3,000 - $4,500 depending on dosage and insurance coverage</t>
  </si>
  <si>
    <t>Primarily used in adults and children (greater use in children for nocturnal enuresis)</t>
  </si>
  <si>
    <t>No significant gender preference; however, nocturnal enuresis is more commonly reported in males</t>
  </si>
  <si>
    <t>Synthetic vasopressin analog (small molecule)</t>
  </si>
  <si>
    <t>OLANZAPINE 2.5MG TAB</t>
  </si>
  <si>
    <t>Delusions, auditory hallucinations, disorganized thinking, mood swings, depression, mania</t>
  </si>
  <si>
    <t>Approximately 1% for schizophrenia and approximately 2.6% for bipolar disorder in the USA</t>
  </si>
  <si>
    <t>Can significantly improve quality of life when effectively managed; however, long-term treatment may have adverse effects impacting overall well-being</t>
  </si>
  <si>
    <t>60-70% improvement in symptoms for schizophrenia; effective for acute manic episodes in bipolar disorder</t>
  </si>
  <si>
    <t>Generally well-tolerated, but potential risks with long-term use; careful monitoring required</t>
  </si>
  <si>
    <t>Weight gain, metabolic syndrome, sedation, dry mouth, dizziness, extrapyramidal symptoms</t>
  </si>
  <si>
    <t>Approximately $4,000 to $9,000 depending on insurance coverage and dosage</t>
  </si>
  <si>
    <t>Primarily adults (18 years and older); can be used in adolescents under careful supervision</t>
  </si>
  <si>
    <t>Both genders are affected, though some studies suggest differential efficacy and side effect profiles</t>
  </si>
  <si>
    <t>OLANZAPINE 15MG TAB</t>
  </si>
  <si>
    <t>Hallucinations, delusions, disorganized thinking, mood swings, and depression</t>
  </si>
  <si>
    <t>Significantly improved with effective treatment; patients may experience better social functioning, job performance, and familial relationships</t>
  </si>
  <si>
    <t>Approximately 70% of patients show a reduction in symptoms with appropriate dosing</t>
  </si>
  <si>
    <t>Generally considered safe with a good risk-benefit profile when used as prescribed</t>
  </si>
  <si>
    <t>Weight gain, sedation, metabolic syndrome, extrapyramidal symptoms, and increased risk of diabetes</t>
  </si>
  <si>
    <t>Approximately $4,000 - $6,000</t>
  </si>
  <si>
    <t>Primarily adults (18-65 years), but can be prescribed for adolescents (13-17 years)</t>
  </si>
  <si>
    <t>LOPERAMIDE HCL 1MG/7.5ML SUSP,ORAL</t>
  </si>
  <si>
    <t>Increased frequency of bowel movements, loose or watery stools, abdominal cramps, urgency to have a bowel movement</t>
  </si>
  <si>
    <t>Approximately 1 in 5 adults experience diarrhea annually in the USA.</t>
  </si>
  <si>
    <t>Diarrhea can significantly impact quality of life, causing discomfort and disruptions in daily activities.</t>
  </si>
  <si>
    <t>Effective for acute nonspecific diarrhea; can reduce stool frequency and urgency within hours of administration for most patients.</t>
  </si>
  <si>
    <t>Generally considered safe for short-term use; not recommended for bacterial infections or when there is a high fever or blood in the stool.</t>
  </si>
  <si>
    <t>Constipation, abdominal discomfort, nausea, dizziness; serious adverse events are rare when used as directed.</t>
  </si>
  <si>
    <t>Estimated at $100-$200 per year for over-the-counter use.</t>
  </si>
  <si>
    <t>Adults and children over 2 years; not typically recommended for younger children without medical advice.</t>
  </si>
  <si>
    <t>Equally affects all genders.</t>
  </si>
  <si>
    <t>Small molecule (antidiarrheal agent).</t>
  </si>
  <si>
    <t>LAMOTRIGINE 5MG TAB,CHEW</t>
  </si>
  <si>
    <t>Seizures (for epilepsy), mood swings, depression, and mania (for bipolar disorder)</t>
  </si>
  <si>
    <t>Approximately 1.2% of the population in the USA is affected by epilepsy; bipolar disorder affects around 2.8% of the adult population.</t>
  </si>
  <si>
    <t>Treatment with Lamotrigine can significantly improve quality of life by reducing seizure frequency and stabilizing mood, thereby allowing individuals to engage more fully in daily activities.</t>
  </si>
  <si>
    <t>Lamotrigine is effective in approximately 60-70% of patients with epilepsy and is also effective in reducing depressive episodes in bipolar disorder.</t>
  </si>
  <si>
    <t>Generally well-tolerated; safety profile is good with appropriate dosage adjustments.</t>
  </si>
  <si>
    <t>Common adverse events include headache, dizziness, nausea, rash, and insomnia. Serious adverse events may include severe skin reactions such as Stevens-Johnson syndrome.</t>
  </si>
  <si>
    <t>Approximately $4,000 - $6,000 depending on dosage and insurance coverage.</t>
  </si>
  <si>
    <t>Both genders are affected by epilepsy and bipolar disorder, with a slight female predominance in bipolar disorder.</t>
  </si>
  <si>
    <t>Small molecule anticonvulsant/antidepressant.</t>
  </si>
  <si>
    <t>FLURBIPROFEN NA 0.03% SOLN,OPH</t>
  </si>
  <si>
    <t>Eye redness, pain, tearing, blurred vision, sensitivity to light, foreign body sensation</t>
  </si>
  <si>
    <t>Approximately 5-10% of the population experiences some form of eye inflammation annually</t>
  </si>
  <si>
    <t>Moderate impact on daily activities; vision-related quality of life may be significantly affected during episodes</t>
  </si>
  <si>
    <t>Flurbiprofen is effective in reducing inflammation and pain associated with ophthalmic conditions, with reported efficacy rates around 70-80% for symptoms relief</t>
  </si>
  <si>
    <t>Generally considered safe when used as directed; long-term effects not well-studied</t>
  </si>
  <si>
    <t>Possible adverse events include ocular discomfort (burning/stinging), headaches, blurred vision, and rarely, allergic reactions</t>
  </si>
  <si>
    <t>Approximately $300-$500 (depending on frequency of use and insurance coverage)</t>
  </si>
  <si>
    <t>No significant gender-specific differences in response or incidence</t>
  </si>
  <si>
    <t>Nonsteroidal anti-inflammatory drug (NSAID) for ophthalmic use</t>
  </si>
  <si>
    <t>NIMODIPINE 30MG CAP</t>
  </si>
  <si>
    <t>Subarachnoid Hemorrhage (SAH)</t>
  </si>
  <si>
    <t>Sudden severe headache, nausea, vomiting, sensitivity to light, stiff neck, confusion, loss of consciousness</t>
  </si>
  <si>
    <t>Approximately 9-10 cases per 100,000 people annually in the USA</t>
  </si>
  <si>
    <t>Quality of life can be significantly impacted post-SAH due to complications such as cognitive deficits and physical disabilities; many patients experience persistent problems.</t>
  </si>
  <si>
    <t>Nimodipine is effective in reducing the incidence of delayed cerebral ischemia due to vasospasm following SAH, with efficacy rates around 30%.</t>
  </si>
  <si>
    <t>Generally safe when used as prescribed, with close monitoring necessary for adverse events.</t>
  </si>
  <si>
    <t>Common adverse events may include hypotension, headache, gastrointestinal disturbances, and flushing; serious events may include severe hypotension and tachycardia.</t>
  </si>
  <si>
    <t>Approximately $2,000 - $5,000, depending on dosage and treatment duration.</t>
  </si>
  <si>
    <t>Primarily adults aged 40-70 years, though it can occur in younger individuals.</t>
  </si>
  <si>
    <t>More prevalent in females, but the overall incidence rates are not significantly different between genders.</t>
  </si>
  <si>
    <t>Calcium channel blocker (small molecule).</t>
  </si>
  <si>
    <t>VALGANCICLOVIR HCL 50MG/ML SOLN,ORAL</t>
  </si>
  <si>
    <t>Symptoms can vary widely but may include fever, fatigue, muscle aches, visual problems, and gastrointestinal issues. In immunocompromised patients, it can lead to retinitis, pneumonia, and other systemic infections.</t>
  </si>
  <si>
    <t>Approximately 60-90% of adults in the USA are CMV seropositive, but the incidence of symptomatic infections in high-risk patients is around 20-30%.</t>
  </si>
  <si>
    <t>The impact on quality of life can be significant among severely affected individuals, particularly those with retinitis or systemic effects, potentially leading to vision loss and chronic health complications.</t>
  </si>
  <si>
    <t>Valganciclovir has been shown to be effective in reducing the risk of CMV disease in transplant recipients and in treating active infections, with effectivity rates commonly reported above 80%.</t>
  </si>
  <si>
    <t>Generally well-tolerated, but may carry risks, especially in renal impairment or when used in combination with other drugs that affect bone marrow function.</t>
  </si>
  <si>
    <t>Common adverse events include myelosuppression (neutropenia), gastrointestinal disturbances (nausea, diarrhea), and liver function abnormalities. Rarely, it can cause serious effects like seizures or secondary infections.</t>
  </si>
  <si>
    <t>Approximate annual therapy costs can range from $20,000 to $30,000, depending on dosing and duration of treatment.</t>
  </si>
  <si>
    <t>Primarily used in adults and older children.</t>
  </si>
  <si>
    <t>No significant gender differences in prevalence or response; it affects both equally.</t>
  </si>
  <si>
    <t>Small molecule antiviral.</t>
  </si>
  <si>
    <t>K PHOSPHATE 155MG/NA BIPHOSPHATE 852MG/NA PHO</t>
  </si>
  <si>
    <t>Muscle weakness, bone pain, fatigue, irregular breathing, and in severe cases, fractures, rickets, or osteomalacia.</t>
  </si>
  <si>
    <t>Approximately 1 in 1,000 individuals in the USA.</t>
  </si>
  <si>
    <t>Poor quality of life associated with chronic symptoms, but can improve with treatment.</t>
  </si>
  <si>
    <t>High efficacy in correcting phosphate levels and alleviating symptoms when administered appropriately.</t>
  </si>
  <si>
    <t>Generally safe when used as directed; requires monitoring of serum phosphate levels.</t>
  </si>
  <si>
    <t>Diarrhea, nausea, abdominal pain, and in rare cases, hyperphosphatemia leading to vascular calcification.</t>
  </si>
  <si>
    <t>Approximately $500 to $1,500, depending on the formulation and treatment length.</t>
  </si>
  <si>
    <t>All age groups, commonly seen in children and adults.</t>
  </si>
  <si>
    <t>No significant gender bias; prevalence is similar across genders.</t>
  </si>
  <si>
    <t>Electrolyte supplement.</t>
  </si>
  <si>
    <t>LAMOTRIGINE (EQV-LAMICTAL XR) 25MG TAB,SA</t>
  </si>
  <si>
    <t>Seizures (convulsions, loss of consciousness), mood swings, episodes of mania, and depression</t>
  </si>
  <si>
    <t>Approximately 1% of the U.S. population has epilepsy; bipolar disorder has a prevalence of about 2.6%</t>
  </si>
  <si>
    <t>Variable; well-controlled epilepsy and bipolar disorder can lead to an improved quality of life, but uncontrolled symptoms can significantly impair daily functioning</t>
  </si>
  <si>
    <t>Approximately 60-70% of patients with epilepsy may achieve seizure control with lamotrigine as part of their treatment regimen; effective in mood stabilization for bipolar disorder during maintenance therapy</t>
  </si>
  <si>
    <t>Generally well-tolerated; common adverse effects are mild to moderate; monitoring required for skin rashes and other serious side effects</t>
  </si>
  <si>
    <t>Common: dizziness, headache, nausea, blurred vision; Serious: Stevens-Johnson syndrome, toxic epidermal necrolysis</t>
  </si>
  <si>
    <t>Estimated $5,000-$10,000 depending on dosage and insurance coverage</t>
  </si>
  <si>
    <t>Approved for use in adults and children aged 2 years and older</t>
  </si>
  <si>
    <t>No gender-specific efficacy or safety profile; used in all genders</t>
  </si>
  <si>
    <t>Anticonvulsant (small molecule) and mood stabilizer</t>
  </si>
  <si>
    <t>LAMOTRIGINE (EQV-LAMICTAL XR) 200MG TAB,SA</t>
  </si>
  <si>
    <t>In Epilepsy: recurrent seizures; in Bipolar Disorder: mood swings including mania and depression.</t>
  </si>
  <si>
    <t>Epilepsy: approximately 1.2% of the USA population (3 million individuals); Bipolar Disorder: about 2.8% of adults in the USA.</t>
  </si>
  <si>
    <t>Lamotrigine can significantly improve quality of life by reducing seizure frequency and stabilizing mood in bipolar patients.</t>
  </si>
  <si>
    <t>In epilepsy, efficacy is around 65% for seizure control; for bipolar disorder, particularly for maintaining mood stability in patients with bipolar I disorder, it is approximately 50-70%.</t>
  </si>
  <si>
    <t>Overall, lamotrigine is considered safe with a favorable side effect profile, though it requires monitoring due to potential side effects like rashes.</t>
  </si>
  <si>
    <t>Common adverse events include headache, dizziness, nausea, insomnia, and skin rashes; severe reactions can include Stevens-Johnson syndrome.</t>
  </si>
  <si>
    <t>Approximately $2,000 - $3,000, depending on insurance coverage and pharmacy costs.</t>
  </si>
  <si>
    <t>Approved for use in children ages 2 and older and adults.</t>
  </si>
  <si>
    <t>No significant gender differences noted in efficacy or safety.</t>
  </si>
  <si>
    <t>LAMOTRIGINE (EQV-LAMICTAL XR) 300MG TAB,SA</t>
  </si>
  <si>
    <t>For epilepsy, symptoms include recurrent seizures, which may manifest as convulsions, loss of consciousness, or unusual sensations. For bipolar disorder, symptoms include mood swings ranging from depressive lows to manic highs, irritability, and changes in sleep patterns.</t>
  </si>
  <si>
    <t>Approximately 1% of the population has epilepsy in the USA; bipolar disorder affects about 2.8% of adults.</t>
  </si>
  <si>
    <t>Patients often experience improvements in daily functioning and stability in mood or seizure control, but some may deal with ongoing challenges related to the disorders.</t>
  </si>
  <si>
    <t>Lamotrigine is effective in seizure control for epilepsy, typically reaching over 50% reduction in seizure frequency for many patients; it can also stabilize mood in bipolar disorder (efficacy rate around 60% for maintenance therapy).</t>
  </si>
  <si>
    <t>Generally well-tolerated; the risk of severe skin reactions (e.g., Stevens-Johnson syndrome) occurs in approximately 0.1-0.4% of patients, especially when dosage is increased too quickly.</t>
  </si>
  <si>
    <t>Common adverse events include dizziness, headache, insomnia, and gastrointestinal disturbances; serious adverse effects can include severe rash and idiosyncratic reactions.</t>
  </si>
  <si>
    <t>Approximately $1,200 to $1,800 per year, depending on insurance and dosing regimens.</t>
  </si>
  <si>
    <t>Approved for use in children (&gt;2 years), adolescents, and adults.</t>
  </si>
  <si>
    <t>No significant gender differences in efficacy or safety; both males and females are equally affected by epilepsy and bipolar disorder.</t>
  </si>
  <si>
    <t>AMIODARONE HCL (PACERONE) 200MG TAB</t>
  </si>
  <si>
    <t>Palpitations, dizziness, shortness of breath, chest pain, fatigue, and in severe cases, syncope</t>
  </si>
  <si>
    <t>Atrial fibrillation affects approximately 5 million people in the USA, with prevalence increasing with age; around 2-3% in the general population but can be as high as 10% in those over 80 years old</t>
  </si>
  <si>
    <t>Varies; AF can significantly reduce quality of life due to symptoms and the fear of stroke or other complications</t>
  </si>
  <si>
    <t>Amiodarone is effective in maintaining sinus rhythm in about 60-80% of patients with AF; also effective for rhythm control in patients with ventricular tachycardia</t>
  </si>
  <si>
    <t>Generally well-tolerated, but requires periodic monitoring due to potential for serious toxicity; risk-benefit should be evaluated for each patient</t>
  </si>
  <si>
    <t>Common adverse events include thyroid dysfunction (hyperthyroidism or hypothyroidism), pulmonary toxicity, liver dysfunction, and skin reactions; more serious but rare events include cardiotoxicity</t>
  </si>
  <si>
    <t>Approximately $2,500 - $3,500 per year depending on dosage and healthcare costs associated with monitoring</t>
  </si>
  <si>
    <t>Primarily adults; most commonly prescribed for individuals aged 65 and older</t>
  </si>
  <si>
    <t>More common in males, though effective in both genders</t>
  </si>
  <si>
    <t>Class III antiarrhythmic agent (small molecule)</t>
  </si>
  <si>
    <t>HYDROXYZINE PAMOATE 25MG CAP</t>
  </si>
  <si>
    <t>Symptoms of anxiety may include excessive worry, restlessness, fatigue, difficulty concentrating, irritability, muscle tension, and sleep disturbances. Allergic symptoms can include hives, itching, and skin rashes.</t>
  </si>
  <si>
    <t>Anxiety disorders affect approximately 19.1% of adults in the USA each year, while allergic conditions such as allergic rhinitis affect about 10-30% of the population.</t>
  </si>
  <si>
    <t>Anxiety disorders can significantly impair quality of life, with individuals often experiencing chronic stress, functional impairment, and reduced social interactions. Allergic conditions can also limit daily activities and impact overall well-being.</t>
  </si>
  <si>
    <t>Hydoxyine pamoate is effective for symptom relief in anxiety and its use in preoperative sedation is well-documented. The efficacy can vary but many patients report significant symptom reduction.</t>
  </si>
  <si>
    <t>Hydroxyzine is generally considered safe when used as directed; however, it should be used cautiously in the elderly and people with liver disease.</t>
  </si>
  <si>
    <t>Common adverse events include drowsiness, dry mouth, fatigue, dizziness, and headaches. Rare but serious adverse events can include arrhythmias and allergic reactions.</t>
  </si>
  <si>
    <t>The annual cost of Hydroxyzine pamoate can vary but is generally estimated at around $50-$200, depending on dosage and frequency.</t>
  </si>
  <si>
    <t>Suitable for adults and children; prescribing varies based on age and medical history.</t>
  </si>
  <si>
    <t>No significant gender differences reported in the efficacy of hydroxyzine; however, women are more likely to be diagnosed with anxiety disorders.</t>
  </si>
  <si>
    <t>Hydroxyzine pamoate is a small molecule antihistamine with anxiolytic and sedative properties.</t>
  </si>
  <si>
    <t>HYDROXYZINE PAMOATE 50MG CAP</t>
  </si>
  <si>
    <t>Anxiety, tension, itching, nausea, panic attacks, sleep disturbances, allergic reactions (e.g., rash, swelling)</t>
  </si>
  <si>
    <t>Approximately 18.1% of adults in the U.S. experience anxiety disorders in a given year; allergic conditions are prevalent in about 30% of the population at some point in their lives.</t>
  </si>
  <si>
    <t>Can significantly improve quality of life for patients with anxiety and allergic conditions; reduces symptoms that interfere with daily activities.</t>
  </si>
  <si>
    <t>Hydroxyzine is effective for both anxiety relief and as an antihistamine, with studies showing reductions in anxiety symptoms and allergic responses.</t>
  </si>
  <si>
    <t>Generally considered safe; low potential for abuse; can cause sedation and drowsiness, which may limit activities like driving.</t>
  </si>
  <si>
    <t>Common adverse events include drowsiness, dry mouth, dizziness, headache; rare but serious events may include allergic reactions and heart rhythm disturbances.</t>
  </si>
  <si>
    <t>Approximately $300-$600 per year, depending on dosage and insurance coverage.</t>
  </si>
  <si>
    <t>Approved for use in adults and children (generally over 6 years old).</t>
  </si>
  <si>
    <t>No significant gender differences in efficacy or safety noted, but prevalence rates may vary (higher in females for anxiety disorders).</t>
  </si>
  <si>
    <t>Small molecule (antihistamine, anxiolytic).</t>
  </si>
  <si>
    <t>RILUZOLE 50MG TAB</t>
  </si>
  <si>
    <t>Muscle weakness, difficulty speaking, swallowing issues, respiratory problems, muscle cramps, and stiffness.</t>
  </si>
  <si>
    <t>Approximately 5.4 cases per 100,000 people in the USA.</t>
  </si>
  <si>
    <t>Significantly impaired due to progressive muscle loss, dependence on caregivers, and decreased physical and respiratory function.</t>
  </si>
  <si>
    <t>Riluzole extends survival and the time to the need for tracheostomy by about 2-3 months on average.</t>
  </si>
  <si>
    <t>Generally well-tolerated; however, regular monitoring is required due to potential liver function impacts.</t>
  </si>
  <si>
    <t>Common adverse events include nausea, diarrhea, abdominal pain, somnolence, and elevated liver enzymes.</t>
  </si>
  <si>
    <t>Approximately $10,000 - $30,000 per year.</t>
  </si>
  <si>
    <t>Most commonly diagnosed in adults aged 40–70 years.</t>
  </si>
  <si>
    <t>More prevalent in males, with a male to female ratio of approximately 1.5:1.</t>
  </si>
  <si>
    <t>Small molecule drug.</t>
  </si>
  <si>
    <t>RISPERIDONE 4MG TAB</t>
  </si>
  <si>
    <t>Approximately 1.1% of the adult population in the USA for schizophrenia and 2.8% for bipolar disorder</t>
  </si>
  <si>
    <t>Varies; untreated psychiatric conditions significantly reduce quality of life; improvement seen with treatment</t>
  </si>
  <si>
    <t>60-70% response rate for schizophrenia; effective in managing symptoms of bipolar disorder</t>
  </si>
  <si>
    <t>Generally considered safe, though monitoring for metabolic side effects and extrapyramidal symptoms is essential</t>
  </si>
  <si>
    <t>Common: weight gain, sedation, extrapyramidal symptoms, metabolic syndrome; severe: neuroleptic malignant syndrome, tardive dyskinesia</t>
  </si>
  <si>
    <t>Approximately $3,000 - $5,000 (depending on insurance and treatment duration)</t>
  </si>
  <si>
    <t>Approved for use in adults (18+) and children (5+) in certain conditions</t>
  </si>
  <si>
    <t>Affects both genders, but may have varying side effects and disease prevalence rates</t>
  </si>
  <si>
    <t>TRAZODONE HCL 50MG TAB</t>
  </si>
  <si>
    <t>Low mood, loss of interest in activities, changes in appetite, fatigue, feelings of worthlessness, difficulty concentrating, agitation or slowing down, sleep disturbances (insomnia or hypersomnia), anxiety.</t>
  </si>
  <si>
    <t>Approximately 7% of the adult population in the USA experience MDD in a given year; anxiety disorders affect about 19% of American adults.</t>
  </si>
  <si>
    <t>Can improve quality of life significantly for those with depression and anxiety disorders, enhancing social and occupational functioning.</t>
  </si>
  <si>
    <t>Effective in alleviating symptoms of depression and anxiety; response rates can be around 60-70%.</t>
  </si>
  <si>
    <t>Generally well-tolerated with a favorable safety profile; however, monitoring for side effects is advisable.</t>
  </si>
  <si>
    <t>Drowsiness, dizziness, dry mouth, headache, nausea, blurred vision, and, in rare cases, seratonin syndrome.</t>
  </si>
  <si>
    <t>Approximately $200 - $1,500, depending on insurance and dosage.</t>
  </si>
  <si>
    <t>Primarily adults aged 18-65; however, it can be prescribed for older adults.</t>
  </si>
  <si>
    <t>More frequently prescribed to women, reflecting higher rates of diagnosed depression and anxiety in females.</t>
  </si>
  <si>
    <t>Small molecule antidepressant (SARI - serotonin antagonist and reuptake inhibitor).</t>
  </si>
  <si>
    <t>DOXEPIN HCL 10MG/ML SOLN,ORAL</t>
  </si>
  <si>
    <t>Depression (persistent sadness, loss of interest in activities, fatigue, changes in sleep and appetite); Anxiety (excessive worry, restlessness, difficulty concentrating); Insomnia (difficulty falling or staying asleep)</t>
  </si>
  <si>
    <t>Approximately 7% of adults experience major depressive disorder in a given year; anxiety disorders affect about 19.1% of adults annually; insomnia affects about 30% of the adult population to some degree.</t>
  </si>
  <si>
    <t>Can significantly improve quality of life by reducing symptoms of depression, anxiety, and insomnia, leading to better functioning in daily activities.</t>
  </si>
  <si>
    <t>Showed efficacy in clinical studies for the treatment of depression, anxiety, and insomnia, with response rates typically around 50-60% for depression and anxiety.</t>
  </si>
  <si>
    <t>Generally well-tolerated; some patients may experience sedation, especially at higher doses; risk of exacerbating certain pre-existing conditions.</t>
  </si>
  <si>
    <t>Common adverse events include drowsiness, dry mouth, dizziness, and constipation; serious events could include risk of suicidal thoughts or severe allergic reactions.</t>
  </si>
  <si>
    <t>Estimated annual therapy costs range from $500 to $1,500 depending on insurance coverage and duration of treatment.</t>
  </si>
  <si>
    <t>Approved for adults, generally prescribed to those aged 18 and older.</t>
  </si>
  <si>
    <t>Effective for both genders; however, women are diagnosed with depression and anxiety disorders at higher rates than men.</t>
  </si>
  <si>
    <t>Small molecule; classified as a tricyclic antidepressant (TCA).</t>
  </si>
  <si>
    <t>OLANZAPINE 5MG TAB,RAPID DISINTEGRATING</t>
  </si>
  <si>
    <t>Hallucinations, delusions, disorganized thinking, mood swings, irritability, decreased need for sleep, and social withdrawal</t>
  </si>
  <si>
    <t>Schizophrenia affects approximately 1.1% of the adult population in the USA; bipolar disorder affects about 2.8% of adults at some point in their lives.</t>
  </si>
  <si>
    <t>Olanzapine can improve overall quality of life by reducing symptoms of schizophrenia and bipolar disorder, although it may also contribute to weight gain and metabolic issues.</t>
  </si>
  <si>
    <t>Studies suggest that olanzapine is effective in reducing symptoms in 65-70% of patients with schizophrenia and supports mood stabilization in bipolar disorder.</t>
  </si>
  <si>
    <t>Generally considered safe, but requires monitoring for metabolic side effects including weight gain and diabetes.</t>
  </si>
  <si>
    <t>Commonly reported adverse events include sedation, weight gain (approximately 7-10%), dry mouth, and dizziness. Less common but significant risks include increased blood sugar and lipid levels.</t>
  </si>
  <si>
    <t>Estimated average annual costs for olanzapine therapy range from $4,000 to $6,000.</t>
  </si>
  <si>
    <t>Primarily prescribed for adults (18-65 years); may be used in adolescents (13-17 years) for bipolar disorder.</t>
  </si>
  <si>
    <t>Schizophrenia and bipolar disorder can affect both genders similarly, although prevalence rates may differ slightly within research studies.</t>
  </si>
  <si>
    <t>OLANZAPINE 10MG TAB,RAPID DISINTEGRATING</t>
  </si>
  <si>
    <t>Hallucinations, delusions, disorganized thinking, mood swings, mania, depression</t>
  </si>
  <si>
    <t>Approximately 1% for schizophrenia and about 2.8% for bipolar disorder in the USA</t>
  </si>
  <si>
    <t>Significant improvement in quality of life for many patients with effective treatment</t>
  </si>
  <si>
    <t>60-70% efficacy in reducing symptoms of schizophrenia and bipolar mania</t>
  </si>
  <si>
    <t>Generally well-tolerated; however, it requires monitoring for metabolic side effects.</t>
  </si>
  <si>
    <t>Weight gain, sedation, increased cholesterol, diabetes risk, extrapyramidal symptoms</t>
  </si>
  <si>
    <t>Approximately $6,000 to $10,000, depending on insurance coverage</t>
  </si>
  <si>
    <t>Adults, with use in adolescents in some cases</t>
  </si>
  <si>
    <t>Both males and females, with some studies indicating that women may experience more adverse effects</t>
  </si>
  <si>
    <t>OLANZAPINE 15MG TAB,RAPID DISINTEGRATING</t>
  </si>
  <si>
    <t>Hallucinations, delusions, disorganized thinking, mood swings, manic episodes, depressive episodes</t>
  </si>
  <si>
    <t>Significantly improved with effective treatment; however, may still experience functional impairments</t>
  </si>
  <si>
    <t>Effective in reducing psychotic symptoms and stabilizing mood in patients with bipolar disorder, with response rates often exceeding 50%</t>
  </si>
  <si>
    <t>Generally well tolerated; however, careful monitoring is needed for metabolic side effects</t>
  </si>
  <si>
    <t>Weight gain, sedation, metabolic syndrome, and extrapyramidal symptoms</t>
  </si>
  <si>
    <t>Approximately $1,200 to $3,600 depending on dosage and insurance coverage</t>
  </si>
  <si>
    <t>Primarily adults (age 18-65), but can be used in adolescents (ages 13-17) under specific circumstances</t>
  </si>
  <si>
    <t>Affects both males and females, though some studies suggest variations in side effects between genders</t>
  </si>
  <si>
    <t>ZAFEMY</t>
  </si>
  <si>
    <t>Excessive daytime sleepiness, cataplexy (sudden loss of muscle tone), sleep paralysis, hypnagogic hallucinations</t>
  </si>
  <si>
    <t>Approximately 0.02% of the population in the USA</t>
  </si>
  <si>
    <t>Significantly diminished; affects daily functioning, work performance, and social activities</t>
  </si>
  <si>
    <t>Generally well-studied; shows improvement in wakefulness and reduction in cataplexy in many patients</t>
  </si>
  <si>
    <t>Generally well-tolerated with a good safety profile</t>
  </si>
  <si>
    <t>Insomnia, headache, nausea, anxiety, and increased risk of psychiatric symptoms</t>
  </si>
  <si>
    <t>Approximately $8,000 - $12,000 depending on the dosing and insurance coverage</t>
  </si>
  <si>
    <t>Primarily affects adolescents and young adults (typically diagnosed between 7-25 years)</t>
  </si>
  <si>
    <t>Affects both genders equally, but some studies suggest a slight female predominance</t>
  </si>
  <si>
    <t>Small molecule (specifically a wake-promoting agent)</t>
  </si>
  <si>
    <t>ESCITALOPRAM OXALATE 5MG/5ML LIQUID,ORAL</t>
  </si>
  <si>
    <t>Persistent sadness, loss of interest or pleasure, fatigue, changes in appetite or weight, difficulty concentrating, increased anxiety, restlessness, irritability</t>
  </si>
  <si>
    <t>Approximately 7% of adults in the USA have had at least one major depressive episode in the past year; anxiety disorders are among the most common mental health conditions, affecting about 19% of adults annually.</t>
  </si>
  <si>
    <t>Escitalopram can significantly improve quality of life by reducing symptoms of depression and anxiety, though individual responses may vary.</t>
  </si>
  <si>
    <t>Clinical studies suggest that escitalopram is effective in reducing symptoms of depression and anxiety, with response rates ranging from 50-70%.</t>
  </si>
  <si>
    <t>Generally considered safe with a favorable side effect profile; however, long-term use and interactions with other medications should be monitored.</t>
  </si>
  <si>
    <t>Common adverse events include nausea, fatigue, dry mouth, insomnia, sexual dysfunction, and weight gain; serious adverse events are rare.</t>
  </si>
  <si>
    <t>The estimated cost for escitalopram is around $600 - $1,200 per year, depending on insurance coverage and pharmacy pricing.</t>
  </si>
  <si>
    <t>Approved for use in adults and adolescents aged 12 to 17.</t>
  </si>
  <si>
    <t>More commonly prescribed to women, as they are more likely to report depressive and anxiety symptoms.</t>
  </si>
  <si>
    <t>CLOBAZAM 10MG TAB,ORAL</t>
  </si>
  <si>
    <t>Frequent seizures, developmental delays, difficulty concentrating, behavioral problems</t>
  </si>
  <si>
    <t>Approximately 4-10% of epilepsy cases in the USA; LGS affects 2-5 per 10,000 children</t>
  </si>
  <si>
    <t>Significantly impacted due to frequent seizures, developmental challenges, and associated behavioral difficulties; may require intensive medical care and support</t>
  </si>
  <si>
    <t>Effective in reducing the frequency of seizures in LGS; studies show significant reductions in seizure frequency for many patients</t>
  </si>
  <si>
    <t>Generally well-tolerated; safety profile indicates a low incidence of severe adverse effects; requires monitoring for any changes in mental status or seizure activity</t>
  </si>
  <si>
    <t>Common adverse events include somnolence (drowsiness), fatigue, ataxia (lack of muscle coordination), and irritability; risk of dependence and withdrawal symptoms if discontinued abruptly</t>
  </si>
  <si>
    <t>Approximately $10,000 - $15,000 per year, depending on insurance coverage and pharmacy pricing</t>
  </si>
  <si>
    <t>Primarily used in children and adolescents (often ages 1-18 years)</t>
  </si>
  <si>
    <t>No significant gender differences reported in usage or efficacy</t>
  </si>
  <si>
    <t>CLOBAZAM 20MG TAB,ORAL</t>
  </si>
  <si>
    <t>Recurrent seizures, developmental delays, behavioral issues, cognitive dysfunction</t>
  </si>
  <si>
    <t>Approximately 1 in 50,000 to 1 in 100,000 for Lennox-Gastaut syndrome in children, overall epilepsy prevalence is around 1% in the USA</t>
  </si>
  <si>
    <t>Significantly impacts the quality of life due to frequent seizures and associated cognitive and behavioral issues</t>
  </si>
  <si>
    <t>Studies demonstrate a reduction in seizure frequency by approximately 50% in 30-40% of treated patients</t>
  </si>
  <si>
    <t>Generally well-tolerated; however, monitoring for central nervous system depression is advised</t>
  </si>
  <si>
    <t>Common adverse events include sedation, dizziness, behavioral changes, fatigue, and ataxia</t>
  </si>
  <si>
    <t>Approximately $2,500 to $6,000 per year without insurance, depending on insurance coverage</t>
  </si>
  <si>
    <t>Approved for use in children aged 2 years and older and adults</t>
  </si>
  <si>
    <t>Small molecule anticonvulsant, benzodiazepine derivative</t>
  </si>
  <si>
    <t>ALTAVERA TAB,28</t>
  </si>
  <si>
    <t>Symptoms of schizophrenia include delusions, hallucinations, disorganized thinking, and negative symptoms such as apathy. Bipolar I disorder symptoms can include manic episodes (elevated mood, increased energy) and depressive episodes (sadness, fatigue).</t>
  </si>
  <si>
    <t>Schizophrenia affects approximately 1% of the US population, while bipolar disorder affects about 2.8% of adults in the US.</t>
  </si>
  <si>
    <t>Patients with schizophrenia often experience significant impairments in quality of life due to symptoms, stigma, and social isolation. Those with bipolar disorder also face challenges in maintaining stable relationships and employment.</t>
  </si>
  <si>
    <t>Lurasidone is effective in reducing symptoms of schizophrenia and is associated with improvement in mood and functioning in bipolar disorder. Clinical studies report efficacy rates ranging from 70-80% in symptom reduction.</t>
  </si>
  <si>
    <t>Generally well-tolerated, with a safety profile that includes metabolic monitoring. Safety during pregnancy and lactation requires consideration.</t>
  </si>
  <si>
    <t>Common adverse events include sedation, weight gain, akathisia, and gastrointestinal symptoms. Serious events may include tardive dyskinesia and increased risk of suicidal thoughts.</t>
  </si>
  <si>
    <t>The annual cost for ALTAVERA (Lurasidone) can range from $5,000 to $10,000 depending on insurance coverage and pharmacy pricing.</t>
  </si>
  <si>
    <t>Approved for adults (ages 18-64) and adolescents (ages 13-17) in the context of bipolar disorder.</t>
  </si>
  <si>
    <t>Schizophrenia affects men slightly more than women, whereas bipolar disorder affects both genders nearly equally.</t>
  </si>
  <si>
    <t>SODIUM CHLORIDE 0.9% INJ,BAG,100ML</t>
  </si>
  <si>
    <t>Thirst, dry mouth, fatigue, dizziness, confusion, low blood pressure</t>
  </si>
  <si>
    <t>Approximately 3% of the U.S. population suffers from dehydration-related issues annually</t>
  </si>
  <si>
    <t>Can significantly improve quality of life when restoring hydration and electrolyte balance</t>
  </si>
  <si>
    <t>Highly effective for rehydration and restoring electrolyte balance</t>
  </si>
  <si>
    <t>Generally considered safe; typically well-tolerated in appropriate doses</t>
  </si>
  <si>
    <t>Rarely includes fluid overload, hypertension, or electrolyte imbalances</t>
  </si>
  <si>
    <t>Approximately $200 - $500 depending on usage and healthcare settings</t>
  </si>
  <si>
    <t>All age groups</t>
  </si>
  <si>
    <t>Electrolyte solution (IV solution)</t>
  </si>
  <si>
    <t>SODIUM CHLORIDE 0.9% INJ,BAG,250ML</t>
  </si>
  <si>
    <t>Thirst, dry mouth, decreased urine output, fatigue, dizziness, confusion, seizures in severe cases</t>
  </si>
  <si>
    <t>Varies; dehydration can affect up to 20% of hospitalized patients in the USA, especially the elderly</t>
  </si>
  <si>
    <t>Generally improves life quality when used to restore fluid balance, critical in emergency care</t>
  </si>
  <si>
    <t>Highly effective for fluid and electrolyte replenishment</t>
  </si>
  <si>
    <t>Generally safe; considered standard of care for fluid management</t>
  </si>
  <si>
    <t>Rare; may include fluid overload, electrolyte imbalances, or local irritation at the injection site</t>
  </si>
  <si>
    <t>Approximately $100 to $300 depending on usage and setting</t>
  </si>
  <si>
    <t>All age groups, with special considerations for the elderly and very young</t>
  </si>
  <si>
    <t>No gender preference; used equally among genders</t>
  </si>
  <si>
    <t>Electrolyte replacement solution (crystalloid fluid therapy)</t>
  </si>
  <si>
    <t>SODIUM CHLORIDE 0.9% INJ,BAG,1000ML</t>
  </si>
  <si>
    <t>Thirst, dry mouth, reduced urine output, fatigue, dizziness, confusion, muscle cramps</t>
  </si>
  <si>
    <t>Dehydration affects approximately 1-2% of the population annually, with higher prevalence in vulnerable populations such as the elderly and infants. Electrolyte imbalances are common in various medical conditions and can prevalence between 5-20% in hospitalized patients.</t>
  </si>
  <si>
    <t>High impact on quality of life in severe cases, particularly in the elderly or those with chronic illnesses. Mild cases may be manageable without significant life disruption.</t>
  </si>
  <si>
    <t>Highly effective for rehydration and correction of electrolyte imbalances when used as directed.</t>
  </si>
  <si>
    <t>Generally considered safe when administered as directed; contains no preservatives or additives.</t>
  </si>
  <si>
    <t>Rare; potential for fluid overload or electrolyte disturbances if administered incorrectly or in large volumes.</t>
  </si>
  <si>
    <t>Approximately $200-$500 depending on dosage and frequency of administration in clinical settings.</t>
  </si>
  <si>
    <t>All age groups; particularly important for infants, children, and elderly populations.</t>
  </si>
  <si>
    <t>Affects all genders equally; no specific gender-related considerations.</t>
  </si>
  <si>
    <t>Electrolyte solution (isotonic saline solution).</t>
  </si>
  <si>
    <t>ARRANON 250MG/50ML INJ</t>
  </si>
  <si>
    <t>Fever, fatigue, easy bruising or bleeding, frequent infections, pallor, shortness of breath, bone pain, and swollen lymph nodes.</t>
  </si>
  <si>
    <t>Approximately 4.2 cases per 100,000 people per year in the USA, with an estimated 5,000 new cases diagnosed annually.</t>
  </si>
  <si>
    <t>Quality of life can be significantly impacted during treatment due to symptoms of the disease and side effects of therapy, but many patients achieve remission and have improved outcomes post-treatment.</t>
  </si>
  <si>
    <t>Efficacy of Arranon (asparaginase) is noted to be around 60-80% in achieving remission when used as part of a multi-drug regimen for ALL.</t>
  </si>
  <si>
    <t>Generally well-tolerated; however, there are risks associated with hypersensitivity reactions, particularly in patients with a previous history of asparaginase use.</t>
  </si>
  <si>
    <t>Common adverse events include pancreatitis, clotting disorders, liver dysfunction, and allergic reactions.</t>
  </si>
  <si>
    <t>The cost for a year of treatment can range from $50,000 to $100,000, depending on the treatment regimen and supportive care needed.</t>
  </si>
  <si>
    <t>Primarily used in children and young adults, typically under the age of 30.</t>
  </si>
  <si>
    <t>Both genders are affected, but there is a slightly higher prevalence in males compared to females.</t>
  </si>
  <si>
    <t>Small molecule (asparaginase).</t>
  </si>
  <si>
    <t>DUREZOL 0.05% EMULSION,OPH</t>
  </si>
  <si>
    <t>Eye pain, redness, blurred vision, light sensitivity, floaters</t>
  </si>
  <si>
    <t>Approximately 38 cases per 100,000 people annually in the USA</t>
  </si>
  <si>
    <t>Significant impact on quality of life due to symptoms and potential complications</t>
  </si>
  <si>
    <t>Highly effective in reducing inflammation associated with uveitis</t>
  </si>
  <si>
    <t>Generally well-tolerated when used as directed; systemic absorption is minimal</t>
  </si>
  <si>
    <t>Potential for increased intraocular pressure, cataract formation, and local irritation</t>
  </si>
  <si>
    <t>Approximately $1,500 to $3,000</t>
  </si>
  <si>
    <t>Most commonly prescribed for adults, but can be used in children as well</t>
  </si>
  <si>
    <t>Affects both genders equally, but certain underlying conditions may exhibit a higher prevalence in one gender</t>
  </si>
  <si>
    <t>Corticosteroid (topical ophthalmic emulsion)</t>
  </si>
  <si>
    <t>TRIAMCINOLONE ACETONIDE 0.5% CREAM,TOP</t>
  </si>
  <si>
    <t>Redness, itching, swelling, irritation, and desquamation of the skin</t>
  </si>
  <si>
    <t>Approximately 10% of the U.S. population experiences some form of dermatitis</t>
  </si>
  <si>
    <t>Can significantly impact quality of life due to discomfort and visibility of symptoms, particularly in severe cases</t>
  </si>
  <si>
    <t>Generally effective; studies show about 70-90% of patients experience improvement in symptoms</t>
  </si>
  <si>
    <t>Generally well-tolerated; long-term use may lead to skin thinning or systemic absorption issues in sensitive areas</t>
  </si>
  <si>
    <t>Possible local burning, itching, dryness, and potential skin atrophy with prolonged use</t>
  </si>
  <si>
    <t>Approximately $200-$500 depending on insurance coverage and frequency of use</t>
  </si>
  <si>
    <t>All ages, commonly used in both children and adults</t>
  </si>
  <si>
    <t>CLINDAMYCIN PO4 2% CREAM, VAG</t>
  </si>
  <si>
    <t>Abnormal vaginal discharge, fishy odor, irritation, itching, and sometimes discomfort during intercourse.</t>
  </si>
  <si>
    <t>Can lead to discomfort and psychological distress, affecting interpersonal relationships and sexual health, but usually resolves with treatment.</t>
  </si>
  <si>
    <t>Clindamycin cream is effective in treating bacterial vaginosis with a cure rate of approximately 80-90%.</t>
  </si>
  <si>
    <t>Generally safe when used as directed, but caution is advised for those with a history of hypersensitivity to clindamycin.</t>
  </si>
  <si>
    <t>Common adverse events include local irritation, itching, and burning; rare serious events include severe allergic reactions.</t>
  </si>
  <si>
    <t>Approximately $300-500 depending on the pharmacy and insurance coverage.</t>
  </si>
  <si>
    <t>Typically used in adult women, especially those aged 18-45.</t>
  </si>
  <si>
    <t>Primarily used in females.</t>
  </si>
  <si>
    <t>Antibiotic (topical formulation).</t>
  </si>
  <si>
    <t>METRONIDAZOLE 0.75% LOTION</t>
  </si>
  <si>
    <t>Vaginal discharge, itching, burning sensation, and odor (for bacterial vaginosis); skin redness, burning, and inflammation (for dermatological applications)</t>
  </si>
  <si>
    <t>Approximately 30% of women in the USA experience bacterial vaginosis at some point in their lives</t>
  </si>
  <si>
    <t>Can significantly impact daily activities, relationships, and mental health if left untreated</t>
  </si>
  <si>
    <t>80-90% effective in treating bacterial vaginosis when used as directed</t>
  </si>
  <si>
    <t>Generally safe for topical use; recommended for adult and pediatric patients over 12 years old</t>
  </si>
  <si>
    <t>Possible local reactions such as itching, burning, skin rash, or dryness; systemic effects rare</t>
  </si>
  <si>
    <t>Approximately $200-$500, depending on insurance and pharmacy pricing</t>
  </si>
  <si>
    <t>Primarily used in adults and adolescents, 12 years and older</t>
  </si>
  <si>
    <t>Predominantly in females, given its association with vaginal infections</t>
  </si>
  <si>
    <t>Topical antibiotic (small molecules)</t>
  </si>
  <si>
    <t>ESTRADIOL 0.025MG/DAY (EQV-CLIMARA) PATCH</t>
  </si>
  <si>
    <t>Hot flashes, night sweats, vaginal dryness, mood swings, sleep disturbances</t>
  </si>
  <si>
    <t>Approximately 6,000 women in the USA reach menopause each day, with many experiencing symptoms that may require treatment.</t>
  </si>
  <si>
    <t>ESTRADIOL patches can significantly improve quality of life for women experiencing menopausal symptoms, increasing comfort and well-being.</t>
  </si>
  <si>
    <t>ESTRADIOL patches are effective in alleviating moderate to severe menopausal symptoms, with over 75% of women reporting symptom relief after use.</t>
  </si>
  <si>
    <t>Generally considered safe when used correctly; however, there are contraindications and potential risks that must be monitored, especially in women with a history of hormone-sensitive cancers.</t>
  </si>
  <si>
    <t>Possible adverse events include nausea, headache, breast tenderness, and increased risk of blood clots.</t>
  </si>
  <si>
    <t>Approximately $500 to $1,200 depending on dosage and insurance coverage.</t>
  </si>
  <si>
    <t>Primarily used in women aged 45-65 (typical age range for menopause).</t>
  </si>
  <si>
    <t>Hormone replacement therapy (HRT) - specifically a small molecule hormone therapy.</t>
  </si>
  <si>
    <t>ESTRADIOL 0.0375MG/DAY (EQV-CLIMARA) PATCH</t>
  </si>
  <si>
    <t>Hot flashes, night sweats, vaginal dryness, mood changes, sleep disturbances</t>
  </si>
  <si>
    <t>Approximately 50 million women in the USA are postmenopausal; around 75-80% experience menopausal symptoms</t>
  </si>
  <si>
    <t>Many women report significantly improved quality of life when treated for menopausal symptoms with estrogen therapy</t>
  </si>
  <si>
    <t>Effective for relieving menopausal symptoms; can reduce hot flashes by approximately 75-90% in many women</t>
  </si>
  <si>
    <t>Generally considered safe for short-term use; long-term use may be associated with risks such as stroke, thrombosis, and breast cancer</t>
  </si>
  <si>
    <t>Common adverse events include nausea, headache, breast tenderness, and weight gain; serious risks may include breast cancer and endometrial hyperplasia</t>
  </si>
  <si>
    <t>Estimated to be $1,200 to $2,500 per year, depending on insurance and brand</t>
  </si>
  <si>
    <t>Mainly used in women aged 45-65, typically during perimenopause and postmenopause</t>
  </si>
  <si>
    <t>Hormone replacement therapy (HRT), specifically a transdermal estrogen patch</t>
  </si>
  <si>
    <t>ARMODAFINIL 50MG TAB</t>
  </si>
  <si>
    <t>Excessive daytime sleepiness, sudden episodes of sleep, cataplexy (sudden loss of muscle tone), sleep paralysis, hallucinations</t>
  </si>
  <si>
    <t>Significantly impacted due to sleep disturbances; individuals may struggle with daily activities and employment</t>
  </si>
  <si>
    <t>Approximately 60-70% improvement in excessive daytime sleepiness for treated patients</t>
  </si>
  <si>
    <t>Generally well-tolerated; considered safe for most patients when used as prescribed</t>
  </si>
  <si>
    <t>Headache, nausea, anxiety, insomnia, dizziness, dry mouth</t>
  </si>
  <si>
    <t>Approximately $1,500 - $3,500</t>
  </si>
  <si>
    <t>Primarily adults (18-65 years), but can also affect children and adolescents</t>
  </si>
  <si>
    <t>Affects both genders, but may be slightly more common in males</t>
  </si>
  <si>
    <t>Small molecules (stimulant)</t>
  </si>
  <si>
    <t>ARMODAFINIL 150MG TAB</t>
  </si>
  <si>
    <t>Excessive daytime sleepiness, disrupted nighttime sleep, cataplexy (sudden loss of muscle tone), sleep paralysis, and hallucinations.</t>
  </si>
  <si>
    <t>Approximately 0.05% for Narcolepsy; Obstructive Sleep Apnea affects about 25% of adults in the USA.</t>
  </si>
  <si>
    <t>Patients often experience impaired daily functioning, difficulties in maintaining employment, and decreased overall well-being, leading to a poor quality of life.</t>
  </si>
  <si>
    <t>Armodafinil is effective in reducing excessive daytime sleepiness, with studies showing improvements in wakefulness and functionality measured by the Epworth Sleepiness Scale.</t>
  </si>
  <si>
    <t>Generally well-tolerated; considered safe when used as prescribed.</t>
  </si>
  <si>
    <t>Common adverse events include headaches (up to 20%), nausea, dizziness, insomnia, and anxiety. Serious adverse events may include skin rashes and hypersensitivity reactions.</t>
  </si>
  <si>
    <t>Approximately $1,500 to $3,000 per year, depending on insurance and therapy adherence.</t>
  </si>
  <si>
    <t>Primarily prescribed for adults ages 18-65, though it may be used outside this age range in specific cases.</t>
  </si>
  <si>
    <t>Affects both genders, though studies suggest a higher prevalence in males for Narcolepsy.</t>
  </si>
  <si>
    <t>Small molecule (stimulant).</t>
  </si>
  <si>
    <t>ARMODAFINIL 200MG TAB</t>
  </si>
  <si>
    <t>Excessive daytime sleepiness, sudden sleep attacks, disrupted nighttime sleep, cataplexy (sudden loss of muscle tone), sleep paralysis, hypnagogic hallucinations.</t>
  </si>
  <si>
    <t>Approximately 0.05% to 0.1% of the population in the USA.</t>
  </si>
  <si>
    <t>Significantly impaired due to constant fatigue, disruptions in work and social life, and potential safety concerns (e.g., risk of accidents).</t>
  </si>
  <si>
    <t>60% to 80% of patients report improved wakefulness and reduced daytime sleepiness after treatment.</t>
  </si>
  <si>
    <t>Generally well-tolerated; considered safe for chronic use under medical supervision.</t>
  </si>
  <si>
    <t>Headache (16%), nausea (9%), dizziness (7%), insomnia (5%), anxiety (5%). Rarely, serious skin reactions or psychiatric symptoms.</t>
  </si>
  <si>
    <t>Approximately $3,000 to $5,000 per year depending on insurance coverage and pharmacy pricing.</t>
  </si>
  <si>
    <t>Adults aged 18 to 64 years; can be prescribed to younger patients with appropriate caution.</t>
  </si>
  <si>
    <t>No significant gender differences in prescribing or efficacy; affects both males and females.</t>
  </si>
  <si>
    <t>ARMODAFINIL 250MG TAB</t>
  </si>
  <si>
    <t>Excessive daytime sleepiness, fatigue, disrupted nighttime sleep, cataplexy (sudden loss of muscle tone), insomnia (in some cases)</t>
  </si>
  <si>
    <t>Approximately 0.02% to 0.05% for narcolepsy; prevalence for obstructive sleep apnea is around 2% to 4% in the general population</t>
  </si>
  <si>
    <t>Significantly improved in patients with narcolepsy and OSA when effectively treated, leading to better functioning in daily activities and improvements in mood and productivity</t>
  </si>
  <si>
    <t>Effective in reducing excessive daytime sleepiness; studies show improvement in sleep latency and overall alertness (often 30% to 40% improvement)</t>
  </si>
  <si>
    <t>Generally well-tolerated; considered a safer alternative to traditional stimulants</t>
  </si>
  <si>
    <t>Headache, nausea, dizziness, insomnia, anxiety, potential for drug dependence (rare)</t>
  </si>
  <si>
    <t>Approximately $1,500 to $3,000 depending on insurance coverage and dosage</t>
  </si>
  <si>
    <t>Primarily adults (18-64 years), but can be used in adolescents (age 16-17)</t>
  </si>
  <si>
    <t>No significant gender differences in response, but narcolepsy diagnosis has been somewhat more common in males than females</t>
  </si>
  <si>
    <t>Wakefulness-promoting agent (stimulant)</t>
  </si>
  <si>
    <t>HC 1%/N-MYCIN 3.5MG/POLYMYX 10000UNT/ML SUSP,</t>
  </si>
  <si>
    <t>Redness, pain, blurred vision, excessive tearing, sensitivity to light, discharge</t>
  </si>
  <si>
    <t>Approximately 1-2 cases per 1,000 individuals annually in the USA</t>
  </si>
  <si>
    <t>Can significantly affect daily activities and overall well-being due to discomfort and potential vision impairment</t>
  </si>
  <si>
    <t>Generally effective in treating bacterial eye infections and providing symptom relief when used as directed</t>
  </si>
  <si>
    <t>Considered safe for short-term use with appropriate monitoring</t>
  </si>
  <si>
    <t>Possible local irritation, burning sensation, allergic reactions, and potential for secondary infections</t>
  </si>
  <si>
    <t>Estimated around $500-$1,000 depending on the treatment duration and healthcare provider fees</t>
  </si>
  <si>
    <t>Adults and children (specific formulations may be authorized for children)</t>
  </si>
  <si>
    <t>Combination therapy (antibiotic and corticosteroid)</t>
  </si>
  <si>
    <t>NARCAN NASAL SPRAY 4MG</t>
  </si>
  <si>
    <t>Respiratory depression, unconsciousness, pinpoint pupils, blue lips or fingertips, slow or absent breathing.</t>
  </si>
  <si>
    <t>Approximately 1.6 million opioid overdose deaths reported with almost 100,000 deaths in the USA annually (2021 data).</t>
  </si>
  <si>
    <t>Significant improvements in quality of life for those revived from overdose; however, many experience ongoing substance use disorders.</t>
  </si>
  <si>
    <t>Highly effective in reversing opioid overdoses, with studies showing success rates exceeding 90% when administered promptly.</t>
  </si>
  <si>
    <t>Generally considered very safe with a favorable risk profile. Naloxone (active ingredient) has no effect if opioids are not present.</t>
  </si>
  <si>
    <t>Symptoms may include withdrawal (nausea, vomiting, agitation), but serious adverse events are rare.</t>
  </si>
  <si>
    <t>Naloxone nasal spray costs approximately $150 to $200 for the two-pack (cost can vary by insurance and availability).</t>
  </si>
  <si>
    <t>All age groups; particularly relevant for adults and adolescents.</t>
  </si>
  <si>
    <t>Affects all genders, though prevalence may vary with demographic factors in opioid use.</t>
  </si>
  <si>
    <t>Opioid antagonist (nasal spray formulation).</t>
  </si>
  <si>
    <t>CYSVIEW 100MG/VIL</t>
  </si>
  <si>
    <t>Blood in urine (hematuria), frequent urination, painful urination, pelvic pain, back pain</t>
  </si>
  <si>
    <t>Approximately 74,000 new cases diagnosed per year in the USA</t>
  </si>
  <si>
    <t>Quality of life can be significantly impacted due to symptoms, treatment side effects, and psychological burden; however, early-stage treatment can lead to better outcomes and improved quality of life.</t>
  </si>
  <si>
    <t>85% in detecting bladder cancer during surveillance post-treatment</t>
  </si>
  <si>
    <t>Considered safe with appropriate usage; not associated with systemic toxicities</t>
  </si>
  <si>
    <t>Local irritation, dysuria, urinary urgency, hematuria, bladder spasms</t>
  </si>
  <si>
    <t>Approximately $35,000 - $50,000 depending on treatment modality</t>
  </si>
  <si>
    <t>Most common in individuals aged 65-74</t>
  </si>
  <si>
    <t>More prevalent in males (3:1 ratio male to female)</t>
  </si>
  <si>
    <t>Diagnostic agent (not a treatment drug; used for intravesical administration)</t>
  </si>
  <si>
    <t>PERIOGARD ORAL RINSE</t>
  </si>
  <si>
    <t>Swelling and redness of the gums, bleeding during brushing or flossing, bad breath, gum recession, and loose teeth</t>
  </si>
  <si>
    <t>Approximately 47.2% of adults aged 30 and older have some form of periodontal disease in the USA.</t>
  </si>
  <si>
    <t>Poor oral health can significantly impact quality of life, affecting eating, social interactions, and self-esteem.</t>
  </si>
  <si>
    <t>Efficacy in reducing gingivitis was demonstrated in clinical studies, showing a reduction in plaque accumulation and inflammation.</t>
  </si>
  <si>
    <t>Generally regarded as safe when used as directed; contains cetylpyridinium chloride, which can cause mild side effects.</t>
  </si>
  <si>
    <t>Temporary taste alteration, staining of teeth, and mild irritation of oral tissues.</t>
  </si>
  <si>
    <t>Costs can range from $100 to $300 per year depending on frequency of use, dental care, and additional treatments.</t>
  </si>
  <si>
    <t>Adults and children (age 12 and older), but primarily used in adults.</t>
  </si>
  <si>
    <t>Both genders are affected; however, prevalence may be slightly higher in males.</t>
  </si>
  <si>
    <t>Antiseptic mouth rinse (small molecules); contains cetylpyridinium chloride.</t>
  </si>
  <si>
    <t>PROVAYBLUE (METHYLENE BLUE) 0.5% INJ</t>
  </si>
  <si>
    <t>Cyanosis (bluish discoloration of the skin), shortness of breath, fatigue, rapid heart rate, dizziness, headache.</t>
  </si>
  <si>
    <t>Methemoglobinemia is relatively rare, occurring in approximately 1-2 cases per 100,000 individuals in the USA.</t>
  </si>
  <si>
    <t>Quality of life can be significantly impaired during severe episodes, particularly if left untreated. Individuals may experience distressing symptoms that affect daily activities.</t>
  </si>
  <si>
    <t>Highly effective for treating acute methemoglobinemia, with rapid onset of action.</t>
  </si>
  <si>
    <t>Generally considered safe when used as directed, though it might cause some side effects.</t>
  </si>
  <si>
    <t>Possible adverse events include transient discoloration of urine, nausea, vomiting, rash, and hemolysis in certain susceptible patients.</t>
  </si>
  <si>
    <t>Approximately $5,000 - $10,000 depending on the frequency and severity of occurrences.</t>
  </si>
  <si>
    <t>All age groups, but dosage may vary based on age and weight.</t>
  </si>
  <si>
    <t>No specific gender predilection; affects both males and females fairly equally.</t>
  </si>
  <si>
    <t>Small molecule (specifically a synthetic dye).</t>
  </si>
  <si>
    <t>PACLITAXEL PROTEIN-BOUND 100MG/VIL INJ</t>
  </si>
  <si>
    <t>Cough, chest pain, difficulty breathing, unexplained weight loss, jaundice, and other systemic symptoms related to cancer progression</t>
  </si>
  <si>
    <t>Approximately 250,000 new cases of breast cancer in the USA annually; among patients with metastatic disease, around 30-40% may be treated with paclitaxel-based therapies</t>
  </si>
  <si>
    <t>Varies greatly; some patients experience significant improvement with treatment, while others may face severe side effects that impact daily living. Quality of life is often measured using tools like the EORTC QLQ-C30</t>
  </si>
  <si>
    <t>Overall response rates range from 30% to 60% for metastatic breast cancer, varying by tumor type and previous therapies</t>
  </si>
  <si>
    <t>Generally considered safe, but carries risk of significant adverse events including neutropenia and neurotoxicity</t>
  </si>
  <si>
    <t>Common issues include nausea, vomiting, hair loss, peripheral neuropathy, and myelosuppression; rare but serious risks include hypersensitivity reactions and infections</t>
  </si>
  <si>
    <t>Approximately $9,000 to $15,000 (costs may vary based on insurance and dosage)</t>
  </si>
  <si>
    <t>Primarily adults, with most patients being 40 years and older</t>
  </si>
  <si>
    <t>Predominantly used in female patients due to its primary indication in breast cancer, but also used in male patients with other solid tumors</t>
  </si>
  <si>
    <t>Small molecules (specifically a taxane chemotherapy agent)</t>
  </si>
  <si>
    <t>COLUMVI 1MG/ML INJ,SOLN</t>
  </si>
  <si>
    <t>Fatigue, fever, easy bruising or bleeding, frequent infections, weight loss, and pale skin.</t>
  </si>
  <si>
    <t>Approximately 21,000 new cases per year in the USA (about 2.4 per 100,000 people).</t>
  </si>
  <si>
    <t>Quality of life can be significantly impacted due to the effects of both the disease and treatment, often resulting in fatigue and emotional distress.</t>
  </si>
  <si>
    <t>COLUMVI (generic name: columbopeg) has shown a significant response rate in clinical trials, leading to improvements in overall survival and remission rates for patients with AML.</t>
  </si>
  <si>
    <t>Generally well-tolerated, but the safety profile should be closely monitored, with a focus on potential bone marrow suppression.</t>
  </si>
  <si>
    <t>Common adverse events include injection site reactions, fatigue, and potential for serious adverse reactions such as infections due to neutropenia.</t>
  </si>
  <si>
    <t>Estimated annual therapy costs range from $100,000 to $150,000.</t>
  </si>
  <si>
    <t>Primarily approved for adults aged 18 and older.</t>
  </si>
  <si>
    <t>Generally affects both males and females, but more common in males.</t>
  </si>
  <si>
    <t>ERIVEDGE 150MG CAP</t>
  </si>
  <si>
    <t>A visible growth or ulceration on the skin, often with a pearly appearance, bleeding, or crusting.</t>
  </si>
  <si>
    <t>Approximately 4.3 million cases diagnosed per year in the USA.</t>
  </si>
  <si>
    <t>Patients can experience significant psychosocial distress due to the appearance of skin lesions and the potential for aggressive disease in rare cases.</t>
  </si>
  <si>
    <t>Clinical trials demonstrate approximately 60% to 80% overall response rates in patients with advanced basal cell carcinoma.</t>
  </si>
  <si>
    <t>Generally well tolerated, but can cause side effects; long-term safety is still being evaluated in some populations.</t>
  </si>
  <si>
    <t>Common adverse events include muscle spasms, hair loss, weight loss, and diarrhea. More serious adverse events are rare but may include cardiac effects.</t>
  </si>
  <si>
    <t>Approximately $120,000 - $150,000 per year, depending on dosing and treatment regimen.</t>
  </si>
  <si>
    <t>Primarily adults, generally over the age of 18.</t>
  </si>
  <si>
    <t>Both genders are affected, with a higher incidence in males.</t>
  </si>
  <si>
    <t>Small molecule (hedgehog signaling pathway inhibitor).</t>
  </si>
  <si>
    <t>LUNSUMIO 1MG/ML INJ,SOLN,30ML</t>
  </si>
  <si>
    <t>Enlarged lymph nodes, weight loss, fever, night sweats, fatigue</t>
  </si>
  <si>
    <t>Approximately 88,000 cases in the USA</t>
  </si>
  <si>
    <t>Varies significantly; many patients experience prolonged periods of symptom-free living but may face treatment-related side effects</t>
  </si>
  <si>
    <t>Approximately 75% response rate in treated patients</t>
  </si>
  <si>
    <t>Generally well-tolerated; monitoring required for immune-related adverse effects</t>
  </si>
  <si>
    <t>Fatigue, rash, infusion-related reactions, increased risk of infections</t>
  </si>
  <si>
    <t>Estimated at $100,000 - $150,000</t>
  </si>
  <si>
    <t>Primarily adults, median age at diagnosis ~65 years</t>
  </si>
  <si>
    <t>Slightly more common in males (about 55% male vs 45% female)</t>
  </si>
  <si>
    <t>Monoclonal antibody (anti-CD20)</t>
  </si>
  <si>
    <t>XOLAIR 150MG/ML INJ,AUTOINJECTOR,1ML</t>
  </si>
  <si>
    <t>Allergic Asthma</t>
  </si>
  <si>
    <t>Shortness of breath, wheezing, chest tightness, coughing, hives, itching, swelling</t>
  </si>
  <si>
    <t>Allergic Asthma affects approximately 8% of the US population; CIU prevalence is about 1%</t>
  </si>
  <si>
    <t>Significantly improved in patients receiving XOLAIR, leading to increased physical activity and reduced symptoms</t>
  </si>
  <si>
    <t>Reduction in asthma exacerbations by about 50% for adequately treated patients; CIU symptoms improved in over 70% of patients</t>
  </si>
  <si>
    <t>Generally well-tolerated; long-term safety has been established in clinical trials</t>
  </si>
  <si>
    <t>Common: injection site reactions, headache; Serious: anaphylaxis, eosinophilia</t>
  </si>
  <si>
    <t>Approximately $10,000 to $30,000 depending on frequency and dosage</t>
  </si>
  <si>
    <t>Approved for patients aged 6 years and older</t>
  </si>
  <si>
    <t>No significant gender differences; affects both males and females equally</t>
  </si>
  <si>
    <t>Monoclonal antibody (anti-IgE)</t>
  </si>
  <si>
    <t>GEMCITABINE 100MG/ML INJ,SOLN</t>
  </si>
  <si>
    <t>Jaundice, weight loss, abdominal pain, loss of appetite, nausea, fatigue, and digestive issues.</t>
  </si>
  <si>
    <t>Approximately 12.3 cases per 100,000 people annually in the USA for pancreatic cancer.</t>
  </si>
  <si>
    <t>Often significantly impacted due to pain, weight loss, and treatment side effects; average quality of life index can be low (around 40-50 out of 100).</t>
  </si>
  <si>
    <t>Generally, gemcitabine improves survival rates by a few months in advanced pancreatic cancer; complete response rates are low.</t>
  </si>
  <si>
    <t>Generally well tolerated; however, it requires monitoring due to potential for myelosuppression and organ toxicity.</t>
  </si>
  <si>
    <t>Common adverse events include nausea, vomiting, diarrhea, fatigue, and myelosuppression (neutropenia, thrombocytopenia).</t>
  </si>
  <si>
    <t>Approx. $30,000 - $50,000 depending on dosage and treatment regimen.</t>
  </si>
  <si>
    <t>Primarily used in adults, mainly 50 years and older.</t>
  </si>
  <si>
    <t>Incidence is slightly higher in men.</t>
  </si>
  <si>
    <t>Small molecule chemotherapy agent.</t>
  </si>
  <si>
    <t>BETAPACE 120MG TAB</t>
  </si>
  <si>
    <t>Approximately 2.7 million people in the USA are diagnosed with atrial fibrillation</t>
  </si>
  <si>
    <t>Varies; atrial fibrillation can significantly impact daily activities and emotional well-being, but proper management can lead to improved quality of life</t>
  </si>
  <si>
    <t>Effective in restoring and maintaining normal sinus rhythm in patients with atrial fibrillation and controlling ventricular rate in ventricular tachycardia</t>
  </si>
  <si>
    <t>Generally safe when used under medical supervision; however, monitoring is required due to potential for serious cardiac arrhythmias</t>
  </si>
  <si>
    <t>Dizziness, fatigue, bradycardia, hypotension, torsades de pointes (a specific type of arrhythmia)</t>
  </si>
  <si>
    <t>Approximately $1,200 to $2,400 depending on insurance coverage</t>
  </si>
  <si>
    <t>Typically prescribed for adults, particularly those over 65 years old</t>
  </si>
  <si>
    <t>Both sexes, with some studies indicating slightly higher prevalence in males</t>
  </si>
  <si>
    <t>CAPZIX HP 0.1% CREAM,TOP</t>
  </si>
  <si>
    <t>Excessive sweating, particularly in areas like the armpits, hands, feet, and face.</t>
  </si>
  <si>
    <t>Approximately 2-3% of the population in the USA.</t>
  </si>
  <si>
    <t>Can be significantly affected due to embarrassment, social anxiety, and discomfort; many patients report a decreased quality of life.</t>
  </si>
  <si>
    <t>Clinical studies show that topical treatments can reduce sweat levels by about 50-80% in patients.</t>
  </si>
  <si>
    <t>Generally considered safe with appropriate use; however, long-term effects are still being studied.</t>
  </si>
  <si>
    <t>Possible local irritation, allergic reactions, and skin sensitivity; 5-10% of users may experience adverse skin effects.</t>
  </si>
  <si>
    <t>Approximately $1,500 - $3,000 depending on frequency of application and need for ongoing treatment.</t>
  </si>
  <si>
    <t>Primarily affects adolescents and adults, usually starting between ages 13 and 30.</t>
  </si>
  <si>
    <t>Affects both genders equally, though some studies suggest a slightly higher prevalence in males.</t>
  </si>
  <si>
    <t>Topical drug (cream formulation).</t>
  </si>
  <si>
    <t>AMIODARONE HCL 50MG/ML INJ,18ML</t>
  </si>
  <si>
    <t>Abnormal heart rhythm, palpitations, dizziness, shortness of breath, fatigue, chest pain</t>
  </si>
  <si>
    <t>Approximately 2-3% of the adult population in the USA has atrial fibrillation; higher prevalence in older adults</t>
  </si>
  <si>
    <t>Quality of life can be significantly affected by symptoms of arrhythmias, with patients experiencing anxiety and limitations in physical activity</t>
  </si>
  <si>
    <t>Effective in converting and maintaining sinus rhythm in many patients, with efficacy rates reported around 60-80% for rhythm control</t>
  </si>
  <si>
    <t>Generally safe; requires monitoring due to potential for serious side effects, especially with long-term use</t>
  </si>
  <si>
    <t>Common adverse events include thyroid dysfunction, pulmonary toxicity, liver toxicity, and cardiac arrhythmias</t>
  </si>
  <si>
    <t>Approximately $2,000 to $3,000, depending on monitoring and potential hospitalizations related to adverse effects</t>
  </si>
  <si>
    <t>Primarily adults, commonly prescribed to patients over 65</t>
  </si>
  <si>
    <t>No significant gender preference; however, atrial fibrillation is slightly more prevalent in males</t>
  </si>
  <si>
    <t>Antiarrhythmic agent (small molecule)</t>
  </si>
  <si>
    <t>SODIUM TETRADECYL SO4 1% INJ</t>
  </si>
  <si>
    <t>Swelling in the legs, aching, heaviness, cramps, itching, and discoloration of the skin</t>
  </si>
  <si>
    <t>Approximately 25% of adults experience some form of varicose veins in the USA</t>
  </si>
  <si>
    <t>Varicose veins can significantly affect quality of life due to discomfort and cosmetic concerns</t>
  </si>
  <si>
    <t>80-90% effective in reducing symptoms and improving cosmetic appearance</t>
  </si>
  <si>
    <t>Minor pain at injection site, bruising, inflammation, and allergic reactions in rare cases</t>
  </si>
  <si>
    <t>Approximately $1,500 to $5,000 depending on the number of treatments needed</t>
  </si>
  <si>
    <t>Typically adults aged 30 years and older</t>
  </si>
  <si>
    <t>More common in women, but affects both genders</t>
  </si>
  <si>
    <t>Sclerotherapy agent (organic solutions used to treat varicose veins)</t>
  </si>
  <si>
    <t>CIDOFOVIR 75MG/ML INJ</t>
  </si>
  <si>
    <t>Blurred vision, floaters, blind spots, and visual field loss</t>
  </si>
  <si>
    <t>Approximately 40% of individuals with advanced HIV/AIDS develop CMV retinitis; around 5,000-10,000 new cases occur annually in the USA among HIV patients</t>
  </si>
  <si>
    <t>Significantly impacted if untreated; may lead to blindness and loss of independence</t>
  </si>
  <si>
    <t>Approximately 80-90% effective in treating CMV retinitis in HIV/AIDS patients, restoring vision in some cases</t>
  </si>
  <si>
    <t>Generally well tolerated; renal toxicity is a concern with extended use</t>
  </si>
  <si>
    <t>Nephrotoxicity, electrolyte imbalances, headache, fever, nausea, vomiting, and potential for ocular inflammation</t>
  </si>
  <si>
    <t>Approximately $45,000 to $100,000 depending on treatment regimen and healthcare access</t>
  </si>
  <si>
    <t>Primarily adults, especially those aged 30-60 years with advanced HIV/AIDS</t>
  </si>
  <si>
    <t>No significant gender difference; CMV retinitis can affect all genders equally</t>
  </si>
  <si>
    <t>Small molecules (antiviral)</t>
  </si>
  <si>
    <t>OCTREOTIDE ACETATE 50MCG/ML INJ,SYR</t>
  </si>
  <si>
    <t>Enlarged hands and feet, facial changes (protruding jaw, enlarged nose), joint pain, headaches, vision problems, excessive sweating, gastric issues, and other hormone-related symptoms.</t>
  </si>
  <si>
    <t>Acromegaly has an estimated prevalence of 3 to 13 cases per million people in the USA. Neuroendocrine tumors are less common, with around 6 cases per 100,000 people annually in the USA.</t>
  </si>
  <si>
    <t>Significant impact on quality of life due to physical changes, pain, and complications; many patients report social isolation and psychological distress.</t>
  </si>
  <si>
    <t>Octreotide is effective in reducing growth hormone levels and alleviating symptoms in about 50–80% of patients with acromegaly; effectiveness may depend on tumor type and size.</t>
  </si>
  <si>
    <t>Generally well-tolerated; risks may increase with long-term use; safety has been established through several clinical trials.</t>
  </si>
  <si>
    <t>Common adverse events include gastrointestinal issues (diarrhea, nausea), injection site reactions, gallbladder disease, and potential impact on glucose metabolism.</t>
  </si>
  <si>
    <t>Estimated annual therapy costs can range from $15,000 to $30,000 depending on dosage and treatment regimen.</t>
  </si>
  <si>
    <t>Commonly diagnosed in adults aged 30-50 years.</t>
  </si>
  <si>
    <t>Slightly more prevalent in males than females, but differences are not significant.</t>
  </si>
  <si>
    <t>Somatostatin analogue (small molecule).</t>
  </si>
  <si>
    <t>OCTREOTIDE ACETATE 0.1MG/ML INJ,SYR</t>
  </si>
  <si>
    <t>Symptoms of acromegaly include enlarged hands and feet, facial changes (protruding jaw and enlarged nose), joint pain, thickened skin, and increased sweating. Symptoms of neuroendocrine tumors may include abdominal pain, flushing, diarrhea, and weight loss.</t>
  </si>
  <si>
    <t>Acromegaly affects about 3 to 14 people per million in the USA. Neuroendocrine tumors have a prevalence of approximately 1.3 to 5.4 per 100,000 people annually.</t>
  </si>
  <si>
    <t>Quality of life can be significantly impacted due to physical symptoms, psychosocial issues, and complications from the disease. Many patients with acromegaly report lower quality of life scores.</t>
  </si>
  <si>
    <t>Octreotide acetate is shown to reduce growth hormone levels and relieve symptoms in approximately 70-85% of patients with acromegaly. Efficacy in treating neuroendocrine tumors is generally favorable, with symptom relief in a significant proportion of patients.</t>
  </si>
  <si>
    <t>Generally well tolerated; however, safety assessments show that it is safe with appropriate monitoring.</t>
  </si>
  <si>
    <t>Common adverse events include gastrointestinal symptoms (e.g., diarrhea, nausea, abdominal cramps), headache, and injection site reactions. Rarely, gallbladder issues can occur.</t>
  </si>
  <si>
    <t>The annual therapy costs for octreotide can range from $15,000 to $25,000 depending on dosage and treatment duration.</t>
  </si>
  <si>
    <t>Typically prescribed for adults, but can also be used in adolescents with severe cases.</t>
  </si>
  <si>
    <t>Affects both genders, with acromegaly being slightly more common in men than women, while neuroendocrine tumors have a more equal distribution.</t>
  </si>
  <si>
    <t>Peptide analog (somatostatin analogue); classified as a hormone therapy and small molecule drug.</t>
  </si>
  <si>
    <t>OCTREOTIDE ACETATE 0.5MG/ML INJ,SYR</t>
  </si>
  <si>
    <t>Enlarged extremities, facial changes, joint pain, headaches, vision problems (Acromegaly); flushing, diarrhea, wheezing (Carcinoid Syndrome); abdominal pain, diarrhea, and flushing (GEP-NETs).</t>
  </si>
  <si>
    <t>Approximately 3 to 4 cases per 1 million people per year for Acromegaly. GEP-NETs have a prevalence of about 5 to 10 cases per 100,000 people.</t>
  </si>
  <si>
    <t>Patients may experience a reduced quality of life due to disease symptoms and treatment side effects; significant improvements in quality of life can be observed with effective treatment.</t>
  </si>
  <si>
    <t>Effective in reducing GH (growth hormone) levels in Acromegaly; controls symptoms of carcinoid syndrome and can stabilize GEP-NETs. Efficacy rates exceed 70% for symptom relief in carcinoid syndrome.</t>
  </si>
  <si>
    <t>Generally well tolerated; safety profile is favorable but requires monitoring of glucose levels, biliary function, and possible gastrointestinal symptoms.</t>
  </si>
  <si>
    <t>Common adverse events include abdominal pain, diarrhea, nausea, and gallbladder issues. Rarely, it can cause cholelithiasis (gallstones).</t>
  </si>
  <si>
    <t>Average annual therapy costs are approximately $30,000 to $70,000 depending on therapy specifics and insurance coverage.</t>
  </si>
  <si>
    <t>Primarily adults, typically aged 30-60 years for Acromegaly and varying for GEP-NETs based on type.</t>
  </si>
  <si>
    <t>Incidence of Acromegaly affects males and females equally; however, GEP-NETs appear slightly more common in females.</t>
  </si>
  <si>
    <t>Peptide analog (somatostatin analog).</t>
  </si>
  <si>
    <t>NALOXONE HCL 0.4MG/ML INJ</t>
  </si>
  <si>
    <t>Respiratory depression, unresponsiveness, pinpoint pupils, cyanosis, reduced heart rate</t>
  </si>
  <si>
    <t>Approximately 2 million people in the USA misuse opioids, with overdose deaths reaching over 70,000 annually</t>
  </si>
  <si>
    <t>Varies, but opioid misuse significantly impacts daily functioning; naloxone can restore quality of life by reversing overdoses</t>
  </si>
  <si>
    <t>Highly effective in reversing opioid overdoses, with a &gt;90% success rate when administered promptly</t>
  </si>
  <si>
    <t>Generally safe when used as directed; few risks when given to individuals not using opioids</t>
  </si>
  <si>
    <t>Rarely causes withdrawal symptoms in opioid-dependent individuals, potential for mild side effects like nausea</t>
  </si>
  <si>
    <t>$30-150 (depending on location and insurance coverage)</t>
  </si>
  <si>
    <t>All ages (particularly common in young adults and middle-aged individuals)</t>
  </si>
  <si>
    <t>Affects both genders, but higher incidence of overdose in males</t>
  </si>
  <si>
    <t>Opioid antagonist</t>
  </si>
  <si>
    <t>REZLIDHIA 150MG CAP,ORAL</t>
  </si>
  <si>
    <t>Fatigue, fever, frequent infections, easy bruising or bleeding, weight loss, swollen lymph nodes, pain or discomfort in the bones, and pale or sallow skin.</t>
  </si>
  <si>
    <t>Approximately 4.3 cases per 100,000 people per year in the USA.</t>
  </si>
  <si>
    <t>Can be significantly impacted due to symptoms and treatment side effects; many patients experience physical and emotional challenges.</t>
  </si>
  <si>
    <t>Clinical trials show response rates to treatments can be around 50-70% in certain patient populations.</t>
  </si>
  <si>
    <t>Generally well-tolerated; however, monitoring is necessary to manage side effects.</t>
  </si>
  <si>
    <t>Common adverse events include cytopenias (anemia, thrombocytopenia, neutropenia), fatigue, fever, and gastrointestinal disturbances.</t>
  </si>
  <si>
    <t>Approximately $100,000 to $150,000, depending on the specific regimen and additional supportive care.</t>
  </si>
  <si>
    <t>Primarily adults, with the median age at diagnosis being 68 years; can occur in younger populations.</t>
  </si>
  <si>
    <t>Slightly more common in men than in women (ratios around 1.5:1).</t>
  </si>
  <si>
    <t>Small molecules (targeted therapy).</t>
  </si>
  <si>
    <t>EPKINLY 4MG/0.8ML INJ,SOLN</t>
  </si>
  <si>
    <t>Lymphadenopathy, fever, night sweats, weight loss, skin lesions, itchy skin, fatigue</t>
  </si>
  <si>
    <t>Approximately 6,000 new cases annually in the USA</t>
  </si>
  <si>
    <t>Can be significantly impacted due to symptoms and treatment side effects, with patients experiencing emotional distress and physical limitations</t>
  </si>
  <si>
    <t>Efficacy rates vary; overall response rate can be around 60-70% in clinical settings</t>
  </si>
  <si>
    <t>Generally considered safe with a well-established profile; however, specific patient monitoring is critical</t>
  </si>
  <si>
    <t>Commonly reported adverse events include infusion reactions, fatigue, nausea, and cytopenias</t>
  </si>
  <si>
    <t>Approximately $150,000 to $200,000 per year, varies based on insurance coverage and ancillary costs</t>
  </si>
  <si>
    <t>Primarily adults, most commonly diagnosed in individuals aged 60 and older</t>
  </si>
  <si>
    <t>More prevalent in males than females, with a male-to-female ratio of approximately 2:1</t>
  </si>
  <si>
    <t>EPKINLY 48MG/0.8ML INJ,SOLN</t>
  </si>
  <si>
    <t>Enlarged lymph nodes, fever, night sweats, weight loss, fatigue, itchy skin, and pain in the lymph nodes.</t>
  </si>
  <si>
    <t>Approximately 3,000 new cases annually in the USA, representing about 10% of all non-Hodgkin lymphoma cases.</t>
  </si>
  <si>
    <t>Varies based on disease stage and patient response to treatment but can be significantly affected by symptoms and treatment side effects.</t>
  </si>
  <si>
    <t>Demonstrated improved response rates in clinical trials, with an overall response rate of approximately 70% in peripheral T-cell lymphoma patients.</t>
  </si>
  <si>
    <t>Generally considered safe, but monitoring is necessary for potential side effects; benefits typically outweigh risks.</t>
  </si>
  <si>
    <t>Common adverse events include infusion reactions, fatigue, diarrhea, and skin rashes. Serious adverse events may involve infections and hypersensitivity reactions.</t>
  </si>
  <si>
    <t>Estimated at $150,000 - $200,000 depending on treatment duration and management of side effects.</t>
  </si>
  <si>
    <t>Primarily adults aged 40-70 years, but can occur in younger adults as well.</t>
  </si>
  <si>
    <t>Slightly more common in males than females.</t>
  </si>
  <si>
    <t>Monoclonal antibody (specifically, a CD30-directed monoclonal antibody).</t>
  </si>
  <si>
    <t>VYJUVEK</t>
  </si>
  <si>
    <t>Verrucous Carcinoma</t>
  </si>
  <si>
    <t>Lesions resembling warts, often involving the oral cavity, skin, genitals, and other areas; can be associated with pain or discomfort.</t>
  </si>
  <si>
    <t>Approximately 0.1-0.5 cases per 100,000 individuals.</t>
  </si>
  <si>
    <t>Can be significantly affected due to the physical appearance of lesions and discomfort during daily activities.</t>
  </si>
  <si>
    <t>80% (of patients show significant improvement or resolution of lesions)</t>
  </si>
  <si>
    <t>Generally well-tolerated, with a favorable safety profile.</t>
  </si>
  <si>
    <t>Commonly reported adverse events include localized irritation, pruritus, and erythema at the site of application.</t>
  </si>
  <si>
    <t>Approximately $15,000 - $20,000 depending on treatment frequency and other factors.</t>
  </si>
  <si>
    <t>Adults (most commonly seen in middle-aged individuals)</t>
  </si>
  <si>
    <t>Male predominance, though can occur in both genders.</t>
  </si>
  <si>
    <t>Small molecules (topical formulation for local treatment of lesions).</t>
  </si>
  <si>
    <t>ZTALMY 50MG/ML SUSP,ORAL</t>
  </si>
  <si>
    <t>Seizures of various types (including tonic, atonic, and atypical absence seizures), developmental delays, cognitive impairments</t>
  </si>
  <si>
    <t>Approximately 1 to 4 per 100,000 children in the USA</t>
  </si>
  <si>
    <t>Clinical trials have shown ZTALMY (cannabidiol) demonstrates reductions in seizure frequency in patients with Lennox-Gastaut syndrome</t>
  </si>
  <si>
    <t>Generally well-tolerated; some patients may experience side effects, but ZTALMY's safety profile is considered favorable compared to other treatments</t>
  </si>
  <si>
    <t>Drowsiness, decreased appetite, diarrhea, fatigue, potential liver function test abnormalities</t>
  </si>
  <si>
    <t>Approximately $30,000 to $60,000</t>
  </si>
  <si>
    <t>Primarily children aged 2 years and older</t>
  </si>
  <si>
    <t>Cannabidiol (a plant-derived cannabinoid)</t>
  </si>
  <si>
    <t>NEILMED SINUS RINSE COMPLETE</t>
  </si>
  <si>
    <t>Chronic Sinusitis</t>
  </si>
  <si>
    <t>Nasal congestion, facial pain/pressure, nasal discharge, reduced sense of smell, cough, fatigue</t>
  </si>
  <si>
    <t>Approximately 12.1% of the adult population in the USA</t>
  </si>
  <si>
    <t>Chronic sinusitis can significantly impact quality of life, with many experiencing persistent pain and discomfort affecting daily activities.</t>
  </si>
  <si>
    <t>Effective for symptom relief and clearance of nasal passages, especially in combination with other treatments.</t>
  </si>
  <si>
    <t>Generally regarded as safe when used as directed.</t>
  </si>
  <si>
    <t>Rare instances of nasal irritation, discomfort, or sinusitis exacerbation.</t>
  </si>
  <si>
    <t>Approximately $100 – $200, depending on frequency of use and prescription status.</t>
  </si>
  <si>
    <t>All ages; often more prevalent in adults.</t>
  </si>
  <si>
    <t>Affects both genders, but may be more common in women.</t>
  </si>
  <si>
    <t>Nasal irrigation solution (not classified as a traditional drug; classified under physical therapies).</t>
  </si>
  <si>
    <t>NEILMED SINUS RINSE REFILL</t>
  </si>
  <si>
    <t>Nasal congestion, facial pain or pressure, thick nasal discharge, decreased sense of smell, cough, fatigue, dental pain, ear pressure or fullness.</t>
  </si>
  <si>
    <t>Approximately 12% of adults in the USA have chronic sinusitis.</t>
  </si>
  <si>
    <t>Chronic sinusitis significantly impacts quality of life, affecting daily activities, sleep, and work productivity.</t>
  </si>
  <si>
    <t>Saline nasal irrigation, such as with NeilMed Sinus Rinse, has been shown to improve symptoms in about 70% of patients when used regularly.</t>
  </si>
  <si>
    <t>Generally considered safe for most individuals; however, it is important to use distilled, sterile, or previously boiled water for the rinse.</t>
  </si>
  <si>
    <t>Possible nasal irritation, discomfort, or mucosal dryness; rare cases of infections or allergic reactions.</t>
  </si>
  <si>
    <t>Approximately $50 to $150 depending on the frequency of use and additional saline solution costs.</t>
  </si>
  <si>
    <t>Typically used by adults and children over the age of 6.</t>
  </si>
  <si>
    <t>Affects both genders, though women may report symptoms more frequently.</t>
  </si>
  <si>
    <t>Medical device for saline nasal irrigation.</t>
  </si>
  <si>
    <t>TECNU RASH RELIEF SPRAY,TOP</t>
  </si>
  <si>
    <t>Redness, itching, swelling, blistering, and inflammation of the skin</t>
  </si>
  <si>
    <t>Approximately 15% of the U.S. population experiences contact dermatitis in their lifetime</t>
  </si>
  <si>
    <t>Can significantly impact quality of life due to discomfort, social implications, and potential for secondary infections</t>
  </si>
  <si>
    <t>High effectiveness in relieving symptoms of skin irritation upon topical application</t>
  </si>
  <si>
    <t>Localized skin irritation, burning sensation, allergic reactions in some individuals</t>
  </si>
  <si>
    <t>Approximately $20-$50, depending on the quantity used</t>
  </si>
  <si>
    <t>All ages, with a higher incidence in adults</t>
  </si>
  <si>
    <t>No significant gender predisposition, though some gender-related activities may affect exposure</t>
  </si>
  <si>
    <t>Topical formulation (over-the-counter medication)</t>
  </si>
  <si>
    <t>TRUEPLUS GLUCOSE GEL 15GM FRUIT PUNCH FLAVOR</t>
  </si>
  <si>
    <t>Sweating, shaking, dizziness, confusion, irritability, weakness, rapid heart rate</t>
  </si>
  <si>
    <t>Approximately 5-10% of adults with diabetes experience hypoglycemia episodes</t>
  </si>
  <si>
    <t>Can significantly affect daily activities and overall wellbeing; recurrent episodes may lead to increased anxiety and fear of hypoglycemia</t>
  </si>
  <si>
    <t>Highly effective in rapidly raising blood glucose levels in hypoglycemic episodes</t>
  </si>
  <si>
    <t>Generally safe when used as directed, with a low risk of adverse effects when dosing is appropriate</t>
  </si>
  <si>
    <t>Rare; may include gastrointestinal upset if ingested in excess</t>
  </si>
  <si>
    <t>Approximately $200-$300 depending on frequency of use</t>
  </si>
  <si>
    <t>All age groups, but most commonly used in adults with diabetes</t>
  </si>
  <si>
    <t>No significant gender preference; used by both men and women</t>
  </si>
  <si>
    <t>Oral glucose gel (simple carbohydrate)</t>
  </si>
  <si>
    <t>HYDROCORTISONE ACETATE 1% CREAM,TOP</t>
  </si>
  <si>
    <t>Redness, itching, swelling, irritation, dryness, flaking, and discomfort in affected areas</t>
  </si>
  <si>
    <t>Approximately 10-20% of the population will experience some form of dermatitis in their lifetime in the USA</t>
  </si>
  <si>
    <t>Can significantly affect daily activities, sleep, and emotional well-being, varying from mild to severe impact</t>
  </si>
  <si>
    <t>Generally effective in reducing inflammation and symptoms in most patients, with improvements seen in 60-80% of cases</t>
  </si>
  <si>
    <t>Considered safe for short-term use. Prolonged use may lead to skin thinning and other adverse effects</t>
  </si>
  <si>
    <t>Skin irritation, burning sensation, dryness, and potential for secondary infections; long-term use can lead to skin atrophy</t>
  </si>
  <si>
    <t>Approximately $100-$300, depending on insurance coverage and patient needs</t>
  </si>
  <si>
    <t>Approved for use in adults and children over 2 years old</t>
  </si>
  <si>
    <t>Both genders are equally affected by inflammatory skin conditions</t>
  </si>
  <si>
    <t>PETROLATUM OINT,TOP,PKT,5GM</t>
  </si>
  <si>
    <t>Itching, redness, inflammation, scaling, dry skin</t>
  </si>
  <si>
    <t>Approximately 10% of the U.S. population suffers from some form of dermatitis</t>
  </si>
  <si>
    <t>Moderate to severe impact, causing discomfort and psychological distress in many patients</t>
  </si>
  <si>
    <t>Generally effective for symptomatic relief, particularly in moisturizing and protecting the skin</t>
  </si>
  <si>
    <t>Considered safe for most patients; minimal systemic absorption when used topically</t>
  </si>
  <si>
    <t>Potential for localized irritation or allergic reactions; rare cases of acneiform eruptions</t>
  </si>
  <si>
    <t>Approximately $300 to $800, depending on frequency of use and formulation</t>
  </si>
  <si>
    <t>All age groups, commonly prescribed for children and adults</t>
  </si>
  <si>
    <t>Topical emollient/ointment</t>
  </si>
  <si>
    <t>RADICAVA 0.3MG/ML INJ,BAG,100ML</t>
  </si>
  <si>
    <t>Muscle weakness, difficulty speaking, difficulty swallowing, respiratory problems, and muscle cramps.</t>
  </si>
  <si>
    <t>Approximately 5.4 per 100,000 people in the USA.</t>
  </si>
  <si>
    <t>Significantly affected, with a reduced ability to perform daily activities and increased dependency.</t>
  </si>
  <si>
    <t>Slows the decline in physical function, with a reported efficacy indicating a delay in disease progression in some patients.</t>
  </si>
  <si>
    <t>Generally considered safe; however, monitoring is recommended due to the potential for infusion-related reactions.</t>
  </si>
  <si>
    <t>Headache, bruising, liver function abnormalities, and infusion site reactions; serious adverse events are rare.</t>
  </si>
  <si>
    <t>Approximately $145,000 per year.</t>
  </si>
  <si>
    <t>Primarily affects adults, usually between 40-70 years old.</t>
  </si>
  <si>
    <t>Slightly more prevalent in males than females, with a ratio of about 1.6:1.</t>
  </si>
  <si>
    <t>Small molecule (neuroprotective agent).</t>
  </si>
  <si>
    <t>EXSERVAN 50MG FILM,ORAL</t>
  </si>
  <si>
    <t>Muscle weakness, difficulty speaking, swallowing difficulties, muscle cramps, fatigue, and breathing problems.</t>
  </si>
  <si>
    <t>Approximately 5.4 per 100,000 individuals in the USA.</t>
  </si>
  <si>
    <t>Quality of life can be severely impacted due to progressive physical decline and dependence on caregivers.</t>
  </si>
  <si>
    <t>shown to slightly prolong survival and improve quality of life, but overall effectiveness varies among patients.</t>
  </si>
  <si>
    <t>Generally considered safe for use in ALS patients; however, careful monitoring is necessary.</t>
  </si>
  <si>
    <t>Common adverse events include nausea, diarrhea, and liver enzyme abnormalities.</t>
  </si>
  <si>
    <t>Approximately $128,000.</t>
  </si>
  <si>
    <t>Most commonly diagnosed in adults aged 40-70 years.</t>
  </si>
  <si>
    <t>More prevalent in males, with a male-to-female ratio of approximately 1.5:1.</t>
  </si>
  <si>
    <t>Small molecules (specifically, it is a prodrug of riluzole).</t>
  </si>
  <si>
    <t>RADICAVA ORS STARTER KIT SUSP</t>
  </si>
  <si>
    <t>Muscle weakness, difficulty speaking, difficulty swallowing, muscle cramps, and twitches, respiratory problems</t>
  </si>
  <si>
    <t>Approximately 5.0 per 100,000 people in the USA</t>
  </si>
  <si>
    <t>Significantly impacted as the disease progresses, leading to loss of mobility and independence</t>
  </si>
  <si>
    <t>REDICAVA (edaravone) has been shown to slow the decline in function in some patients, with moderate efficacy in trials</t>
  </si>
  <si>
    <t>Generally well-tolerated, but regular monitoring is recommended due to potential side effects</t>
  </si>
  <si>
    <t>Common adverse events include bruising, gait disturbance, headache, and allergic reactions</t>
  </si>
  <si>
    <t>Approximately $146,000 per year</t>
  </si>
  <si>
    <t>Most commonly diagnosed in individuals aged 40-70 years</t>
  </si>
  <si>
    <t>More prevalent in males than females (ratio approximately 1.5:1)</t>
  </si>
  <si>
    <t>RADICAVA ORS</t>
  </si>
  <si>
    <t>Muscle weakness, difficulty speaking, difficulty swallowing, respiratory issues, muscle cramps, fatigue</t>
  </si>
  <si>
    <t>Approximately 5.4 per 100,000 people per year (around 20,000 cases in the USA)</t>
  </si>
  <si>
    <t>Significantly affected as the disease progresses, leading to reduced functional independence and increased caregiver burden</t>
  </si>
  <si>
    <t>Clinical trials showed RADICAVA (edaravone) slows functional decline; significance varies among patients</t>
  </si>
  <si>
    <t>Generally well tolerated, but some patients may experience hypersensitivity reactions</t>
  </si>
  <si>
    <t>Common adverse events include bruising, gait disturbance, headache, and infusion site reactions</t>
  </si>
  <si>
    <t>Estimated at $146,000 per year</t>
  </si>
  <si>
    <t>More common in men (approximately 1.5 times more prevalent than in women)</t>
  </si>
  <si>
    <t>Small molecule; specifically, it is an antioxidant therapy</t>
  </si>
  <si>
    <t>KYZATREX 100MG CAP</t>
  </si>
  <si>
    <t>Trichomoniasis</t>
  </si>
  <si>
    <t>Vaginal discharge, itching, irritation, discomfort during urination or sexual intercourse; in men, may cause urethral irritation or discharge.</t>
  </si>
  <si>
    <t>Approximately 3.7 million cases in the USA; about 3% of the sexually active population is affected annually.</t>
  </si>
  <si>
    <t>Can significantly impact quality of life due to symptoms and potential stigma; untreated infections may lead to complications or increased risk of HIV transmission.</t>
  </si>
  <si>
    <t>Generally, KYZATREX has a high cure rate with a single dose for adults (about 95% effective).</t>
  </si>
  <si>
    <t>Considered safe for use in patients with trichomoniasis; however, contraindications may exist in some special populations.</t>
  </si>
  <si>
    <t>Possible adverse events include nausea, vomiting, abdominal discomfort, and allergic reactions in some cases, though these are rare.</t>
  </si>
  <si>
    <t>Approximately $300 to $500, depending on the healthcare provider and any associated testing.</t>
  </si>
  <si>
    <t>Primarily affects sexually active adults (ages 18 to 49 years).</t>
  </si>
  <si>
    <t>Affects both men and women, but prevalence is higher in women.</t>
  </si>
  <si>
    <t>Small molecule antibiotic (used specifically for treating trichomoniasis).</t>
  </si>
  <si>
    <t>MECLIZINE HCL 12.5MG CAP</t>
  </si>
  <si>
    <t>Nausea, vomiting, dizziness, spinning sensation, balance difficulties</t>
  </si>
  <si>
    <t>Motion sickness affects approximately 25% of the population; vertigo varies but can affect about 10% of adults in the USA at some point in their life.</t>
  </si>
  <si>
    <t>Patients may experience a significant decrease in quality of life during episodes due to discomfort and inability to travel.</t>
  </si>
  <si>
    <t>Meclizine is effective in reducing symptoms of motion sickness and vertigo, with clinical studies showing about 70% efficacy in preventing motion sickness.</t>
  </si>
  <si>
    <t>Generally considered safe for short-term use with a favorable safety profile; should be used with caution in patients with certain conditions.</t>
  </si>
  <si>
    <t>Drowsiness, dry mouth, blurred vision, constipation, headaches, fatigue.</t>
  </si>
  <si>
    <t>Approximately $100 to $300 depending on usage and insurance coverage.</t>
  </si>
  <si>
    <t>Adults, although it may be prescribed for children by a healthcare provider.</t>
  </si>
  <si>
    <t>Both males and females can be affected, but women may be more prone to motion sickness.</t>
  </si>
  <si>
    <t>Small molecule (antihistamine).</t>
  </si>
  <si>
    <t>BELRAPZO</t>
  </si>
  <si>
    <t>Lymphadenopathy, fever, night sweats, weight loss, fatigue, pruritus.</t>
  </si>
  <si>
    <t>Approximately 1-2 cases per 100,000 individuals annually in the USA; PTCL accounts for about 10-15% of all non-Hodgkin lymphoma cases.</t>
  </si>
  <si>
    <t>Can be significantly affected due to fatigue, recurrent infections, and psychological distress. Quality of life varies based on stage and treatment response.</t>
  </si>
  <si>
    <t>Clinical trials show an overall response rate of around 30-40% in patients with relapsed or refractory PTCL.</t>
  </si>
  <si>
    <t>Generally well-tolerated, but monitoring is essential due to potential side effects.</t>
  </si>
  <si>
    <t>Common adverse events include infusion-related reactions, fatigue, nausea, and increased risk of infection. Serious adverse events can occur in a smaller percentage of patients.</t>
  </si>
  <si>
    <t>Estimated at $200,000 to $300,000 per year, depending on treatment duration and healthcare settings.</t>
  </si>
  <si>
    <t>Slightly more common in men than women, with a male-to-female ratio of approximately 1.5:1.</t>
  </si>
  <si>
    <t>Monoclonal antibody (specifically, an anti-CD30 monoclonal antibody).</t>
  </si>
  <si>
    <t>RYANODEX 250MG/20ML VI</t>
  </si>
  <si>
    <t>Rapid rise in body temperature, muscle rigidity, tachycardia, acidosis, increased carbon dioxide production, and elevated potassium levels.</t>
  </si>
  <si>
    <t>Approximately 1 in 30,000 surgical procedures in the USA.</t>
  </si>
  <si>
    <t>Patients who properly manage their risk have an improved quality of life compared to those who experience a crisis.</t>
  </si>
  <si>
    <t>RYANODEX has been shown to rapidly reduce elevated calcium levels in skeletal muscle, reversing the symptoms of malignant hyperthermia.</t>
  </si>
  <si>
    <t>Generally considered safe when used in an emergency setting under medical supervision, but may have risks associated with intravenous administration.</t>
  </si>
  <si>
    <t>Potential adverse events include myalgia, injection site reactions, and in some rare cases, hypersensitivity reactions.</t>
  </si>
  <si>
    <t>Approximately $5,000 for emergency use, but costs may vary based on specific cases and treatment plans.</t>
  </si>
  <si>
    <t>All age groups, though often used in adolescents and adults during surgical procedures.</t>
  </si>
  <si>
    <t>Affects both genders equally, though there may be genetic predispositions.</t>
  </si>
  <si>
    <t>Small molecules (specifically a ryanodine receptor antagonist).</t>
  </si>
  <si>
    <t>YCANTH 0.7% LIQUID,TOP</t>
  </si>
  <si>
    <t>Vitiligo</t>
  </si>
  <si>
    <t>Depigmented skin patches, changes in skin color, potential psychological distress</t>
  </si>
  <si>
    <t>Approximately 0.5% to 2% of the population in the USA</t>
  </si>
  <si>
    <t>Significantly affected due to visible changes in appearance; can lead to social anxiety and depression</t>
  </si>
  <si>
    <t>Effective in repigmentation of skin in many patients; studies suggest up to 50% improvement in some cases</t>
  </si>
  <si>
    <t>Generally well tolerated; considered safe for topical use</t>
  </si>
  <si>
    <t>Local irritation, erythema, burning sensation at application site</t>
  </si>
  <si>
    <t>Estimated at $500 to $2,000 depending on treatment frequency and healthcare provider fees</t>
  </si>
  <si>
    <t>Commonly affects individuals aged 10 to 30 years, but can occur at any age</t>
  </si>
  <si>
    <t>Topical solution / Small molecule</t>
  </si>
  <si>
    <t>EMFLAZA 6MG TAB</t>
  </si>
  <si>
    <t>Progressive muscle weakness, loss of muscle mass, difficulty walking, frequent falls, and respiratory difficulties.</t>
  </si>
  <si>
    <t>Significantly impacted; mobility and independence decrease over time, leading to higher care needs.</t>
  </si>
  <si>
    <t>Clinical trials show EMFLAZA can slow disease progression, particularly in maintaining motor function.</t>
  </si>
  <si>
    <t>Generally well-tolerated, but monitoring for potential side effects is recommended.</t>
  </si>
  <si>
    <t>Common adverse events include weight gain, increased appetite, and respiratory infections.</t>
  </si>
  <si>
    <t>Estimated around $100,000 to $150,000 annually.</t>
  </si>
  <si>
    <t>Primarily prescribed for young boys aged 2 to 15 years.</t>
  </si>
  <si>
    <t>Predominantly affects males, as it is an X-linked disorder.</t>
  </si>
  <si>
    <t>Corticosteroid (anti-inflammatory).</t>
  </si>
  <si>
    <t>EMFLAZA 18MG TAB</t>
  </si>
  <si>
    <t>Progressive muscle weakness, difficulty walking, frequent falls, difficulty running and jumping, loss of muscle mass, respiratory difficulties, cardiomyopathy</t>
  </si>
  <si>
    <t>Approximately 1 in 3,500 male births in the USA (around 15,000 cases)</t>
  </si>
  <si>
    <t>Significantly impacted due to physical limitations; mental health challenges are also common due to the nature of the disease</t>
  </si>
  <si>
    <t>Clinical studies have shown clinically meaningful benefits in muscle function and slowing disease progression; efficacy varies between individuals</t>
  </si>
  <si>
    <t>Generally well-tolerated; safety data suggest it has a manageable profile with close monitoring</t>
  </si>
  <si>
    <t>Common adverse events include gastrointestinal disturbances (e.g., nausea, vomiting), behavioral and mood changes, and infections</t>
  </si>
  <si>
    <t>Primarily younger children and adolescents (typically diagnosed between ages 2-6)</t>
  </si>
  <si>
    <t>Predominantly affects males (over 95% of cases)</t>
  </si>
  <si>
    <t>Small molecules (anti-inflammatory corticosteroid therapy)</t>
  </si>
  <si>
    <t>EMFLAZA 30MG TAB</t>
  </si>
  <si>
    <t>Progressive muscle weakness, difficulty walking, frequent falls, muscle cramps, and eventually loss of ambulation.</t>
  </si>
  <si>
    <t>Approximately 1 in 3,500 male births in the USA (about 20,000 to 25,000 individuals affected).</t>
  </si>
  <si>
    <t>Significantly impacted due to loss of mobility and independence, requiring assistance with daily activities.</t>
  </si>
  <si>
    <t>Efficacy rate can vary but studies show that Emflaza (deflazacort) can slow decline in muscle strength and function compared to no treatment.</t>
  </si>
  <si>
    <t>Generally well-tolerated; safety profile includes long-term risks that should be monitored, especially regarding growth and weight gain.</t>
  </si>
  <si>
    <t>Common adverse events include weight gain, increased appetite, high blood sugar (hyperglycemia), and increased risk of infections.</t>
  </si>
  <si>
    <t>Estimated annual therapy costs are approximately $36,000 to $54,000.</t>
  </si>
  <si>
    <t>Commonly prescribed to children and adolescents, typically starting around age 5.</t>
  </si>
  <si>
    <t>Predominantly affects males; females can be carriers but show milder symptoms if they develop DMD.</t>
  </si>
  <si>
    <t>Corticosteroid.</t>
  </si>
  <si>
    <t>EMFLAZA 36MG TAB</t>
  </si>
  <si>
    <t>Progressive muscle weakness, difficulty walking, frequent falls, trouble standing from a sitting position, and progressive loss of mobility.</t>
  </si>
  <si>
    <t>Approximately 1 in 3,500 to 5,000 male births in the USA.</t>
  </si>
  <si>
    <t>Significantly impacted due to progressive loss of mobility, requiring assistance and adaptations in daily life.</t>
  </si>
  <si>
    <t>Clinical trials have shown EMFLAZA (deflazacort) to be effective in increasing muscle strength and preserving pulmonary function.</t>
  </si>
  <si>
    <t>Generally considered safe with a favorable risk-benefit profile when used as directed; however, long-term safety data is ongoing.</t>
  </si>
  <si>
    <t>Common adverse events include weight gain, increased appetite, insomnia, and gastrointestinal issues. Serious adverse events can include hypertension and adrenal insufficiency.</t>
  </si>
  <si>
    <t>Estimated at $65,000 - $100,000.</t>
  </si>
  <si>
    <t>Primarily affects boys aged 3 to 5 years at diagnosis; treatment can continue into adulthood.</t>
  </si>
  <si>
    <t>Predominantly affects males due to its X-linked inheritance pattern.</t>
  </si>
  <si>
    <t>Corticosteroid (small molecule).</t>
  </si>
  <si>
    <t>EMFLAZA 22.75MG/ML SUSP</t>
  </si>
  <si>
    <t>Progressive muscle weakness, difficulty in walking, heart complications, respiratory issues, loss of independence.</t>
  </si>
  <si>
    <t>Approximately 1 in 3,500 to 1 in 5,000 male births in the USA.</t>
  </si>
  <si>
    <t>DMD significantly impacts quality of life due to physical limitations and progressive nature of the disease; caregivers also experience stress and burden.</t>
  </si>
  <si>
    <t>Clinical trials show that Emflaza (deflazacort) slows the decline in muscle strength and function, although individual responses can vary.</t>
  </si>
  <si>
    <t>Generally well-tolerated; safety profile indicates that risks are manageable for most patients.</t>
  </si>
  <si>
    <t>Common adverse events include weight gain, increased infection risk, and mood changes (e.g., irritability or anxiety).</t>
  </si>
  <si>
    <t>The average annual cost for Emflaza therapy is around $89,000, though this can vary based on insurance coverage and access.</t>
  </si>
  <si>
    <t>Primarily used in children aged 2 years and older, with continued use recommended into adolescence.</t>
  </si>
  <si>
    <t>DMD predominantly affects males but females can be carriers and may have some symptoms.</t>
  </si>
  <si>
    <t>Small molecule (corticosteroid).</t>
  </si>
  <si>
    <t>TRIESENCE 40MG/ML SUSP OPH</t>
  </si>
  <si>
    <t>Blurred vision, Eye pain, Sensitivity to light, Redness in the eye, Floaters</t>
  </si>
  <si>
    <t>Approximately 38,000 cases of uveitis annually in the USA</t>
  </si>
  <si>
    <t>Significantly impacted due to vision impairment, leading to difficulties in daily activities</t>
  </si>
  <si>
    <t>Approximately 70% of patients experience significant improvement in symptoms</t>
  </si>
  <si>
    <t>Generally considered safe when used as directed, though not without risks</t>
  </si>
  <si>
    <t>Increased intraocular pressure, cataract formation, eye irritation, and allergic reactions</t>
  </si>
  <si>
    <t>Approximately $2,500 to $4,000 depending on treatment frequency and duration</t>
  </si>
  <si>
    <t>Primarily adults (20-60 years), but can occur at any age</t>
  </si>
  <si>
    <t>Corticosteroid suspension (ophthalmic)</t>
  </si>
  <si>
    <t>ILEVRO 0.3% SUSP,OPH</t>
  </si>
  <si>
    <t>Eye redness, pain, light sensitivity, blurred vision, and floaters</t>
  </si>
  <si>
    <t>Approximately 38 per 100,000 individuals in the USA</t>
  </si>
  <si>
    <t>Significantly impacted due to vision impairment; can affect daily activities and emotional well-being</t>
  </si>
  <si>
    <t>Clinical studies show efficacy rates of 60-80% in reducing inflammation associated with uveitis</t>
  </si>
  <si>
    <t>Generally well-tolerated; however, long-term use may lead to increased intraocular pressure or ocular infection</t>
  </si>
  <si>
    <t>Common adverse events include eye discomfort, increased intraocular pressure, and potential cataract formation</t>
  </si>
  <si>
    <t>Approximately $6,000 to $10,000 per year, depending on the severity and frequency of dosing</t>
  </si>
  <si>
    <t>Commonly prescribed for adults and can also be used in children 2 years and older</t>
  </si>
  <si>
    <t>No significant gender predisposition; can affect all genders equally</t>
  </si>
  <si>
    <t>Ophthalmic corticosteroid (suspension)</t>
  </si>
  <si>
    <t>SODIUM,POTASSIUM,MAG SULFATES</t>
  </si>
  <si>
    <t>Fatigue, muscle weakness, abnormal heart rhythms, nausea, vomiting, difficulty breathing, hypotension</t>
  </si>
  <si>
    <t>Approximately 1-2% in the general population; risk increases in specific groups such as those with kidney disorders</t>
  </si>
  <si>
    <t>Can be significantly affected by severe symptoms; mild conditions may have minimal impact on daily activities</t>
  </si>
  <si>
    <t>High efficacy in correcting electrolyte imbalances when used appropriately</t>
  </si>
  <si>
    <t>Generally considered safe when used as directed; close monitoring is needed in patients with renal impairment</t>
  </si>
  <si>
    <t>Common adverse events include hypotension, flushing, and dizziness; rare events may include cardiac arrest with severe hypermagnesemia</t>
  </si>
  <si>
    <t>Varies widely, but can range from $500 to $5,000 depending on the severity and ongoing management needs</t>
  </si>
  <si>
    <t>Adults and elderly patients are more commonly affected, but all age groups can be relevant depending on underlying conditions</t>
  </si>
  <si>
    <t>Both genders are affected equally, though underlying conditions may differ</t>
  </si>
  <si>
    <t>Electrolyte solution (not classified as a small molecule or biologic; used in IV therapy)</t>
  </si>
  <si>
    <t>ALOCANE BURN PADS MAX</t>
  </si>
  <si>
    <t>Burns</t>
  </si>
  <si>
    <t>Redness, pain, swelling, blistering, and possibly peeling skin in the affected area.</t>
  </si>
  <si>
    <t>Approximately 1.1 million cases of burn injuries occur annually in the USA, with varying severity.</t>
  </si>
  <si>
    <t>Patients may experience significant discomfort, psychological distress, and limitations in daily activities, leading to a reduced quality of life.</t>
  </si>
  <si>
    <t>Generally effective in providing pain relief and promoting healing of minor burns and skin irritations.</t>
  </si>
  <si>
    <t>Considered safe when used as directed; however, caution is advised for individuals with known sensitivities.</t>
  </si>
  <si>
    <t>Rare; potential skin irritation, allergies for some individuals.</t>
  </si>
  <si>
    <t>Approximately $200-$500, depending on frequency of use and the size of the affected area.</t>
  </si>
  <si>
    <t>Suitable for all age groups, with special considerations for very young children and elderly patients.</t>
  </si>
  <si>
    <t>No specific gender preference; affects all genders equally.</t>
  </si>
  <si>
    <t>Topical analgesic and skin protectant.</t>
  </si>
  <si>
    <t>SUNBURNT PLUS PAIN RELIEF GEL</t>
  </si>
  <si>
    <t>Sunburn</t>
  </si>
  <si>
    <t>Redness, pain, swelling, blistering, peeling skin, heat sensation.</t>
  </si>
  <si>
    <t>Approximately 35% of adults in the USA report experiencing sunburn each year.</t>
  </si>
  <si>
    <t>Moderate impact during acute phase, generally resolves quickly; can lead to long-term skin damage and increased risk of skin cancer if recurrent.</t>
  </si>
  <si>
    <t>Generally effective for symptomatic relief of pain, redness, and inflammation associated with sunburn.</t>
  </si>
  <si>
    <t>Generally safe when used as directed; low risk of systemic side effects.</t>
  </si>
  <si>
    <t>Localized irritation, allergic reactions, and skin sensitivity in some users.</t>
  </si>
  <si>
    <t>Approximately $10 to $30 for over-the-counter topical gels.</t>
  </si>
  <si>
    <t>All age groups (typically used by adults and children).</t>
  </si>
  <si>
    <t>Both genders equally affected; usage may vary based on sun exposure habits.</t>
  </si>
  <si>
    <t>Topical analgesic and anti-inflammatory gel (not a prescription drug).</t>
  </si>
  <si>
    <t>XERMELO 250MG TAB</t>
  </si>
  <si>
    <t>Carcinoid Syndrome</t>
  </si>
  <si>
    <t>Flushing, diarrhea, abdominal pain, wheezing, heart valve lesions</t>
  </si>
  <si>
    <t>Approximately 1-2 per 100,000 people in the USA</t>
  </si>
  <si>
    <t>Significantly impacted due to chronic symptoms; patients may experience fatigue, anxiety, and limitations in daily activities</t>
  </si>
  <si>
    <t>XERMELO (telotristat ethyl) has shown to reduce bowel movement frequency and improve symptoms in patients with carcinoid syndrome</t>
  </si>
  <si>
    <t>Generally well tolerated, but may cause side effects; monitoring for liver function is recommended</t>
  </si>
  <si>
    <t>Nausea, headache, fatigue, depression, abdominal pain</t>
  </si>
  <si>
    <t>Approximately $100,000 per year</t>
  </si>
  <si>
    <t>Primarily adults, typically over 40 years old</t>
  </si>
  <si>
    <t>No significant gender predisposition, but carcinoid tumors can be slightly more common in women</t>
  </si>
  <si>
    <t>Small molecule (tryptophan hydroxylase inhibitor)</t>
  </si>
  <si>
    <t>YERVOY 50MG/10ML SDV</t>
  </si>
  <si>
    <t>Symptoms may include changes in existing moles, new growths on the skin, itching, bleeding, or ulceration of moles. Advanced melanoma may also cause symptoms related to metastasis like cough, chest pain, or weight loss.</t>
  </si>
  <si>
    <t>Approximately 22 cases per 100,000 people per year; estimated 106,000 new cases annually in the USA.</t>
  </si>
  <si>
    <t>Quality of life can be significantly impacted due to physical symptoms, psychological stress, and treatment side effects, with patients often reporting lower scores compared to the general population.</t>
  </si>
  <si>
    <t>Efficacy in increasing overall survival, with some studies showing a 20-25% improvement in 3-year overall survival rates compared to control groups.</t>
  </si>
  <si>
    <t>Generally well-tolerated but can lead to severe immune-related adverse events. Close monitoring recommended.</t>
  </si>
  <si>
    <t>Common adverse events include fatigue, diarrhea, skin rash, and more severe reactions like colitis and pneumonitis.</t>
  </si>
  <si>
    <t>Approximately $150,000 to $200,000 per year, depending on treatment regimen and healthcare provider.</t>
  </si>
  <si>
    <t>Primarily adults aged 18-75 years.</t>
  </si>
  <si>
    <t>Higher prevalence in males but both genders are affected.</t>
  </si>
  <si>
    <t>Monoclonal antibody (immune checkpoint inhibitor).</t>
  </si>
  <si>
    <t>OPDIVO 120MG VIAL</t>
  </si>
  <si>
    <t>Varies by cancer type; melanoma may present as changing moles, lung cancer symptoms may include cough, chest pain, and shortness of breath, kidney cancer may present with blood in urine and flank pain, head and neck cancer may cause sore throat, difficulty swallowing, and lumps in the neck.</t>
  </si>
  <si>
    <t>Melanoma: approximately 22.5 per 100,000; NSCLC: around 36,000 deaths annually; Renal Cell Carcinoma: about 76,000 new cases annually; SCC of the head and neck: around 54,540 new cases annually.</t>
  </si>
  <si>
    <t>Generally improved for patients responding to therapy; varies significantly with progression and stage of disease.</t>
  </si>
  <si>
    <t>Overall response rate approximately 30-50% in solid tumors, with durable responses seen in many patients.</t>
  </si>
  <si>
    <t>Generally well tolerated; most patients experience mild to moderate side effects; serious adverse effects reported in about 5-10% of cases.</t>
  </si>
  <si>
    <t>Fatigue, rash, pruritus, colitis, hepatitis, endocrinopathies, and pneumonitis; severe reactions can occur but are infrequent.</t>
  </si>
  <si>
    <t>Approximately $150,000 - $200,000 annually depending on treatment protocol and patient response.</t>
  </si>
  <si>
    <t>Typically prescribed for adults aged 18 and older.</t>
  </si>
  <si>
    <t>Can affect any gender, though melanoma has higher rates in males; lung and renal cancers also show similar demography across genders.</t>
  </si>
  <si>
    <t>Monoclonal antibody (anti-PD-1 therapy).</t>
  </si>
  <si>
    <t>OPDIVO 100MG/10ML INJ</t>
  </si>
  <si>
    <t>For melanoma - changes in skin moles, itching, bleeding, or new moles; for NSCLC - cough, chest pain, shortness of breath; for RCC - blood in urine, flank pain, weight loss; for Hodgkin Lymphoma - swollen lymph nodes, fever, night sweats.</t>
  </si>
  <si>
    <t>Melanoma prevalence in the USA is approximately 24.6 per 100,000 people; NSCLC accounts for about 13% of all new cancer cases; RCC has an incidence rate of about 2.4 per 100,000; Hodgkin Lymphoma has a prevalence of around 2.7 per 100,000.</t>
  </si>
  <si>
    <t>Quality of life varies; cancer patients often experience reduced quality of life due to symptoms, treatment burden, and psychological impact. Maintaining quality of life during treatment is a significant focus for oncology care.</t>
  </si>
  <si>
    <t>OPDIVO has shown overall response rates of 40-45% in melanoma and NSCLC therapies; durable responses can exceed 12 months in some cases.</t>
  </si>
  <si>
    <t>OPDIVO has a safety profile related to immune-mediated adverse reactions; most patients tolerate it well, but close monitoring is required.</t>
  </si>
  <si>
    <t>Common adverse events include fatigue, rash, pruritus, diarrhea, and immune-related adverse effects such as pneumonitis, colitis, hepatitis, and endocrinopathies.</t>
  </si>
  <si>
    <t>Approximately $150,000 annually, varying based on treatment plans and insurance.</t>
  </si>
  <si>
    <t>Primarily adults (18 years and older), but usage can extend to adolescents in certain cases.</t>
  </si>
  <si>
    <t>Used in both genders; however, melanoma and lung cancer have higher incidence rates in males.</t>
  </si>
  <si>
    <t>Monoclonal antibody (PD-1 inhibitor).</t>
  </si>
  <si>
    <t>IDHIFA 50 MG TAB</t>
  </si>
  <si>
    <t>Symptoms of AML may include fatigue, fever, frequent infections, easy bleeding or bruising, and shortness of breath due to anemia. Other possible symptoms are pale skin, dizziness, and weight loss.</t>
  </si>
  <si>
    <t>Acute Myeloid Leukemia has an incidence rate of approximately 4.2 cases per 100,000 people per year in the USA, which translates to about 21,000 new cases annually.</t>
  </si>
  <si>
    <t>Patients with AML often experience significant impacts on quality of life due to symptoms, treatment side effects, and psychosocial factors. Quality of life can improve with effective treatment but is often compromised during active disease or treatment phases.</t>
  </si>
  <si>
    <t>IDHIFA (enasidenib) has shown efficacy in patients with IDH2-mutated AML. In clinical trials, it has demonstrated a response rate of about 40-50% in patients with relapsed or refractory AML.</t>
  </si>
  <si>
    <t>The safety profile of IDHIFA is generally favorable, but it can lead to some serious side effects. The incidence of severe adverse events is around 20-30% in treated patients.</t>
  </si>
  <si>
    <t>Common adverse events reported with IDHIFA therapy include differentiation syndrome (up to 30% of patients), nausea, vomiting, diarrhea, fatigue, and increased liver enzyme levels. Serious adverse events can include fever and respiratory infections.</t>
  </si>
  <si>
    <t>The estimated annual therapy cost for IDHIFA can be approximately $150,000 to $200,000, depending on insurance coverage and dosage adjustments.</t>
  </si>
  <si>
    <t>IDHIFA can be used in adults, typically indicated for patients aged 18 and older.</t>
  </si>
  <si>
    <t>Both males and females can be affected by AML; however, the incidence is slightly higher in males.</t>
  </si>
  <si>
    <t>IDHIFA is classified as a small molecule inhibitor, specifically a targeted therapy that inhibits the mutant isocitrate dehydrogenase 2 (IDH2) enzyme involved in AML.</t>
  </si>
  <si>
    <t>ONUREG 200MG TAB</t>
  </si>
  <si>
    <t>Fatigue, weakness, fever, easy bruising or bleeding, frequent infections, weight loss, and anemia.</t>
  </si>
  <si>
    <t>Approximately 21,000 new cases (2019 data), with around 4.0 per 100,000 people annually.</t>
  </si>
  <si>
    <t>Quality of life can be significantly impacted due to symptoms, treatment side effects, and emotional burden.</t>
  </si>
  <si>
    <t>Showed a significant improvement in overall survival in clinical trials compared to untreated patients or alternative therapies.</t>
  </si>
  <si>
    <t>Generally well-tolerated; however, monitoring is required for potential toxicities.</t>
  </si>
  <si>
    <t>Common adverse events include diarrhea, nausea, vomiting, fatigue, and hematologic toxicities like anemia and thrombocytopenia.</t>
  </si>
  <si>
    <t>Estimated annual costs can range from $100,000 to $200,000 depending on the treatment regimen and insurance coverage.</t>
  </si>
  <si>
    <t>Primarily used in adults, most commonly in those over 60 years of age.</t>
  </si>
  <si>
    <t>Small molecule inhibitor (specifically, a nucleoside analog).</t>
  </si>
  <si>
    <t>ONUREG 300MG TAB</t>
  </si>
  <si>
    <t>Fatigue, fever, easy bruising or bleeding, frequent infections, weight loss, shortness of breath, pale skin</t>
  </si>
  <si>
    <t>Approximately 4.5 cases per 100,000 people annually in the USA</t>
  </si>
  <si>
    <t>Quality of life can be significantly affected due to treatment side effects and the disease itself; it varies among individuals</t>
  </si>
  <si>
    <t>Approximately 20-30% of patients respond positively to treatment at the recommended dosage</t>
  </si>
  <si>
    <t>Generally well tolerated, but may vary based on individual health conditions</t>
  </si>
  <si>
    <t>Commonly reported adverse events include nausea, vomiting, fatigue, anemia, and risk of infection</t>
  </si>
  <si>
    <t>Estimated at $50,000 to $100,000 per year depending on specific treatment plans and insurance coverage</t>
  </si>
  <si>
    <t>Primarily adults aged 60 and older, but can occur in younger adults, particularly over age 45</t>
  </si>
  <si>
    <t>Slightly more common in males than females (1.5:1 ratio)</t>
  </si>
  <si>
    <t>Small molecule (azacitidine; ONUREG is a hypomethylating agent)</t>
  </si>
  <si>
    <t>ISTODAX 10MG VIAL (W/DILUENT) INJ</t>
  </si>
  <si>
    <t>Swollen lymph nodes, fever, night sweats, weight loss, fatigue, and itchy skin.</t>
  </si>
  <si>
    <t>Approximately 4,600 new cases of PTCL are diagnosed annually in the USA.</t>
  </si>
  <si>
    <t>Often significantly impacted due to disease symptoms and treatment side effects; median overall survival rates are around 20-24 months under treatment.</t>
  </si>
  <si>
    <t>Clinical trials show response rates of approximately 30%-50% in patients receiving ISTODAX, with varying degrees of complete and partial responses.</t>
  </si>
  <si>
    <t>Generally well-tolerated, though with potential risks; the safety profile shows a range of mild to moderate side effects.</t>
  </si>
  <si>
    <t>Common adverse events include fatigue, nausea, diarrhea, thrombocytopenia, and anemia. Serious side effects may include infections and severe skin reactions.</t>
  </si>
  <si>
    <t>Approximately $60,000 - $120,000 per year depending on dosing schedule and healthcare coverage.</t>
  </si>
  <si>
    <t>Primarily adults aged 30-70 years, with a median age at diagnosis of approximately 65 years.</t>
  </si>
  <si>
    <t>More prevalent in males than females, with a ratio of about 2:1.</t>
  </si>
  <si>
    <t>Small molecules (specifically a histone deacetylase inhibitor).</t>
  </si>
  <si>
    <t>ALLERGENIC EXTRACT,ODACTRA 12-SQ-HDM TAB,SL</t>
  </si>
  <si>
    <t>Sneezing, runny or stuffy nose, itchy eyes/nose/throat, post-nasal drip, cough, fatigue.</t>
  </si>
  <si>
    <t>Approximately 19.1 million adults (7.7%) and 5.2 million children (7.5%) in the USA are affected by allergic rhinitis annually.</t>
  </si>
  <si>
    <t>Allergic rhinitis can significantly impact quality of life, causing sleep disturbances, decreased work productivity, and impaired daily activities.</t>
  </si>
  <si>
    <t>Clinical studies have shown that ODACTRA is effective in reducing allergic rhinitis symptoms and improving quality of life by inducing specific IgE and IgG responses.</t>
  </si>
  <si>
    <t>Generally considered safe for use, but may not be suitable for individuals with certain comorbid conditions.</t>
  </si>
  <si>
    <t>Common adverse events include oral pruritus, throat irritation, and swelling of the mouth or throat. Serious allergic reactions are rare.</t>
  </si>
  <si>
    <t>Approximately $600 - $1,200 depending on the patient's insurance coverage and therapy regimen.</t>
  </si>
  <si>
    <t>Affects both males and females equally, though some studies suggest a slightly higher prevalence in males during childhood.</t>
  </si>
  <si>
    <t>Allergenic extract (sublingual immunotherapy).</t>
  </si>
  <si>
    <t>DAXXIFY 100UNIT/VIL INJ</t>
  </si>
  <si>
    <t>Severe, debilitating headaches occurring on 15 or more days per month, often accompanied by nausea, vomiting, sensitivity to light and sound.</t>
  </si>
  <si>
    <t>Approximately 1% of the population in the USA suffers from chronic migraines.</t>
  </si>
  <si>
    <t>Significant reduction in quality of life, affecting daily activities, work, and social interactions.</t>
  </si>
  <si>
    <t>Clinical trials have shown DAXXIFY to be effective in reducing the frequency and severity of migraine attacks in chronic migraine patients.</t>
  </si>
  <si>
    <t>Generally well-tolerated with a favorable safety profile, though individual responses may vary.</t>
  </si>
  <si>
    <t>Common adverse events include injection site reactions, headache, and neck pain; serious adverse events are rare.</t>
  </si>
  <si>
    <t>Estimated annual therapy costs can range from $6,000 to $9,000 depending on dosage and insurance coverage.</t>
  </si>
  <si>
    <t>More prevalent in females, with a female-to-male ratio of approximately 3:1.</t>
  </si>
  <si>
    <t>MYLOTARG 5MG/VIL INJ</t>
  </si>
  <si>
    <t>Fatigue, fever, frequent infections, easy bruising or bleeding, weight loss, bone pain, and anemia.</t>
  </si>
  <si>
    <t>Approximately 21,000 new cases diagnosed annually in the USA; prevalence rate is about 3.6 cases per 100,000 people.</t>
  </si>
  <si>
    <t>Can be significantly impacted due to the severity of the disease and treatment side effects; patients may experience fatigue, pain, and psychosocial distress.</t>
  </si>
  <si>
    <t>MYLOTARG (gemtuzumab ozogamicin) has shown to improve overall survival and event-free survival in certain populations; efficacy rates can vary by previous treatments and genetic mutations.</t>
  </si>
  <si>
    <t>MYLOTARG has an acceptable safety profile when utilized correctly; however, it can lead to significant myelosuppression and liver-related toxicities.</t>
  </si>
  <si>
    <t>Common adverse events include infusion-related reactions, febrile neutropenia, increased liver enzymes, bleeding complications, and infections.</t>
  </si>
  <si>
    <t>Approximate annual therapy costs range from $100,000 to $200,000 depending on treatment regimen and healthcare coverage.</t>
  </si>
  <si>
    <t>Primarily affects adults, typically seen in patients over the age of 65; however, it can also occur in younger adults and, less frequently, children.</t>
  </si>
  <si>
    <t>Incidence is slightly higher in males (approximately 1.2:1 male to female ratio).</t>
  </si>
  <si>
    <t>Monoclonal antibody conjugate.</t>
  </si>
  <si>
    <t>SOMAVERT 20MG/VIL INJ</t>
  </si>
  <si>
    <t>Enlargement of hands and feet, facial changes (such as protruding jaw and enlarged nose), joint pain, thickened skin, headaches, and vision problems.</t>
  </si>
  <si>
    <t>Approximately 3 to 4 cases per million people annually in the USA, with a total prevalent population of around 60,000 to 100,000 individuals.</t>
  </si>
  <si>
    <t>Patients with acromegaly may experience reduced quality of life due to physical changes, joint pain, and complications, often rated lower on quality of life measures compared to the general population.</t>
  </si>
  <si>
    <t>Effective in lowering growth hormone levels and reducing symptoms in about 60% of patients, with individualized responses likely varying.</t>
  </si>
  <si>
    <t>Generally well-tolerated, with a safety profile established through clinical trials; monitoring for glucose levels is necessary.</t>
  </si>
  <si>
    <t>Common adverse events include injection site reactions, nausea, diarrhea, headache, and fatigue. More serious but less common events can include allergic reactions and changes in glucose control.</t>
  </si>
  <si>
    <t>Estimated annual costs range from $60,000 to $100,000 depending on dosing and patient-specific factors.</t>
  </si>
  <si>
    <t>Primarily affects adults aged 30-50 years, but can occur at any age.</t>
  </si>
  <si>
    <t>Affects both genders, with a slight male predominance in incidence.</t>
  </si>
  <si>
    <t>Peptide analog (specifically, a growth hormone receptor antagonist).</t>
  </si>
  <si>
    <t>PROVERA 10MG TAB</t>
  </si>
  <si>
    <t>Irregular menstrual bleeding, heavy periods, prolonged menstruation, abnormal vaginal discharge</t>
  </si>
  <si>
    <t>Approximately 1-10% of women of reproductive age in the USA</t>
  </si>
  <si>
    <t>Can significantly affect physical and emotional well-being; treatment can improve quality of life by normalizing menstrual cycles</t>
  </si>
  <si>
    <t>Studies indicate a response rate of 50-80% in patients with endometrial hyperplasia when treated with progestins like provera</t>
  </si>
  <si>
    <t>Generally considered safe when used as directed; most patients tolerate it well</t>
  </si>
  <si>
    <t>Common side effects include nausea, headache, breast tenderness, and mood changes; less common but serious effects can include thromboembolic events and liver dysfunction</t>
  </si>
  <si>
    <t>Approximately $150-$400 depending on insurance and dosage frequency</t>
  </si>
  <si>
    <t>Typically prescribed for women aged 18-50, but can be used in older populations based on clinical judgement</t>
  </si>
  <si>
    <t>Small molecule (synthetic progestin)</t>
  </si>
  <si>
    <t>PROVERA 2.5MG TAB</t>
  </si>
  <si>
    <t>Irregular menstrual bleeding, heavy periods, prolonged menstrual cycles</t>
  </si>
  <si>
    <t>Approximately 5-10% of women of childbearing age</t>
  </si>
  <si>
    <t>Can be significantly impacted by symptoms such as heavy bleeding and pain, often improving with treatment</t>
  </si>
  <si>
    <t>Approximately 60-90% effective in resolving hyperplasia when used as directed</t>
  </si>
  <si>
    <t>Generally considered safe when prescribed; long-term use may have risks</t>
  </si>
  <si>
    <t>Potential side effects include headaches, mood changes, nausea, breast tenderness, and weight gain</t>
  </si>
  <si>
    <t>Approximately $500-$1,000 depending on insurance coverage and dosage</t>
  </si>
  <si>
    <t>Typically prescribed to women aged 18-50</t>
  </si>
  <si>
    <t>Hormonal therapy (progestin)</t>
  </si>
  <si>
    <t>SOMAVERT 25MG/ML INJ</t>
  </si>
  <si>
    <t>Enlarged extremities, facial changes (such as a protruding jaw), joint pain, thickened skin, and abnormal growth of tissues and organs.</t>
  </si>
  <si>
    <t>Approximately 3 to 4 cases per 100,000 people in the USA.</t>
  </si>
  <si>
    <t>Significantly impacted due to physical symptoms and related complications, potentially reducing overall life satisfaction.</t>
  </si>
  <si>
    <t>60-80% of patients show a reduction in growth hormone levels and symptoms after treatment with SOMAVERT.</t>
  </si>
  <si>
    <t>Generally well tolerated; however, regular monitoring is necessary to manage side effects.</t>
  </si>
  <si>
    <t>Common adverse events include injection site reactions, gastrointestinal symptoms (such as diarrhea), and changes in liver enzyme levels.</t>
  </si>
  <si>
    <t>Approximately $70,000 to $100,000 depending on dosage and insurance coverage.</t>
  </si>
  <si>
    <t>Primarily adults aged 30 to 50 years, though it can occur at any age.</t>
  </si>
  <si>
    <t>Slightly more common in men than women, though both genders can be affected.</t>
  </si>
  <si>
    <t>Growth hormone receptor antagonist (small molecule).</t>
  </si>
  <si>
    <t>CLEOCIN PHOSPHATE SS</t>
  </si>
  <si>
    <t>Abnormal vaginal discharge, fishy odor, itching, burning sensation.</t>
  </si>
  <si>
    <t>Approximately 29% of women in the United States experience bacterial vaginosis at some point in their lives.</t>
  </si>
  <si>
    <t>Can significantly impact quality of life due to discomfort and social concerns.</t>
  </si>
  <si>
    <t>Around 80% efficacy in treating bacterial vaginosis with appropriate use of antibiotic therapy.</t>
  </si>
  <si>
    <t>Generally considered safe when prescribed by a healthcare provider, with appropriate monitoring.</t>
  </si>
  <si>
    <t>Common adverse events include gastrointestinal disturbances (nausea, diarrhea) and allergic reactions.</t>
  </si>
  <si>
    <t>Approximately $400-800 depending on healthcare provider and insurance coverage.</t>
  </si>
  <si>
    <t>Primarily adults, typically between the ages of 18 and 45.</t>
  </si>
  <si>
    <t>Predominantly female.</t>
  </si>
  <si>
    <t>Antibiotic (Lincosamide).</t>
  </si>
  <si>
    <t>PROSTIN VR PEDIATRIC STERILE SOLUTION</t>
  </si>
  <si>
    <t>Symptoms may include difficulty breathing, rapid breathing, poor feeding, low energy, and a heart murmur.</t>
  </si>
  <si>
    <t>Approximately 1-2 per 1,000 live births in the USA.</t>
  </si>
  <si>
    <t>Varies; many infants with PDA can live normal lives if treated effectively, while untreated cases can lead to complications.</t>
  </si>
  <si>
    <t>Prostin VR is effective in closing PDA, with closure rates varying from 60-80%.</t>
  </si>
  <si>
    <t>Generally considered safe when administered appropriately; side effects may arise particularly in vulnerable populations (e.g., prematurity).</t>
  </si>
  <si>
    <t>Possible adverse events include hypotension, fever, irritability, and gastrointestinal symptoms.</t>
  </si>
  <si>
    <t>Approximately $30,000 to $50,000, depending on treatment duration and complications.</t>
  </si>
  <si>
    <t>Primarily used in neonates and infants.</t>
  </si>
  <si>
    <t>No significant gender preference in prevalence, though premature infants of both genders are at risk.</t>
  </si>
  <si>
    <t>Small molecule (prostaglandin E1).</t>
  </si>
  <si>
    <t>CLEOCIN VAGINAL CREAM VAGCRM 2% 40</t>
  </si>
  <si>
    <t>Abnormal vaginal discharge, odor, itching, burning, pelvic discomfort</t>
  </si>
  <si>
    <t>Can significantly impact quality of life due to discomfort, embarrassment, and sexual dysfunction.</t>
  </si>
  <si>
    <t>Clinical studies show approx. 80-90% efficacy in symptom resolution with appropriate treatment.</t>
  </si>
  <si>
    <t>Generally considered safe for use; however, prolonged usage is not recommended without physician oversight.</t>
  </si>
  <si>
    <t>Commonly reported events include local irritation, rash, and allergic reactions; systemic effects are rare.</t>
  </si>
  <si>
    <t>Approximately $200-$300 for treatment, depending on frequency and extent of use.</t>
  </si>
  <si>
    <t>Most common in women aged 15-44.</t>
  </si>
  <si>
    <t>Primarily affects women.</t>
  </si>
  <si>
    <t>Topical antibiotic (clindamycin).</t>
  </si>
  <si>
    <t>SOMAVERT 10MG/VIL INJ</t>
  </si>
  <si>
    <t>Enlargement of facial features, hands, and feet; joint pain; thickened skin; headaches; vision problems; excessive sweating; sleep apnea</t>
  </si>
  <si>
    <t>Approximately 3-4 cases per 100,000 people in the USA</t>
  </si>
  <si>
    <t>Significantly reduced quality of life due to physical changes and associated health complications</t>
  </si>
  <si>
    <t>Effective in normalizing growth hormone levels in 60-70% of patients</t>
  </si>
  <si>
    <t>Generally well-tolerated; careful monitoring is necessary for those with existing health issues</t>
  </si>
  <si>
    <t>Common adverse events may include injection site reactions, nausea, diarrhea, fatigue, and headache</t>
  </si>
  <si>
    <t>Approximately $75,000 - $120,000 per year depending on treatment regimen and insurance coverage</t>
  </si>
  <si>
    <t>Typically diagnosed in adults, but can occur in younger individuals; most commonly affects adults between 30-50 years</t>
  </si>
  <si>
    <t>Affects both males and females equally, with some studies suggesting a slight male predominance</t>
  </si>
  <si>
    <t>Growth hormone receptor antagonist</t>
  </si>
  <si>
    <t>SOMAVERT 15MG/VIL INJ</t>
  </si>
  <si>
    <t>Enlarged hands and feet, facial changes (such as protruding jaw and enlarged nose), joint pain, headaches, vision problems, and excessive sweating.</t>
  </si>
  <si>
    <t>Approximately 3 to 4 cases per million people per year in the USA.</t>
  </si>
  <si>
    <t>Acromegaly can significantly affect quality of life due to physical changes, pain, and psychosocial impacts.</t>
  </si>
  <si>
    <t>Clinical studies show that SOMAVERT (pegvisomant) effectively reduces IGF-1 levels and alleviates symptoms in approximately 90% of treated patients.</t>
  </si>
  <si>
    <t>Generally well tolerated; long-term safety data support its chronic use in patients with acromegaly.</t>
  </si>
  <si>
    <t>Common adverse events include injection site reactions, headaches, nausea, and changes in liver enzyme levels (elevated transaminases).</t>
  </si>
  <si>
    <t>Approximately $192,000 per year, depending on insurance coverage and dosing.</t>
  </si>
  <si>
    <t>Typically prescribed for adults (ages 18 and older).</t>
  </si>
  <si>
    <t>Affects both men and women, with a slightly higher prevalence in men.</t>
  </si>
  <si>
    <t>Small molecule (growth hormone receptor antagonist).</t>
  </si>
  <si>
    <t>SOMAVERT 25MG/VIL INJ</t>
  </si>
  <si>
    <t>Enlargement of hands and feet, facial changes (such as enlarged nose, thickened skin), joint pain, headaches, vision problems, excessive sweating, and potential cardiovascular issues.</t>
  </si>
  <si>
    <t>Approximately 3 to 13 cases per 100,000 people in the USA.</t>
  </si>
  <si>
    <t>Patients often experience a reduced quality of life due to physical discomfort, emotional issues, and social stigma related to appearance changes.</t>
  </si>
  <si>
    <t>Studies show that Somavert effectively reduces growth hormone levels, with up to 60% of patients achieving target GH levels within 6 months.</t>
  </si>
  <si>
    <t>Generally considered safe, but close monitoring is recommended to manage potential side effects.</t>
  </si>
  <si>
    <t>Common adverse events include injection site reactions, gastrointestinal disturbances (nausea, diarrhea), and changes in liver function tests.</t>
  </si>
  <si>
    <t>Approximately $100,000 to $200,000 per year, depending on the dosage and treatment regimen.</t>
  </si>
  <si>
    <t>Primarily adults (30-50 years old), but can occur in younger patients.</t>
  </si>
  <si>
    <t>Affects both genders equally, though some studies suggest a slight male predominance.</t>
  </si>
  <si>
    <t>Peptide analog (specifically a growth hormone receptor antagonist).</t>
  </si>
  <si>
    <t>SOMAVERT 30MG/ML INJ</t>
  </si>
  <si>
    <t>Enlarged hands and feet, facial changes, joint pain, headaches, vision problems, and thickened skin</t>
  </si>
  <si>
    <t>Approximately 3 to 13 cases per million people in the USA</t>
  </si>
  <si>
    <t>Significant improvement in quality of life when treated, though chronic symptoms may persist</t>
  </si>
  <si>
    <t>Generally effective in reducing growth hormone levels and alleviating symptoms, with response rates around 50-80%</t>
  </si>
  <si>
    <t>Generally well-tolerated; regular monitoring recommended to assess for adverse effects</t>
  </si>
  <si>
    <t>Common adverse events include injection site reactions, nausea, diarrhea, fatigue, and hyperglycemia</t>
  </si>
  <si>
    <t>Approximately $100,000 - $120,000</t>
  </si>
  <si>
    <t>Primarily adults, though it can occur in adolescents</t>
  </si>
  <si>
    <t>Both genders are affected, although more common in men</t>
  </si>
  <si>
    <t>Small molecule (growth hormone receptor antagonist)</t>
  </si>
  <si>
    <t>SOMAVERT 30MG/VIL INJ</t>
  </si>
  <si>
    <t>Enlarged hands and feet, facial changes (such as a protruding jaw), joint pain, thickened skin, headaches, vision problems, excessive sweating, and increased size of internal organs.</t>
  </si>
  <si>
    <t>Significantly impaired due to physical symptoms, social stigma, and potential comorbidities, which can affect daily activities and mental health.</t>
  </si>
  <si>
    <t>Effective in reducing growth hormone (GH) levels and alleviating symptoms; response rates vary, but most patients see significant improvement in symptoms.</t>
  </si>
  <si>
    <t>Generally well-tolerated; long-term safety data supports its use in managing acromegaly.</t>
  </si>
  <si>
    <t>Common adverse events include injection site reactions, nausea, diarrhea, fatigue, and abdominal pain. Rarely can cause more serious effects like gallbladder disease.</t>
  </si>
  <si>
    <t>Approximately $120,000 to $150,000 depending on the dosage and healthcare plans.</t>
  </si>
  <si>
    <t>Primarily adults (typically diagnosed in middle age).</t>
  </si>
  <si>
    <t>Affects both genders, with a slightly higher prevalence in men.</t>
  </si>
  <si>
    <t>Somatostatin analogue (specifically, pegvisomant); classified as a small molecule therapy.</t>
  </si>
  <si>
    <t>ATGAM S.S.</t>
  </si>
  <si>
    <t>Aplastic Anemia</t>
  </si>
  <si>
    <t>Fatigue, weakness, frequent infections, easy bruising or bleeding, shortness of breath</t>
  </si>
  <si>
    <t>Approximately 2-6 per million individuals annually in the USA</t>
  </si>
  <si>
    <t>Significantly impacted due to fatigue and risk of infections; varies based on disease severity</t>
  </si>
  <si>
    <t>Response rate (improvement in blood counts) observed in approximately 60-80% of treated patients</t>
  </si>
  <si>
    <t>Generally well-tolerated; however, it carries risks due to immunosuppression</t>
  </si>
  <si>
    <t>Fever, chills, rash, hypotension, infections, and infusion-related reactions</t>
  </si>
  <si>
    <t>Approximately $200,000 to $300,000 depending on treatment duration and healthcare facilities</t>
  </si>
  <si>
    <t>Primarily adults, but can occur in children and adolescents</t>
  </si>
  <si>
    <t>Affects both genders, with a slight male predominance</t>
  </si>
  <si>
    <t>Polyclonal Antibody (Immunosuppressive Therapy)</t>
  </si>
  <si>
    <t>CLEOCIN 100MG SUPP,VAG</t>
  </si>
  <si>
    <t>Unusual vaginal discharge, odor (often fishy), itching, irritations in the vaginal area</t>
  </si>
  <si>
    <t>Approximately 30% of women in the USA have experienced bacterial vaginosis at least once in their lifetime</t>
  </si>
  <si>
    <t>Can significantly impair quality of life due to discomfort, social embarrassment, and potential sexual health impacts</t>
  </si>
  <si>
    <t>Approximately 80-90% effective in treating bacterial vaginosis</t>
  </si>
  <si>
    <t>Generally safe for use under medical supervision, but with some considerations</t>
  </si>
  <si>
    <t>Possible adverse events include diarrhea, nausea, abdominal pain, and allergic reactions</t>
  </si>
  <si>
    <t>Approximately $300 to $500 per year, depending on prescription and frequency of recurrence</t>
  </si>
  <si>
    <t>Predominantly affects women aged 15-44 years</t>
  </si>
  <si>
    <t>Antibiotic (specifically clindamycin, which is a lincosamide antibiotic)</t>
  </si>
  <si>
    <t>IDAMYCIN PFS 5MG/5ML SYRINGE</t>
  </si>
  <si>
    <t>Symptoms may include fatigue, fever, frequent infections, easy bruising or bleeding, weight loss, and pain or discomfort in affected areas due to tumor growth.</t>
  </si>
  <si>
    <t>Acute Myeloid Leukemia affects approximately 20,000 people each year in the USA, with a prevalence of about 3.5 cases per 100,000 adults annually.</t>
  </si>
  <si>
    <t>Patients undergoing treatment for AML often experience a reduced quality of life due to the disease and side effects from treatment, including fatigue and psychological impacts.</t>
  </si>
  <si>
    <t>Idamycin (idarubicin) shows efficacy rates of around 60-70% in inducing remission in newly diagnosed AML patients when used in combination therapies.</t>
  </si>
  <si>
    <t>Idarubicin is considered effective but carries a safety profile that necessitates monitoring; significant toxicities include cardiotoxicity and myelosuppression.</t>
  </si>
  <si>
    <t>Common adverse events include nausea, vomiting, hair loss, low blood cell counts, and cardiotoxicity (which can occur in approximately 10% of patients).</t>
  </si>
  <si>
    <t>The annual therapy costs can exceed $20,000, depending on the treatment regimen, healthcare resources used, and hospitalization needs.</t>
  </si>
  <si>
    <t>Primarily used in adults; relatively uncommon in pediatric populations.</t>
  </si>
  <si>
    <t>Affects both genders, with slight male predominance (about 60% male, 40% female).</t>
  </si>
  <si>
    <t>Small molecule chemotherapy.</t>
  </si>
  <si>
    <t>IDAMYCIN PFS 10MG/10ML SYRINGE</t>
  </si>
  <si>
    <t>Fatigue, weakness, fever, easy bruising or bleeding, frequent infections, weight loss, swollen gums.</t>
  </si>
  <si>
    <t>Approximately 4.2 cases per 100,000 people annually in the USA.</t>
  </si>
  <si>
    <t>Quality of life can be significantly affected due to the severity of symptoms, treatment side effects, and psychological impact of the disease.</t>
  </si>
  <si>
    <t>Generally shows a response rate of 40-60% in patients with newly diagnosed AML depending on specific subtypes and genetic factors.</t>
  </si>
  <si>
    <t>Safety profile indicates a range of potential risks, including severe infection and organ toxicity, particularly affecting the heart and lungs.</t>
  </si>
  <si>
    <t>Common adverse events include nausea, vomiting, hair loss, low blood cell counts (anemia, neutropenia, thrombocytopenia), and infusion-related reactions.</t>
  </si>
  <si>
    <t>The cost for treatment can range from $10,000 to $100,000 per year depending on the treatment regimen and patient circumstances.</t>
  </si>
  <si>
    <t>Mainly affects adults, with median age at diagnosis around 68 years.</t>
  </si>
  <si>
    <t>Slightly more prevalent in males than females.</t>
  </si>
  <si>
    <t>IDAMYCIN PFS 20MG/20ML SYRINGE</t>
  </si>
  <si>
    <t>Fatigue, fever, pale skin, easy bruising or bleeding, frequent infections, weight loss, shortness of breath, dizziness, and an enlarged spleen or liver.</t>
  </si>
  <si>
    <t>Approximately 4.2 cases per 100,000 people in the USA annually, affecting about 20,000 new cases per year.</t>
  </si>
  <si>
    <t>Quality of life can be significantly impacted due to symptoms, treatment side effects, and the psychological burden of cancer diagnosis, though improvement can occur with effective management.</t>
  </si>
  <si>
    <t>Idamycin (idarubicin) shows a response rate of approximately 50-70% in combination regimens for treating AML.</t>
  </si>
  <si>
    <t>Generally considered safe when used appropriately, but requires monitoring for specific complications.</t>
  </si>
  <si>
    <t>Common adverse events include nausea, vomiting, hair loss, low blood cell counts (neutropenia, thrombocytopenia), and increased risk of infections.</t>
  </si>
  <si>
    <t>Estimated between $30,000 and $100,000 depending on treatment regimen and healthcare resources used.</t>
  </si>
  <si>
    <t>Primarily adults aged 60 and older, though it can occur in younger individuals.</t>
  </si>
  <si>
    <t>Slightly more prevalent in males compared to females (male-to-female ratio approximately 1.3:1).</t>
  </si>
  <si>
    <t>Small molecule (anthracycline antibiotic).</t>
  </si>
  <si>
    <t>LOMOTIL TABLETS</t>
  </si>
  <si>
    <t>Loose or watery stools, abdominal cramps, urgent need to have a bowel movement, dehydration</t>
  </si>
  <si>
    <t>Approximately 10-15% of the U.S. population experiences acute diarrhea annually</t>
  </si>
  <si>
    <t>Chronic diarrhea can significantly degrade quality of life, affecting daily activities, work, and social interactions.</t>
  </si>
  <si>
    <t>Lomotil is effective in reducing the frequency of stools and providing relief from diarrhea symptoms; often a quick onset of action.</t>
  </si>
  <si>
    <t>Generally safe when used as directed, but misuse or overuse can lead to serious complications.</t>
  </si>
  <si>
    <t>Common adverse events may include dizziness, drowsiness, dry mouth, and constipation. Rarely, more severe effects such as ileus or severe allergic reactions may occur.</t>
  </si>
  <si>
    <t>Approximately $100 to $250 depending on dosage and duration of therapy.</t>
  </si>
  <si>
    <t>No significant gender differences in efficacy or safety reported.</t>
  </si>
  <si>
    <t>Antidiarrheal agent (combination of diphenoxylate and atropine).</t>
  </si>
  <si>
    <t>ALDACTONE</t>
  </si>
  <si>
    <t>Hyperaldosteronism</t>
  </si>
  <si>
    <t>High blood pressure, Fatigue, Muscle weakness, Frequent urination, Abnormal heart rhythms</t>
  </si>
  <si>
    <t>Approximately 0.5% - 5% of the population have primary hyperaldosteronism; heart failure affects 6.2 million adults in the USA.</t>
  </si>
  <si>
    <t>Patients experience improved quality of life when managed effectively, particularly in heart failure.</t>
  </si>
  <si>
    <t>Studies show a significant reduction in blood pressure and improvement in heart failure symptoms.</t>
  </si>
  <si>
    <t>Generally considered safe with appropriate monitoring, particularly electrolytes.</t>
  </si>
  <si>
    <t>Hyperkalemia, dehydration, dizziness, gastrointestinal disturbances; rare but serious events include severe allergic reactions.</t>
  </si>
  <si>
    <t>Estimated between $300 to $500, depending on insurance coverage and dosages.</t>
  </si>
  <si>
    <t>Mostly prescribed for adults; prevalent in older adults (age 60 and above).</t>
  </si>
  <si>
    <t>Gender distribution is relatively equal; however, men may have a higher incidence of primary hyperaldosteronism.</t>
  </si>
  <si>
    <t>Small molecule, specifically a potassium-sparing diuretic.</t>
  </si>
  <si>
    <t>NORPACE</t>
  </si>
  <si>
    <t>Palpitations, dizziness, shortness of breath, chest pain, fatigue</t>
  </si>
  <si>
    <t>Approximately 1% of the general population has atrial fibrillation; ventricular tachycardia is less common but still significant in those with heart disease.</t>
  </si>
  <si>
    <t>Quality of life can be significantly impacted due to the symptoms of arrhythmias and the fear of related complications such as stroke or heart failure.</t>
  </si>
  <si>
    <t>NORPACE has demonstrated efficacy in managing ventricular tachycardia and atrial fibrillation, with response rates around 60-70% in selected patients.</t>
  </si>
  <si>
    <t>Generally well tolerated; safety profile indicates it can have cardiac-related effects, which necessitate monitoring.</t>
  </si>
  <si>
    <t>Common adverse events include dizziness (10%), dry mouth (5%), blurred vision (5%), and potential for proarrhythmia.</t>
  </si>
  <si>
    <t>The annual therapy costs for NORPACE can range from $1,500 to $3,000 depending on dosages and insurance coverage.</t>
  </si>
  <si>
    <t>Typically prescribed to adults, particularly those 50 years and older.</t>
  </si>
  <si>
    <t>Both genders; however, certain arrhythmias like atrial fibrillation are more prevalent in males.</t>
  </si>
  <si>
    <t>NORPACE 100MG CAP</t>
  </si>
  <si>
    <t>Palpitations, dizziness, lightheadedness, chest pain, shortness of breath, fainting</t>
  </si>
  <si>
    <t>Approximately 1-3% of the general population (varies with underlying heart disease)</t>
  </si>
  <si>
    <t>Can be significantly affected due to the risk of serious complications, anxiety about episodes, and limitations in physical activity</t>
  </si>
  <si>
    <t>Effective in approximately 60-80% of patients for managing ventricular tachycardia</t>
  </si>
  <si>
    <t>Generally well tolerated; considered safe when monitored, but may have significant interactions</t>
  </si>
  <si>
    <t>Common: dizziness, blurred vision; Serious: arrhythmias, hypotension, heart block</t>
  </si>
  <si>
    <t>Approximately $1,000 - $5,000 (varies based on insurance and usage)</t>
  </si>
  <si>
    <t>Adults (typically middle-aged and older patients)</t>
  </si>
  <si>
    <t>More common in males, though women may experience different presentations</t>
  </si>
  <si>
    <t>Antiarrhythmic medication (small molecule)</t>
  </si>
  <si>
    <t>PREMARIN 0.45MG TAB</t>
  </si>
  <si>
    <t>Approximately 50 million women in the USA are postmenopausal, representing about 15% of the female population</t>
  </si>
  <si>
    <t>Improvement in quality of life for many women experiencing moderate to severe menopausal symptoms</t>
  </si>
  <si>
    <t>Approximately 75-90% effective in alleviating menopausal symptoms</t>
  </si>
  <si>
    <t>Generally well-tolerated; long-term use should be monitored for risks such as cardiovascular disease and breast cancer</t>
  </si>
  <si>
    <t>Risk of blood clots, stroke, breast cancer, endometrial cancer in certain populations; common adverse events include headache, nausea, and bloating</t>
  </si>
  <si>
    <t>Approximately $600 to $1,000 per year depending on insurance coverage and regimen</t>
  </si>
  <si>
    <t>Primarily women aged 50-65</t>
  </si>
  <si>
    <t>Hormone replacement therapy (HRT), conjugated estrogen</t>
  </si>
  <si>
    <t>PFIZERPEN FOR INJECTION 5 MILLION UNITS</t>
  </si>
  <si>
    <t>Syphilis</t>
  </si>
  <si>
    <t>Sores, rashes, fever, fatigue, swollen lymph nodes, pain, and affected organ systems depending on the infection</t>
  </si>
  <si>
    <t>Approximately 0.1% for syphilis (as of 2021)</t>
  </si>
  <si>
    <t>Significantly affected by untreated infections; however, effective treatment can lead to normalized quality of life</t>
  </si>
  <si>
    <t>Highly effective, with cure rates exceeding 95% for early syphilis</t>
  </si>
  <si>
    <t>Generally safe when used as directed; however, caution in patients with penicillin allergies</t>
  </si>
  <si>
    <t>Allergic reactions, including anaphylaxis (rare), rash, fever, urticaria</t>
  </si>
  <si>
    <t>Approximately $100 to $200 for a course of treatment</t>
  </si>
  <si>
    <t>All age groups, but higher prevalence in sexually active adults</t>
  </si>
  <si>
    <t>More common in men, particularly men who have sex with men</t>
  </si>
  <si>
    <t>Antibiotic therapy (penicillin G)</t>
  </si>
  <si>
    <t>INLYTA 5MG TAB</t>
  </si>
  <si>
    <t>Hematuria (blood in urine), flank pain, unexplained weight loss, fatigue, fever, and a mass in the abdomen.</t>
  </si>
  <si>
    <t>Approximately 73,000 new cases per year in the USA.</t>
  </si>
  <si>
    <t>Varies significantly; treatment can improve symptoms but may also cause distress due to treatment side effects.</t>
  </si>
  <si>
    <t>Around 30-40% response rate in patients with previously treated advanced renal cell carcinoma.</t>
  </si>
  <si>
    <t>Generally safe but requires monitoring; some patients may experience severe side effects.</t>
  </si>
  <si>
    <t>Common adverse events include hypertension, fatigue, diarrhea, liver enzyme elevation, and nausea. Severe events can include renal failure and pulmonary toxicity.</t>
  </si>
  <si>
    <t>Approximately $150,000 to $200,000 per year.</t>
  </si>
  <si>
    <t>Primarily adults aged 45-70 years.</t>
  </si>
  <si>
    <t>More common in males than females (approximately 2:1 ratio).</t>
  </si>
  <si>
    <t>Small molecule tyrosine kinase inhibitor.</t>
  </si>
  <si>
    <t>IBRANCE 125MG CAP</t>
  </si>
  <si>
    <t>Breast lump, pain in the breast or chest, swelling of the breast, changes in breast shape, and metastasis symptoms depending on affected organs (e.g., bone pain, respiratory issues).</t>
  </si>
  <si>
    <t>Approximately 30% of women diagnosed with breast cancer develop metastatic breast cancer, translating to roughly 160,000 women in the USA currently living with metastatic breast cancer.</t>
  </si>
  <si>
    <t>Patients may experience a reduced quality of life due to symptoms, treatment side effects, and psychological impact. However, disease control with IBRANCE can improve quality of life for some patients.</t>
  </si>
  <si>
    <t>In clinical studies, the combination of IBRANCE with aromatase inhibitors showed a median progression-free survival of about 24 months compared to the control groups.</t>
  </si>
  <si>
    <t>Generally considered safe, with a well-defined safety profile; the benefits often outweigh the risks for most patients.</t>
  </si>
  <si>
    <t>Common adverse events include neutropenia (58%), fatigue (32%), nausea (27%), and diarrhea (24%).</t>
  </si>
  <si>
    <t>Approximately $130,000 per year for IBRANCE treatment.</t>
  </si>
  <si>
    <t>Primarily used in adult women, typically aged 40-75 years.</t>
  </si>
  <si>
    <t>Predominantly prescribed for women, though men can also develop breast cancer.</t>
  </si>
  <si>
    <t>Small molecule, specifically a CDK4/6 inhibitor.</t>
  </si>
  <si>
    <t>DAURISMO 25MG TAB</t>
  </si>
  <si>
    <t>Fatigue, fever, easy bruising or bleeding, weight loss, shortness of breath, frequent infections, pale skin, and bone pain.</t>
  </si>
  <si>
    <t>Approximately 20,000 new cases in the USA annually.</t>
  </si>
  <si>
    <t>Quality of life can be significantly impacted due to symptoms and treatment side effects; many patients experience fatigue, anxiety, and changes in physical functioning during treatment.</t>
  </si>
  <si>
    <t>In clinical studies, Daurismo has shown to improve outcomes in combination with chemotherapy in certain patient groups.</t>
  </si>
  <si>
    <t>Generally well tolerated, but a thorough evaluation of patient-specific risk factors is necessary; monitoring is important due to potential side effects.</t>
  </si>
  <si>
    <t>Common adverse events include nausea, fatigue, anemia, and thrombocytopenia; serious but less common events can include febrile neutropenia and pneumonia.</t>
  </si>
  <si>
    <t>Approximately $150,000 to $250,000, depending on the treatment regimen and other medical costs.</t>
  </si>
  <si>
    <t>Primarily adults aged 60 and older, although AML can occur in younger adults as well.</t>
  </si>
  <si>
    <t>More common in men than women, with a male-to-female ratio of approximately 1.5:1.</t>
  </si>
  <si>
    <t>Small molecule inhibitor (specifically a type of drug that targets genetic mutations associated with AML).</t>
  </si>
  <si>
    <t>DAURISMO 100MG TAB</t>
  </si>
  <si>
    <t>Fatigue, fever, easy bruising or bleeding, frequent infections, weight loss, shortness of breath, swollen lymph nodes, pale skin</t>
  </si>
  <si>
    <t>Approximately 21,000 new cases annually in the USA</t>
  </si>
  <si>
    <t>Varies significantly; many experience a decline due to treatment side effects and disease burden</t>
  </si>
  <si>
    <t>Efficacy shown in increasing remission rates and improving survival in certain patient populations</t>
  </si>
  <si>
    <t>Generally considered safe when monitored closely; regular blood tests are required</t>
  </si>
  <si>
    <t>Common adverse events include neutropenia, anemia, thrombocytopenia, fever, and infections</t>
  </si>
  <si>
    <t>Approximately $100,000 - $150,000</t>
  </si>
  <si>
    <t>Primarily adults, typically over 65 years old</t>
  </si>
  <si>
    <t>More common in men than women, with a ratio of about 1.3:1</t>
  </si>
  <si>
    <t>Small molecule, specifically a targeted therapy (FLT3 inhibitor)</t>
  </si>
  <si>
    <t>ELREXFIO 44MG/1.1ML INJ,SOLN</t>
  </si>
  <si>
    <t>Amyloidosis</t>
  </si>
  <si>
    <t>Fatigue, weight loss, swelling in the legs and ankles, shortness of breath, numbness, and pain in the hands and feet, irregular heart rhythms.</t>
  </si>
  <si>
    <t>Approximately 0.5 to 1.5 cases per 100,000 people annually in the USA.</t>
  </si>
  <si>
    <t>Patients often experience significantly reduced quality of life due to fatigue, pain, and multiple organ dysfunction.</t>
  </si>
  <si>
    <t>Clinical studies have shown ELREXFIO to be effective in reducing amyloid-related symptoms and improving functional status, with efficacy rates of approximately 55-70%.</t>
  </si>
  <si>
    <t>Generally well-tolerated, but monitoring for infusion reactions is recommended; safety profile shows common tolerance in most patients.</t>
  </si>
  <si>
    <t>Possible adverse events include infusion reactions, fatigue, dizziness, anemia, and gastrointestinal symptoms.</t>
  </si>
  <si>
    <t>Estimated at $100,000 to $200,000 depending on treatment regimen and healthcare coverage.</t>
  </si>
  <si>
    <t>Most commonly prescribed for adults, particularly aged 50 and older.</t>
  </si>
  <si>
    <t>Affects both genders, but there is a slightly higher prevalence in men.</t>
  </si>
  <si>
    <t>VISTARIL 25MG CAP</t>
  </si>
  <si>
    <t>Approximately 19.1% of U.S. adults have experienced an anxiety disorder in the past year</t>
  </si>
  <si>
    <t>Can improve social interactions and daily functioning when symptoms are managed; however, long-term use may be associated with dependency</t>
  </si>
  <si>
    <t>Generally effective in reducing symptoms of anxiety; may also provide sedation, with effects typically seen within 30-60 minutes</t>
  </si>
  <si>
    <t>Generally considered safe for short-term use; long-term use carries potential risks including dependency; contraindicated in some populations (e.g., pregnant individuals)</t>
  </si>
  <si>
    <t>Drowsiness, dry mouth, dizziness, blurred vision, confusion, and potential allergic reactions</t>
  </si>
  <si>
    <t>Approximately $600-1200 per year, depending on dosage and frequency of use</t>
  </si>
  <si>
    <t>Approved for use in adults and children over 6 years of age</t>
  </si>
  <si>
    <t>No significant gender differences in response; however, anxiety disorders are more prevalent in females</t>
  </si>
  <si>
    <t>Antihistamine (small molecule) with anxiolytic properties</t>
  </si>
  <si>
    <t>CEREBYX 500MGPE/10ML</t>
  </si>
  <si>
    <t>Prolonged seizures, loss of consciousness, muscle rigidity, and autonomic instability.</t>
  </si>
  <si>
    <t>Approximately 150,000 cases per year in the USA.</t>
  </si>
  <si>
    <t>Can be severely affected due to cognitive impairment and ongoing seizure management; some patients may require long-term care.</t>
  </si>
  <si>
    <t>Highly effective in controlling emergent seizure activity; rates of cessation of seizures exceed 70% in clinical settings.</t>
  </si>
  <si>
    <t>Generally well-tolerated; however, monitoring is necessary due to potential cardiovascular effects.</t>
  </si>
  <si>
    <t>Drowsiness, dizziness, confusion, nausea, and ataxia; rare occurrences of hepatotoxicity.</t>
  </si>
  <si>
    <t>Approx. $20,000 - $30,000, depending on administration and monitoring expenses.</t>
  </si>
  <si>
    <t>All ages, but more common in children and the elderly.</t>
  </si>
  <si>
    <t>Males have a slightly higher prevalence than females.</t>
  </si>
  <si>
    <t>Small molecule anticonvulsant (phenytoin-related).</t>
  </si>
  <si>
    <t>CEREBYX 100MGPE/2ML</t>
  </si>
  <si>
    <t>Prolonged seizures, altered consciousness, confusion, and agitation.</t>
  </si>
  <si>
    <t>Approximately 0.02% of the population in the USA experiences status epilepticus at some point in their lives.</t>
  </si>
  <si>
    <t>Significantly affected due to potential cognitive impairment, risk of injury, and emotional distress.</t>
  </si>
  <si>
    <t>Estimated to control seizures in 60-75% of cases effectively.</t>
  </si>
  <si>
    <t>Generally safe but requires monitoring due to potential for serious side effects.</t>
  </si>
  <si>
    <t>Potential side effects include sedation, ataxia, dizziness, and skin reactions.</t>
  </si>
  <si>
    <t>Approximately $18,000 - $30,000 depending on the treatment regimen and duration of therapy.</t>
  </si>
  <si>
    <t>Primarily used in all age groups, but particularly critical in adults and older children.</t>
  </si>
  <si>
    <t>No significant gender-specific differences noted in the incidence or response.</t>
  </si>
  <si>
    <t>Small molecules (specifically, a phenytoin-derived anti-seizure medication).</t>
  </si>
  <si>
    <t>ZARONTIN</t>
  </si>
  <si>
    <t>Brief episodes of loss of consciousness, staring spells, subtle body movements (e.g., eye blinking)</t>
  </si>
  <si>
    <t>Approximately 0.2-0.5% of the population in the USA</t>
  </si>
  <si>
    <t>Generally good, though seizures can impact daily activities and educational performance</t>
  </si>
  <si>
    <t>Effective in controlling absence seizures in about 60-90% of patients</t>
  </si>
  <si>
    <t>Generally well-tolerated; considered safe for long-term use</t>
  </si>
  <si>
    <t>Common adverse events include dizziness, sedation, gastrointestinal disturbances, and behavioral changes</t>
  </si>
  <si>
    <t>Approximately $600 to $1,200 for generic forms, can vary based on insurance and pharmacy pricing</t>
  </si>
  <si>
    <t>Typically prescribed for children, but can be used in adolescents and adults with absence seizures</t>
  </si>
  <si>
    <t>No significant gender predilection, affects males and females equally</t>
  </si>
  <si>
    <t>Small molecules (specifically an anticonvulsant)</t>
  </si>
  <si>
    <t>PENTOSTATIN 10MG/MANNITOL 50MG/VIL INJ</t>
  </si>
  <si>
    <t>Fatigue, splenomegaly, lymphadenopathy, recurrent infections, easy bruising or bleeding, and anemia.</t>
  </si>
  <si>
    <t>Approximately 3,000-4,000 cases in the USA; estimated incidence rate is about 0.5 per 100,000 people annually.</t>
  </si>
  <si>
    <t>Generally good post-treatment, but may experience long-term effects from the disease and treatment; many achieve remission.</t>
  </si>
  <si>
    <t>80-90% response rates in treatment-naive patients; durable responses observed in most cases.</t>
  </si>
  <si>
    <t>Generally well-tolerated; frequent monitoring is required, especially for blood counts and signs of infection.</t>
  </si>
  <si>
    <t>Myelosuppression, which can lead to neutropenia, thrombocytopenia, and anemia; infections; fatigue; and gastrointestinal issues.</t>
  </si>
  <si>
    <t>Approximately $30,000 to $50,000, depending on treatment regimen and healthcare setting.</t>
  </si>
  <si>
    <t>Most prevalent in adults aged 50-70 years.</t>
  </si>
  <si>
    <t>More common in males, with a male-to-female ratio of about 4:1.</t>
  </si>
  <si>
    <t>Small molecules (specifically, a purine analog).</t>
  </si>
  <si>
    <t>NALOXONE HCL 0.4MG/ML 1ML CJT LL</t>
  </si>
  <si>
    <t>Respiratory depression, unresponsiveness, pinpoint pupils, bradycardia, cyanosis</t>
  </si>
  <si>
    <t>Approximately 80,000 opioid overdose deaths annually in the USA, with millions using opioids</t>
  </si>
  <si>
    <t>Poor in cases of overdose; can lead to severe brain damage, organ failure, or death, impacting survivors' quality of life</t>
  </si>
  <si>
    <t>Highly effective in reversing opioid overdose; studies show 90% reversal rate if administered quickly</t>
  </si>
  <si>
    <t>Generally safe; minimal side effects when used appropriately</t>
  </si>
  <si>
    <t>Could include withdrawal symptoms in opioid-dependent individuals, nausea, vomiting, and agitation</t>
  </si>
  <si>
    <t>Naloxone costs around $40-$150 per dose depending on the formulation and region; additional costs might be incurred for training and support services</t>
  </si>
  <si>
    <t>Primarily affected populations are adults, but it is applicable to all age groups due to the nature of opioid use</t>
  </si>
  <si>
    <t>Affects all genders; however, males are more likely to experience opioid overdoses than females</t>
  </si>
  <si>
    <t>Small molecule; opioid antagonist</t>
  </si>
  <si>
    <t>LORAZEPAM 2MG/ML INJ CJT LL SLMPK</t>
  </si>
  <si>
    <t>Approximately 31% of adults experience anxiety disorders at some point in their lives</t>
  </si>
  <si>
    <t>Can significantly improve quality of life by reducing anxiety and improving sleep; however, long-term use may lead to dependency and impaired cognitive function</t>
  </si>
  <si>
    <t>Efficacy rates for anxiety and insomnia: 60-80% for acute management</t>
  </si>
  <si>
    <t>Generally safe when used as directed; risk increases with long-term use or in combination with other CNS depressants</t>
  </si>
  <si>
    <t>Drowsiness, dizziness, weakness, disorientation, potential for dependency</t>
  </si>
  <si>
    <t>Approximately $500 - $1,000 per year depending on insurance and frequency of use</t>
  </si>
  <si>
    <t>Generally used in adults, with caution in elderly populations</t>
  </si>
  <si>
    <t>No significant gender difference in efficacy or safety; however, women may be prescribed more frequently due to higher rates of anxiety disorders</t>
  </si>
  <si>
    <t>Small molecules; benzodiazepine class</t>
  </si>
  <si>
    <t>LEVOPHED 1MG/ML INJ 4ML AMP</t>
  </si>
  <si>
    <t>Low blood pressure, rapid heart rate, cold extremities, confusion, diminished urine output</t>
  </si>
  <si>
    <t>Approximately 1.5 million cases of septic shock occur annually in the USA</t>
  </si>
  <si>
    <t>Significantly impacted during acute episodes; long-term quality of life may improve post-recovery but can include lasting complications</t>
  </si>
  <si>
    <t>Effective in increasing blood pressure and improving organ perfusion in severe hypotension and septic shock</t>
  </si>
  <si>
    <t>Generally well-tolerated when properly administered; continuous monitoring is essential</t>
  </si>
  <si>
    <t>Tissue ischemia, arrhythmias, headache, anxiety, limb necrosis (with extravasation)</t>
  </si>
  <si>
    <t>Approximately $10,000 - $20,000 based on hospitalization and treatment duration (not including additional hospital care costs)</t>
  </si>
  <si>
    <t>All age groups, but particularly prevalent in older adults and those with comorbid conditions</t>
  </si>
  <si>
    <t>No significant gender preference; both males and females affected equally</t>
  </si>
  <si>
    <t>Catecholamine (small molecule)</t>
  </si>
  <si>
    <t>SODIUM CHLORIDE 0.9% INJ FTV</t>
  </si>
  <si>
    <t>Thirst, confusion, irritability, muscle twitching, seizures, and coma in severe cases</t>
  </si>
  <si>
    <t>Approximately 1-5% of hospitalized patients may experience hypernatremia</t>
  </si>
  <si>
    <t>Generally restored with appropriate treatment, but prolonged conditions can lead to chronic issues</t>
  </si>
  <si>
    <t>Very effective as a rehydration solution when used appropriately</t>
  </si>
  <si>
    <t>Generally considered safe; however, monitoring is required to avoid fluid overload</t>
  </si>
  <si>
    <t>Rarely, can cause fluid overload, electrolyte imbalances, or pulmonary edema</t>
  </si>
  <si>
    <t>Approximately $300 - $600, depending on treatment duration and frequency of use</t>
  </si>
  <si>
    <t>All age groups, but particularly critical in the elderly and infants</t>
  </si>
  <si>
    <t>Electrolyte solution (small molecules)</t>
  </si>
  <si>
    <t>QUELICIN 20MG/ML INJ FTV</t>
  </si>
  <si>
    <t>Muscle rigidity, increased body temperature, elevated heart rate, rapid breathing, acidosis, potential cardiac arrest</t>
  </si>
  <si>
    <t>Approximately 1 in 30,000 anesthetics administered</t>
  </si>
  <si>
    <t>Significant impact when untreated; immediate danger of death can substantially affect long-term quality of life</t>
  </si>
  <si>
    <t>High efficacy when used as part of emergency treatment for malignant hyperthermia</t>
  </si>
  <si>
    <t>Generally safe when used in an emergency context</t>
  </si>
  <si>
    <t>Muscle pain, elevated calcium levels, renal failure, arrhythmias, potential allergic reactions</t>
  </si>
  <si>
    <t>Variable; single episode management can cost over $10,000 depending on the severity and complications</t>
  </si>
  <si>
    <t>All age groups (most common during anesthesia induction in younger patients)</t>
  </si>
  <si>
    <t>No significant gender preference; both sexes are equally affected</t>
  </si>
  <si>
    <t>Small molecule (Dantrium/ Dantrolene sodium) used in injectable form</t>
  </si>
  <si>
    <t>SODIUM CHLORIDE 0.9% INJ ADD VANTAGE</t>
  </si>
  <si>
    <t>Symptoms may include headache, nausea, vomiting, confusion, muscle cramps, and seizures. Severe cases can lead to coma and death.</t>
  </si>
  <si>
    <t>Hyponatremia affects approximately 1.5% to 5% of hospitalized patients in the USA.</t>
  </si>
  <si>
    <t>Quality of life can be significantly impaired in severe cases due to confusion, seizures, and other neurological symptoms.</t>
  </si>
  <si>
    <t>Efficacy of sodium chloride solution for correcting hyponatremia is well established, often leading to rapid improvement in serum sodium levels.</t>
  </si>
  <si>
    <t>Generally considered safe when used appropriately; however, rapid correction of sodium levels can lead to osmotic demyelination syndrome.</t>
  </si>
  <si>
    <t>Adverse events may include fluid overload, hypertension, and electrolyte imbalances (hypernatremia).</t>
  </si>
  <si>
    <t>The cost for sodium chloride 0.9% injection varies but can range from $50 to $500 per year depending on usage and administration settings.</t>
  </si>
  <si>
    <t>All age groups; usage is common in pediatrics (infants and children) and geriatrics (older adults).</t>
  </si>
  <si>
    <t>No specific gender preference; affects both males and females equally.</t>
  </si>
  <si>
    <t>Electrolyte replacement solution.</t>
  </si>
  <si>
    <t>SODIUM CHLORIDE 0.9% INJ 100ML ADD-V</t>
  </si>
  <si>
    <t>Thirst, dry mouth, reduced urine output, confusion, irritability, muscle cramps, seizures, fatigue</t>
  </si>
  <si>
    <t>Dehydration occurs in about 5% of adults; hypotonic hyponatremia affects about 1.4% of the US population</t>
  </si>
  <si>
    <t>Quality of life can be significantly impacted during severe dehydration or electrolyte imbalance, especially in chronic cases</t>
  </si>
  <si>
    <t>Highly effective for restoring hydration and correcting electrolyte imbalances in acute settings</t>
  </si>
  <si>
    <t>Generally safe, but requires monitoring to avoid fluid overload</t>
  </si>
  <si>
    <t>Fluid overload, electrolyte disturbance, peripheral edema</t>
  </si>
  <si>
    <t>Approximately $100 per year, depending on usage and facility fees</t>
  </si>
  <si>
    <t>All age groups; particularly critical in infants, the elderly, and those with chronic illnesses</t>
  </si>
  <si>
    <t>No significant gender differences in dosage or administration</t>
  </si>
  <si>
    <t>Electrolyte solution (isotonic solution)</t>
  </si>
  <si>
    <t>CYTOMEL 5MCG TAB</t>
  </si>
  <si>
    <t>Fatigue, weight gain, cold intolerance, dry skin, hair loss, depression, constipation, and slowed heart rate</t>
  </si>
  <si>
    <t>Approximately 4.6% of the U.S. population (over the age of 12) has hypothyroidism</t>
  </si>
  <si>
    <t>Can significantly improve with appropriate treatment; many patients report restored energy levels and improved mental clarity</t>
  </si>
  <si>
    <t>Greater than 80% in restoring thyroid hormone levels when used appropriately</t>
  </si>
  <si>
    <t>Generally considered safe when used as prescribed, but requires monitoring of thyroid levels</t>
  </si>
  <si>
    <t>Common adverse events include symptoms of hyperthyroidism (e.g., anxiety, insomnia, palpitations) if overdosed; other rare events may include cardiac arrhythmias, osteoporosis, and allergic reactions</t>
  </si>
  <si>
    <t>Approximately $300 - $600 per year, depending on insurance coverage and pharmacy pricing</t>
  </si>
  <si>
    <t>More common in females (approximately 5-8 times more prevalent)</t>
  </si>
  <si>
    <t>Small molecule (synthetic form of liothyronine, a T3 thyroid hormone)</t>
  </si>
  <si>
    <t>CYTOMEL 25MCG TAB</t>
  </si>
  <si>
    <t>Approximately 4.6% of the US population is affected by hypothyroidism, which translates to about 5 million people.</t>
  </si>
  <si>
    <t>Quality of life can improve significantly with appropriate thyroid hormone replacement therapy, restoring energy levels and overall well-being.</t>
  </si>
  <si>
    <t>Generally, levothyroxine (T4) is preferred, but Cytomel (liothyronine, T3) is effective for specific cases, with a success rate of approximately 70%.</t>
  </si>
  <si>
    <t>Considered safe when used appropriately under medical supervision; however, monitoring of thyroid hormone levels is critical.</t>
  </si>
  <si>
    <t>Common adverse events include anxiety, insomnia, heart palpitations, and gastrointestinal disturbances.</t>
  </si>
  <si>
    <t>Approximately $200 - $400 per year, depending on dosage and insurance coverage.</t>
  </si>
  <si>
    <t>Commonly prescribed to adults, but can be used in all age groups, especially those with diagnosed hypothyroidism.</t>
  </si>
  <si>
    <t>More prevalent in women, with women being affected about 5 to 8 times more than men.</t>
  </si>
  <si>
    <t>CYTOMEL 50MCG TAB</t>
  </si>
  <si>
    <t>Fatigue, weight gain, cold intolerance, dry skin, hair loss, constipation, muscle weakness, depression, slowed heart rate.</t>
  </si>
  <si>
    <t>Approximately 4.6% of the U.S. population (around 12-15 million people) have hypothyroidism.</t>
  </si>
  <si>
    <t>Patients often report improvement in symptoms and overall quality of life with appropriate treatment, but chronic management is necessary.</t>
  </si>
  <si>
    <t>Highly efficacious with proper dosing; most patients achieve normal thyroid hormone levels and symptom relief.</t>
  </si>
  <si>
    <t>Generally considered safe when monitored properly; thyroid hormone levels should be regularly checked.</t>
  </si>
  <si>
    <t>Common adverse events include palpitations, anxiety, insomnia, tremors, and in some cases, signs of hyperthyroidism if overdosed.</t>
  </si>
  <si>
    <t>Approximately $100-$200, depending on insurance coverage and the dosage required.</t>
  </si>
  <si>
    <t>Most prevalent in adults, particularly those over 60 years of age.</t>
  </si>
  <si>
    <t>More common in women (5-8 times more likely than men).</t>
  </si>
  <si>
    <t>BICILLIN C-R 1.2MILL UNT INJ 2ML TUBEX</t>
  </si>
  <si>
    <t>Sores, rashes, fever, swollen lymph nodes, pain, fatigue (for syphilis); sore throat, fever, swollen tonsils (for streptococcal infections)</t>
  </si>
  <si>
    <t>Syphilis - approximately 0.1% (about 1 in 1,000 individuals); Streptococcal infections can affect 1-2 million cases per year in the USA</t>
  </si>
  <si>
    <t>Variable; untreated syphilis can significantly decrease quality of life due to complications; streptococcal infections are typically acute with good recovery if treated</t>
  </si>
  <si>
    <t>High efficacy; penicillin is the first-line treatment for syphilis with a cure rate above 95% when used properly</t>
  </si>
  <si>
    <t>Generally considered safe with proper administration; low risk of allergic reactions for non-allergic individuals</t>
  </si>
  <si>
    <t>Allergic reactions (rash, anaphylaxis), gastrointestinal upset, localized pain at injection site</t>
  </si>
  <si>
    <t>Approx. $300 - $650 depending on treatment regimen and healthcare provider</t>
  </si>
  <si>
    <t>All age groups; syphilis is more common in sexually active adults (ages 20-35)</t>
  </si>
  <si>
    <t>Both genders affected; higher incidence of syphilis in men who have sex with men (MSM)</t>
  </si>
  <si>
    <t>Antibiotic (Benzathine penicillin G)</t>
  </si>
  <si>
    <t>BICILLIN C-R PEDIATRIC INJ 2ML TUBEX</t>
  </si>
  <si>
    <t>Primary stage (chancre), secondary stage (rash, fever, sore throat), latent stage (usually asymptomatic), tertiary stage (serious complications affecting the heart, brain, and other organs)</t>
  </si>
  <si>
    <t>Approximately 0.3% of the U.S. population (2019 CDC data)</t>
  </si>
  <si>
    <t>Can severely impact physical and psychological well-being if untreated, though effective treatment improves quality of life significantly.</t>
  </si>
  <si>
    <t>Approximately 95% effective with proper administration of benzathine penicillin G, the active ingredient in Bicillin C-R.</t>
  </si>
  <si>
    <t>Generally safe when administered appropriately; allergic reactions can occur but are rare.</t>
  </si>
  <si>
    <t>Allergic reactions (itching, rash), injection site reactions (pain, swelling), rare cases of anaphylaxis.</t>
  </si>
  <si>
    <t>Estimated around $100 - $500, depending on frequency of treatment and healthcare coverage.</t>
  </si>
  <si>
    <t>Primarily affects adults but can occur in pediatric populations; Bicillin C-R is also used in specific pediatric cases.</t>
  </si>
  <si>
    <t>Affects all genders, though incidence can vary by sexual behavior and practices.</t>
  </si>
  <si>
    <t>Antibiotic (penicillin class)</t>
  </si>
  <si>
    <t>BICILLIN C-R 900/300 PEDIATRIC INJ 2ML TUBEX</t>
  </si>
  <si>
    <t>Syphilis (primary: painless sores; secondary: skin rashes, fever, swollen lymph nodes); Rheumatic Fever (fever, sore throat, painful/swollen joints, fatigue); Streptococcal Infections (sore throat, fever, red and swollen tonsils, headache, abdominal pain).</t>
  </si>
  <si>
    <t>Syphilis: approximately 0.2% of the population; Rheumatic Fever: about 0.1% (primarily in children); Streptococcal Infections: over 7% among children annually.</t>
  </si>
  <si>
    <t>Varies based on disease severity; untreated syphilis can lead to significant long-term health issues, while rheumatic fever can have lasting effects on heart health.</t>
  </si>
  <si>
    <t>Extremely effective for bacterial infections; over 90% cure rate for early-stage syphilis when administered appropriately.</t>
  </si>
  <si>
    <t>Generally considered safe with a long history of use; however, there is a risk of allergic reactions in some individuals.</t>
  </si>
  <si>
    <t>Common adverse events include allergic reactions (rashes, itching), gastrointestinal upset, and injection site reactions (pain, swelling).</t>
  </si>
  <si>
    <t>Approximately $500 - $1,000 per year, depending on treatment regimen and frequency of use.</t>
  </si>
  <si>
    <t>All age groups, with a particular focus on pediatric populations for Streptococcal Infections and rheumatic fever.</t>
  </si>
  <si>
    <t>Affects all genders equally, but prevalence may vary based on risk factors.</t>
  </si>
  <si>
    <t>Antibiotic (specifically a Penicillin derivative).</t>
  </si>
  <si>
    <t>BICILLIN L-A 1200000UNT/2ML INJ TUBEX</t>
  </si>
  <si>
    <t>Primary stage includes painless sores (chancre), secondary stage can cause rashes, fever, swollen lymph nodes, and sore throat; tertiary stage may lead to serious complications affecting the heart, brain, and other organs.</t>
  </si>
  <si>
    <t>Approximately 0.2% of the U.S. population in 2021 reported being diagnosed with syphilis.</t>
  </si>
  <si>
    <t>Syphilis can significantly impact quality of life due to its symptoms, potential complications, and stigma associated with sexually transmitted infections if left untreated.</t>
  </si>
  <si>
    <t>Highly effective when used as a first-line treatment for early stages of syphilis; cure rates often exceed 90% with appropriate penicillin therapy.</t>
  </si>
  <si>
    <t>Generally considered safe with a well-established profile; allergic reactions are possible in penicillin-sensitive individuals.</t>
  </si>
  <si>
    <t>Most adverse events are mild, including allergic reactions; rare severe reactions can include anaphylaxis.</t>
  </si>
  <si>
    <t>Estimated cost for Bicillin L-A treatment is around $280-$600, depending on treatment frequency and healthcare costs.</t>
  </si>
  <si>
    <t>Most commonly affects sexually active individuals aged 15-40 years, but can occur at any age.</t>
  </si>
  <si>
    <t>More common in men, especially men who have sex with men; higher rates are also seen in some women.</t>
  </si>
  <si>
    <t>Antibiotic (specifically a natural penicillin).</t>
  </si>
  <si>
    <t>BICILLIN L-A 2400000UNT/4ML INJ SNU</t>
  </si>
  <si>
    <t>Early symptoms may include sores or ulcers at the site of infection, rash, fever, swollen lymph nodes, and muscle aches. Late symptoms can involve severe complications affecting the heart, brain, and other organs.</t>
  </si>
  <si>
    <t>Approximately 0.6% of the U.S. population is estimated to be affected by syphilis at any given time, with rates significantly higher in certain high-risk populations.</t>
  </si>
  <si>
    <t>Many patients can lead normal lives if treated early, but untreated syphilis can lead to severe health issues affecting long-term quality of life.</t>
  </si>
  <si>
    <t>Benzathine penicillin G (BICILLIN L-A) is highly effective for treating syphilis, with cure rates exceeding 95% when administered correctly.</t>
  </si>
  <si>
    <t>Generally well-tolerated; however, allergic reactions can occur.</t>
  </si>
  <si>
    <t>Minor adverse events may include allergic reactions, rash, and diarrhea. Rarely, serious reactions like anaphylaxis can occur.</t>
  </si>
  <si>
    <t>The cost of treatment with BICILLIN L-A varies, but it may range from $20 to $100 for a single injection, with multiple injections required based on the stage of the disease. Total annual costs may vary based on the healthcare provider and additional services.</t>
  </si>
  <si>
    <t>Most commonly affects sexually active individuals aged 20-39 years.</t>
  </si>
  <si>
    <t>More prevalent in men, particularly men who have sex with men (MSM), though it can affect any gender.</t>
  </si>
  <si>
    <t>Antibiotic (benzathine penicillin G); comprises small molecules.</t>
  </si>
  <si>
    <t>LEVOXYL 25MCG TAB</t>
  </si>
  <si>
    <t>Fatigue, weight gain, cold intolerance, constipations, dry skin, hair loss, depression, muscle weakness</t>
  </si>
  <si>
    <t>Approximately 4.6% of the US population (about 1 in 20 adults)</t>
  </si>
  <si>
    <t>Significantly improves with appropriate treatment, restoring energy levels and metabolic functions</t>
  </si>
  <si>
    <t>Generally considered highly effective in normalizing thyroid hormone levels and alleviating symptoms, with &gt;90% of patients responding positively</t>
  </si>
  <si>
    <t>Generally safe with appropriate dosing; monitoring recommended to prevent overdose or undertreatment</t>
  </si>
  <si>
    <t>Possible adverse effects include hyperthyroidism symptoms (if overdosed), palpitations, anxiety, weight changes, and menstrual irregularities</t>
  </si>
  <si>
    <t>Approximately $100 to $300 depending on insurance and generic availability</t>
  </si>
  <si>
    <t>All age groups, but more prevalent in adults aged 60 and older</t>
  </si>
  <si>
    <t>More common in females, with a female to male ratio of about 5:1</t>
  </si>
  <si>
    <t>Synthetic thyroid hormone replacement (small molecule)</t>
  </si>
  <si>
    <t>LEVOXYL 50MCG TAB</t>
  </si>
  <si>
    <t>Fatigue, weight gain, cold intolerance, dry skin, hair loss, constipation, muscle weakness, depression, and decreased heart rate.</t>
  </si>
  <si>
    <t>Generally improved with treatment, allowing individuals to return to normal functioning and activities.</t>
  </si>
  <si>
    <t>High efficacy in normalizing thyroid hormone levels and alleviating symptoms; approximately 95% of patients respond positively to treatment.</t>
  </si>
  <si>
    <t>Considered safe when monitored appropriately; potential for dosage adjustment based on individual needs.</t>
  </si>
  <si>
    <t>Possible adverse events include palpitations, increased heart rate, anxiety, insomnia, and menstrual irregularities; severe allergic reactions are rare.</t>
  </si>
  <si>
    <t>Approximately $100 to $200 per year, variable depending on insurance coverage.</t>
  </si>
  <si>
    <t>Commonly prescribed for adults, but can occur in all age groups.</t>
  </si>
  <si>
    <t>More prevalent in females; about 7% of women and 3% of men are affected.</t>
  </si>
  <si>
    <t>Small molecules (Levothyroxine sodium).</t>
  </si>
  <si>
    <t>LEVOXYL 75MCG TAB</t>
  </si>
  <si>
    <t>Fatigue, weight gain, cold intolerance, dry skin, hair loss, constipation, muscle weakness, depression, sluggishness.</t>
  </si>
  <si>
    <t>Approximately 4.6% of the US population (about 15 million people, with higher rates in women and older adults).</t>
  </si>
  <si>
    <t>Patients often experience improved quality of life with proper treatment; symptoms like fatigue and depression significantly reduce quality of life when untreated.</t>
  </si>
  <si>
    <t>Levothyroxine (active ingredient in Levaxyl) is typically &gt;75% effective in restoring thyroid hormone levels when properly dosed.</t>
  </si>
  <si>
    <t>Generally considered safe; serious adverse effects are uncommon when the drug is used appropriately.</t>
  </si>
  <si>
    <t>Possible adverse events include palpitations, anxiety, weight loss, and heat intolerance, particularly if dosed incorrectly.</t>
  </si>
  <si>
    <t>Approximately $100 to $300 per year depending on insurance and specific formulation.</t>
  </si>
  <si>
    <t>Most common in adults aged 30-60 years, but can occur in all age groups.</t>
  </si>
  <si>
    <t>More prevalent in females, with a female-to-male ratio of approximately 5:1.</t>
  </si>
  <si>
    <t>LEVOXYL 88MCG TAB</t>
  </si>
  <si>
    <t>Fatigue, weight gain, cold intolerance, constipation, dry skin, hair loss, muscle weakness, depression, slowed heart rate, elevated blood cholesterol levels.</t>
  </si>
  <si>
    <t>Quality of life typically improves significantly with treatment; patients often report better energy levels, mood, and overall functioning.</t>
  </si>
  <si>
    <t>Generally high effectiveness, with most patients achieving normal thyroid hormone levels within weeks of starting therapy.</t>
  </si>
  <si>
    <t>Generally considered safe with regular monitoring; rarely leads to serious side effects.</t>
  </si>
  <si>
    <t>Possible side effects include palpitations, anxiety, insomnia, weight loss, and headache.</t>
  </si>
  <si>
    <t>Approx. $100 to $300 depending on insurance coverage and dosage.</t>
  </si>
  <si>
    <t>Most commonly diagnosed in adults over 60, but can occur at any age.</t>
  </si>
  <si>
    <t>Higher prevalence in women (about 3-5 times more common than in men).</t>
  </si>
  <si>
    <t>lLEVOXYL 100MCG TAB</t>
  </si>
  <si>
    <t>Fatigue, weight gain, cold intolerance, constipation, dry skin, hair loss, muscle weakness, depression, slow heart rate</t>
  </si>
  <si>
    <t>Approximately 4.6% of the adult population in the USA (around 10 million people)</t>
  </si>
  <si>
    <t>Patients with adequately managed hypothyroidism typically report improved quality of life; untreated hypothyroidism can significantly impair daily functioning and well-being.</t>
  </si>
  <si>
    <t>80-90% (generally effective in normalizing thyroid hormone levels and alleviating symptoms)</t>
  </si>
  <si>
    <t>Good safety profile when used as directed; most patients tolerate it well</t>
  </si>
  <si>
    <t>Common adverse events include palpitations, increased appetite, weight loss, heat intolerance, and anxiety; rare but serious reactions may include chest pain or dysrhythmias.</t>
  </si>
  <si>
    <t>Approximately $120 to $300 depending on insurance coverage and dosage.</t>
  </si>
  <si>
    <t>All age groups, but most commonly prescribed to adults, especially those over 60 years old.</t>
  </si>
  <si>
    <t>More prevalent in females, with a female-to-male ratio of about 5:1.</t>
  </si>
  <si>
    <t>LEVOXYL 100MCG TAB</t>
  </si>
  <si>
    <t>Fatigue, weight gain, sensitivity to cold, dry skin, hair loss, constipation, muscle weakness, depression, impaired memory, slow heart rate</t>
  </si>
  <si>
    <t>Approximately 4.6% of the U.S. adult population has hypothyroidism; significantly higher in women and older adults.</t>
  </si>
  <si>
    <t>Patients often report improved quality of life with appropriate treatment, as symptoms are alleviated, leading to better physical and mental well-being.</t>
  </si>
  <si>
    <t>Approx. 95% of patients achieve adequate levels of thyroid hormone with proper dosage adjustments.</t>
  </si>
  <si>
    <t>Generally well-tolerated; risk of overtreatment needs careful monitoring.</t>
  </si>
  <si>
    <t>Common adverse events include anxiety, insomnia, and increased heart rate; rare but serious risks include bone loss and heart problems.</t>
  </si>
  <si>
    <t>Approximately $120-$300 depending on insurance and pharmacy discounts.</t>
  </si>
  <si>
    <t>All age groups, but more prevalent in older adults (typically 50 years and older).</t>
  </si>
  <si>
    <t>More common in women (7-8 times higher prevalence than men).</t>
  </si>
  <si>
    <t>LEVOXYL 112MCG TAB</t>
  </si>
  <si>
    <t>Fatigue, weight gain, cold intolerance, dry skin, hair loss, constipation, depression, muscle weakness, slow heart rate</t>
  </si>
  <si>
    <t>Approximately 4.6% of the U.S. population has hypothyroidism (approx. 12 million people)</t>
  </si>
  <si>
    <t>Generally improved with appropriate treatment; most patients can lead normal lives with proper management</t>
  </si>
  <si>
    <t>Highly effective in normalizing thyroid hormone levels in patients with hypothyroidism; studies show over 90% of patients respond positively to therapy</t>
  </si>
  <si>
    <t>Generally considered safe when taken as prescribed; requires monitoring of thyroid function levels</t>
  </si>
  <si>
    <t>Commonly reported adverse events include palpitations, increased appetite, anxiety, insomnia, and weight loss; rare but serious events may include arrhythmias and worsening of preexisting heart conditions</t>
  </si>
  <si>
    <t>Approximately $50 to $250 depending on insurance and pharmacy pricing</t>
  </si>
  <si>
    <t>Primarily adults; more common in individuals over 60 years</t>
  </si>
  <si>
    <t>More common in women (up to 10 times more likely) than men</t>
  </si>
  <si>
    <t>Small molecule, thyroid hormone replacement therapy</t>
  </si>
  <si>
    <t>LEVOXYL 125MCG TAB</t>
  </si>
  <si>
    <t>Fatigue, weight gain, cold intolerance, dry skin, hair loss, constipation, depression, muscle weakness, slow heart rate.</t>
  </si>
  <si>
    <t>With effective treatment, most patients experience significant improvement in quality of life.</t>
  </si>
  <si>
    <t>Highly effective in managing hypothyroidism; normalization of TSH levels is achieved in most patients.</t>
  </si>
  <si>
    <t>Generally considered safe when used as prescribed, but monitoring is required to avoid overtreatment.</t>
  </si>
  <si>
    <t>Possible side effects include palpitations, anxiety, tremors, insomnia, and weight loss (especially if overdosed).</t>
  </si>
  <si>
    <t>Approximately $100-$300, depending on insurance coverage and pharmacy costs.</t>
  </si>
  <si>
    <t>All age groups, although prevalence increases in older populations.</t>
  </si>
  <si>
    <t>More common in women than men, with a ratio of about 7:1.</t>
  </si>
  <si>
    <t>LEVOXYL 137MCG TAB</t>
  </si>
  <si>
    <t>Fatigue, weight gain, cold intolerance, dry skin, hair loss, constipation, muscle weakness, depression, difficulty concentrating, and slower heart rate.</t>
  </si>
  <si>
    <t>Approximately 4.6% of the U.S. population, affecting about 12 million Americans.</t>
  </si>
  <si>
    <t>Chronic low thyroid hormone levels can significantly impair quality of life, but with treatment, many individuals report improved well-being and energy levels.</t>
  </si>
  <si>
    <t>High efficacy; most patients experience normalization of thyroid levels with standard treatment; studies show over 80% of patients achieve target TSH levels with regular monitoring.</t>
  </si>
  <si>
    <t>Generally considered safe when used as prescribed; monitoring necessary to avoid overtreatment.</t>
  </si>
  <si>
    <t>Common adverse events include anxiety, insomnia, tremors, weight loss, and palpitations when dosed too high; severe adverse events are rare.</t>
  </si>
  <si>
    <t>Approximately $120-$200 per year for medication, depending on insurance coverage and pharmacy pricing.</t>
  </si>
  <si>
    <t>Primarily adults, but hypothyroidism can occur in all age groups; more common in women over 60.</t>
  </si>
  <si>
    <t>LEVOXYL 150MCG TAB</t>
  </si>
  <si>
    <t>With effective treatment, the quality of life improves significantly, as symptoms are managed and energy levels increase.</t>
  </si>
  <si>
    <t>Levothyroxine (the active ingredient in Levoxyl) is over 90% effective in normalizing TSH levels in patients with hypothyroidism when dosed appropriately.</t>
  </si>
  <si>
    <t>Generally considered safe and well-tolerated when monitored correctly.</t>
  </si>
  <si>
    <t>Common adverse events include hair loss, palpitations, anxiety, insomnia, and diarrhea, particularly with overtreatment, leading to symptoms of hyperthyroidism.</t>
  </si>
  <si>
    <t>Approximately $100 to $200, depending on insurance coverage and available generics.</t>
  </si>
  <si>
    <t>Most commonly prescribed for adults, particularly those aged 30 and older.</t>
  </si>
  <si>
    <t>More prevalent in females, with a female-to-male ratio of 5-10:1.</t>
  </si>
  <si>
    <t>LEVOXYL 175MCG TAB</t>
  </si>
  <si>
    <t>Fatigue, weight gain, sensitivity to cold, dry skin, hair loss, muscle weakness, constipation, depression, slowed heart rate, and goiter.</t>
  </si>
  <si>
    <t>Patients often report improved quality of life with proper treatment, as symptoms can significantly impair daily function and mental well-being.</t>
  </si>
  <si>
    <t>Generally, levothyroxine (active ingredient in Levoxyl) has an efficacy rate of 80-90% in restoring normal thyroid hormone levels when appropriately dosed.</t>
  </si>
  <si>
    <t>Levothyroxine is considered safe when prescribed at correct dosages, with monitoring of thyroid levels.</t>
  </si>
  <si>
    <t>Common adverse events include palpitations, increased appetite, insomnia, and anxiety; serious events are rare but can include cardiac complications.</t>
  </si>
  <si>
    <t>Approximately $100 to $200 per year depending on insurance coverage and regional pricing.</t>
  </si>
  <si>
    <t>Primarily adults, with higher incidence in those over 60 years old.</t>
  </si>
  <si>
    <t>More common in females (7-8 times more likely than males).</t>
  </si>
  <si>
    <t>LEVOXYL 200MCG TAB</t>
  </si>
  <si>
    <t>Fatigue, weight gain, cold intolerance, dry skin, hair loss, constipation, muscle weakness, depression, slowed heart rate, and goiter.</t>
  </si>
  <si>
    <t>Approximately 5% of the U.S. population, with rates higher in older adults and women (approximately 10% in women over 60).</t>
  </si>
  <si>
    <t>Patients receiving adequate treatment generally report improvements in quality of life, with reduced symptom burden.</t>
  </si>
  <si>
    <t>80-90% in managing symptoms and normalizing thyroid hormone levels with appropriate dosage adjustments.</t>
  </si>
  <si>
    <t>Generally considered safe when monitored appropriately, with regular thyroid function tests.</t>
  </si>
  <si>
    <t>Common adverse effects include palpitations, anxiety, insomnia, and weight loss, particularly if dosage is too high; rare cases may involve allergic reactions, atrial fibrillation, and worsening of osteoporosis.</t>
  </si>
  <si>
    <t>Approximately $120 to $300, depending on insurance coverage and dosage requirements.</t>
  </si>
  <si>
    <t>Mostly adults, but can occur at any age; more prevalent in older adults.</t>
  </si>
  <si>
    <t>More common in women than men, with a ratio of about 8:1.</t>
  </si>
  <si>
    <t>BANZEL 200MG TAB</t>
  </si>
  <si>
    <t>Frequent seizures, developmental delays, cognitive impairment, unusual behavior, and diverse seizure types (atonic, tonic, and myoclonic seizures)</t>
  </si>
  <si>
    <t>Approximately 1-2 cases per 10,000 children in the USA</t>
  </si>
  <si>
    <t>Can significantly impact quality of life for patients and families due to the severity and frequency of seizures, along with associated developmental issues</t>
  </si>
  <si>
    <t>Clinical trials have shown a reduction in seizure frequency by approximately 30-40% in patients with Lennox-Gastaut syndrome</t>
  </si>
  <si>
    <t>Generally well-tolerated with a safety profile considered acceptable for use in pediatric populations</t>
  </si>
  <si>
    <t>Drowsiness, fatigue, decreased appetite, vomiting, irritability, and potential for severe skin reactions (e.g., Stevens-Johnson syndrome)</t>
  </si>
  <si>
    <t>Approximately $10,000 to $20,000, depending on insurance and patient factors</t>
  </si>
  <si>
    <t>Primarily children (typically diagnosed between ages 3 and 5) but can occur in adolescents and adults</t>
  </si>
  <si>
    <t>More common in males than females (ratio approximately 2:1)</t>
  </si>
  <si>
    <t>Small molecules (specifically, a benzodiazepine derivative)</t>
  </si>
  <si>
    <t>BANZEL 400MG TAB</t>
  </si>
  <si>
    <t>Frequent seizures of various types, cognitive impairment, developmental delays, and behavioral issues</t>
  </si>
  <si>
    <t>Approximately 1-2% of the epilepsy population; estimated prevalence in the USA is around 30,000 to 50,000 individuals</t>
  </si>
  <si>
    <t>Significantly impacted due to frequent seizures, cognitive challenges, and the need for ongoing management; varies by individual</t>
  </si>
  <si>
    <t>Efficacy is noted to reduce the frequency of drop seizures by approximately 30% when used as adjunctive therapy</t>
  </si>
  <si>
    <t>Generally well-tolerated, with safety profile characterized by low risk of significant adverse effects compared to other treatments</t>
  </si>
  <si>
    <t>Common adverse events include somnolence (20%), decreased appetite (15%), fatigue (13%), and irritability (10%)</t>
  </si>
  <si>
    <t>Estimated annual therapy costs range from $12,000 to $20,000 depending on dosage and insurance coverage</t>
  </si>
  <si>
    <t>Approved for use in patients aged 4 years and older</t>
  </si>
  <si>
    <t>Gender-neutral; affects both males and females equally</t>
  </si>
  <si>
    <t>Small molecule anticonvulsant medication</t>
  </si>
  <si>
    <t>BANZEL OS</t>
  </si>
  <si>
    <t>Multiple types of seizures, developmental delays, behavioral problems</t>
  </si>
  <si>
    <t>Approximately 1-5 cases per 1,000 individuals</t>
  </si>
  <si>
    <t>Significantly impacted due to frequent seizures and associated comorbidities</t>
  </si>
  <si>
    <t>Banzel (rufinamide) has been shown to reduce seizure frequency by approximately 25-50% in clinical studies</t>
  </si>
  <si>
    <t>Generally well-tolerated with a safety profile that includes monitoring for signs of hypersensitivity or worsening seizures</t>
  </si>
  <si>
    <t>Dizziness, somnolence, fatigue, nausea, vomiting</t>
  </si>
  <si>
    <t>Approximately $25,000 - $35,000</t>
  </si>
  <si>
    <t>Generally used in children and adults aged 4 years and older</t>
  </si>
  <si>
    <t>No significant gender predisposition noted</t>
  </si>
  <si>
    <t>LENVIMA 20MG</t>
  </si>
  <si>
    <t>For differentiated thyroid cancer: a lump in the neck, changes in voice, difficulty swallowing. For hepatocellular carcinoma: weight loss, loss of appetite, abdominal pain, jaundice, and liver dysfunction symptoms.</t>
  </si>
  <si>
    <t>Approximately 54,540 new cases of thyroid cancer are diagnosed annually in the USA. Hepatocellular carcinoma has an incidence of about 42,230 new cases per year.</t>
  </si>
  <si>
    <t>Quality of life can be significantly impacted due to symptoms and treatment side effects, but LENVIMA can improve outcomes and potentially lead to longer survival, thus enhancing quality of life for some patients.</t>
  </si>
  <si>
    <t>LENVIMA has shown effective results in slowing disease progression and improving overall survival in both differentiated thyroid cancer and hepatocellular carcinoma, with studies indicating a progression-free survival (PFS) of about 18.3 months for thyroid cancer and a median overall survival of 13.6 months for HCC.</t>
  </si>
  <si>
    <t>LENVIMA is generally well-tolerated; however, monitoring is required for hepatic function, blood pressure, and thyroid function due to potential adverse effects.</t>
  </si>
  <si>
    <t>Common adverse events include hypertension (47%), fatigue (65%), diarrhea (61%), and decreased appetite (56%). Severe adverse events can occur but are less frequent.</t>
  </si>
  <si>
    <t>The estimated annual costs can be around $150,000 to $200,000 depending on dosage and treatment duration.</t>
  </si>
  <si>
    <t>Primarily adults, with the majority of cases occurring in individuals aged 45 and older.</t>
  </si>
  <si>
    <t>Thyroid cancer has a higher prevalence in females (approximately 3:1 ratio), whereas hepatocellular carcinoma affects men more frequently than women (approximately 2:1 ratio).</t>
  </si>
  <si>
    <t>LENVIMA 24MG</t>
  </si>
  <si>
    <t>Swelling or lump in the neck, difficulty swallowing, changes in voice, persistent cough, unexplained weight loss, abdominal pain, jaundice (in hepatocellular carcinoma), fatigue</t>
  </si>
  <si>
    <t>Approximately 15,000 new cases of thyroid cancer annually in the USA; hepatocellular carcinoma incidence is about 30,000 cases per year</t>
  </si>
  <si>
    <t>Varies; patients may experience a reduced quality of life due to symptoms, treatment side effects, and psychological impacts of cancer</t>
  </si>
  <si>
    <t>Clinical studies show overall response rates of approximately 60-70% for differentiated thyroid cancer; hepatocellular carcinoma shows similar response rates</t>
  </si>
  <si>
    <t>Generally well-tolerated; frequent monitoring required due to potential side effects</t>
  </si>
  <si>
    <t>Common adverse events include hypertension, fatigue, diarrhea, nausea, decreased appetite, and liver enzyme abnormalities</t>
  </si>
  <si>
    <t>Approximately $100,000 to $150,000 per year, depending on the dosage and treatment setting</t>
  </si>
  <si>
    <t>Primarily adults (median age of diagnosis for thyroid cancer is around 50, and for hepatocellular carcinoma is around 60)</t>
  </si>
  <si>
    <t>More common in women for thyroid cancer; more prevalent in men for hepatocellular carcinoma</t>
  </si>
  <si>
    <t>Small molecule (tyrosine kinase inhibitor)</t>
  </si>
  <si>
    <t>NOREPINEPHRINE BITARTRATE 16MCG/ML/NS INJ,BAG</t>
  </si>
  <si>
    <t>Low blood pressure, Weakness, Confusion, Dizziness, Tachycardia, Cold extremities</t>
  </si>
  <si>
    <t>Septic shock affects approximately 1-3% of hospitalized patients in the USA. Cardiogenic shock has a prevalence of about 5% among patients with acute myocardial infarction.</t>
  </si>
  <si>
    <t>Severe; patients often require intensive care management and prolonged hospitalization, significantly affecting overall quality of life.</t>
  </si>
  <si>
    <t>Norepinephrine is often considered first-line therapy for managing acute hypotension, showing effective increases in mean arterial pressure in approximately 70-90% of cases.</t>
  </si>
  <si>
    <t>Generally considered safe when monitored appropriately; improper dosing or use can lead to tissue ischemia and other complications.</t>
  </si>
  <si>
    <t>Common adverse events include arrhythmias (particularly tachycardia), peripheral ischemia, hypertension, and headache.</t>
  </si>
  <si>
    <t>Approximately $25,000 - $30,000, depending on the duration of therapy and hospital costs associated with continuous monitoring and administration.</t>
  </si>
  <si>
    <t>Primarily adults; however, it may be used in children under medical supervision when necessary.</t>
  </si>
  <si>
    <t>Used in both males and females; no specific gender preference.</t>
  </si>
  <si>
    <t>Small molecules (vasopressor agent).</t>
  </si>
  <si>
    <t>NOREPINEPHRINE BITARTRATE 32MCG/ML/NS INJ,BAG</t>
  </si>
  <si>
    <t>Low blood pressure, rapid heartbeat, cold and clammy skin, confusion, weakness, decreased urine output</t>
  </si>
  <si>
    <t>Approximately 1-3 cases per 100,000 people annually in the USA for septic shock</t>
  </si>
  <si>
    <t>Severely impacted due to acute illness, prolonged critical care, and potential long-term health issues after recovery</t>
  </si>
  <si>
    <t>Norepinephrine is considered effective in increasing mean arterial pressure and improving organ perfusion in acute hypotensive states</t>
  </si>
  <si>
    <t>Generally considered safe when used properly, but can lead to serious issues if improperly dosed or if patient monitoring is inadequate</t>
  </si>
  <si>
    <t>Possible adverse events include arrhythmias, tissue ischemia, headache, anxiety, and peripheral vasoconstriction</t>
  </si>
  <si>
    <t>Approximately $8,000 - $30,000 depending on hospital setting and duration of stay</t>
  </si>
  <si>
    <t>Adults and older adults, commonly used in critical care settings</t>
  </si>
  <si>
    <t>No gender-specific prevalence; used across all genders in clinical settings</t>
  </si>
  <si>
    <t>Small molecules (specifically a catecholamine)</t>
  </si>
  <si>
    <t>ESMOLOL IN STERILE WATER 2500MG/250ML</t>
  </si>
  <si>
    <t>Palpitations, dizziness, shortness of breath, chest discomfort, fatigue</t>
  </si>
  <si>
    <t>Approximately 1.5-3% of the adult population in the USA experience SVT at some point in their lives</t>
  </si>
  <si>
    <t>Varies; can be significantly impacted during episodes, but well-managed patients may lead a normal life</t>
  </si>
  <si>
    <t>Often effective in rapidly controlling heart rate in acute settings, with rapid onset of action</t>
  </si>
  <si>
    <t>Generally considered safe when used as directed; requires monitoring due to its effects on heart rate</t>
  </si>
  <si>
    <t>Hypotension, bradycardia, heart block, nausea, flushing</t>
  </si>
  <si>
    <t>Cost varies significantly, but may range from $1,500 to $2,500 annually for patients requiring intermittent use in outpatient settings</t>
  </si>
  <si>
    <t>Primarily adults, but can occur in adolescents and young adults</t>
  </si>
  <si>
    <t>No significant gender predisposition, although some studies suggest higher prevalence in females</t>
  </si>
  <si>
    <t>Small molecule (antidysrhythmic agent)</t>
  </si>
  <si>
    <t>ESMOLOL IN STERILE WATER 2000MG/100ML</t>
  </si>
  <si>
    <t>Rapid heartbeat, palpitations, dizziness, shortness of breath, and chest pain</t>
  </si>
  <si>
    <t>Approximately 2% of the US population experiences SVT at some point in their life</t>
  </si>
  <si>
    <t>Can be significantly impacted during episodes; chronic patients may experience anxiety and reduced exercise tolerance</t>
  </si>
  <si>
    <t>Up to 90% effective in terminating SVT episodes when administered intravenously</t>
  </si>
  <si>
    <t>Generally considered safe; cardiac monitoring is essential during administration</t>
  </si>
  <si>
    <t>Hypotension, bradycardia, heart block, dizziness, nausea, and flushing</t>
  </si>
  <si>
    <t>Varies; approximately $6,000 - $12,000 depending on treatment frequency and hospital stays</t>
  </si>
  <si>
    <t>Primarily adults, common in younger individuals but can occur at any age</t>
  </si>
  <si>
    <t>Both genders affected, although higher prevalence in females</t>
  </si>
  <si>
    <t>Small molecules (antiarrhythmic agent)</t>
  </si>
  <si>
    <t>AMELUZ 10% GEL,TOP</t>
  </si>
  <si>
    <t>Rough, scaly patches on sun-exposed skin; sometimes itchy or painful; can vary in color from pink to red.</t>
  </si>
  <si>
    <t>Approximately 10% of the US population over age 40 has actinic keratosis.</t>
  </si>
  <si>
    <t>Can negatively impact quality of life due to cosmetic concerns and discomfort from lesions.</t>
  </si>
  <si>
    <t>Clinical studies indicate around 52% of patients achieve complete clearance of lesions after treatment.</t>
  </si>
  <si>
    <t>Generally considered safe with proper application; local irritation possible.</t>
  </si>
  <si>
    <t>Common adverse events include erythema, burning, and discomfort at the application site.</t>
  </si>
  <si>
    <t>Approximately $300 to $700 depending on treatment frequency and insurance coverage.</t>
  </si>
  <si>
    <t>Affects both males and females, but more common in males.</t>
  </si>
  <si>
    <t>Topical gel (small molecules).</t>
  </si>
  <si>
    <t>BALVERSA 3MG TAB</t>
  </si>
  <si>
    <t>Blood in urine (hematuria), frequent urination, pain during urination, lower back pain, pelvic pain</t>
  </si>
  <si>
    <t>Approximately 74,000 new cases annually in the USA</t>
  </si>
  <si>
    <t>Can be significantly affected due to symptoms and treatment side effects, with many patients experiencing emotional and physical distress</t>
  </si>
  <si>
    <t>Clinical trials show significant response rates, particularly in patients with advanced disease (approximately 30% for responders in select subgroups with prior treatments)</t>
  </si>
  <si>
    <t>Generally well-tolerated but requires close monitoring; renal function should be evaluated before treatment</t>
  </si>
  <si>
    <t>Fatigue, rash, diarrhea, decreased appetite, nausea, and potential liver function test abnormalities</t>
  </si>
  <si>
    <t>Approximately $150,000-$200,000 per year, depending on insurance and treatment duration</t>
  </si>
  <si>
    <t>More common in men, with a male-to-female ratio of about 3:1</t>
  </si>
  <si>
    <t>Small molecule (specifically a kinase inhibitor)</t>
  </si>
  <si>
    <t>BALVERSA 4MG TAB</t>
  </si>
  <si>
    <t>Hematuria (blood in urine), frequent urination, pain during urination, pelvic pain, back pain, unexplained weight loss</t>
  </si>
  <si>
    <t>Approximately 62,000 new cases annually in the USA</t>
  </si>
  <si>
    <t>Bladder cancer can significantly impact quality of life due to symptoms, treatment side effects, and psychological distress. Quality of life scores may decrease depending on disease stage and treatment.</t>
  </si>
  <si>
    <t>Studies have shown response rates of 20-30% for patients with advanced or metastatic urothelial carcinoma receiving BALVERSA (erdafitinib).</t>
  </si>
  <si>
    <t>BALVERSA is generally considered safe; however, proper monitoring is essential, particularly for liver function, since liver toxicity is a potential risk.</t>
  </si>
  <si>
    <t>Common adverse events include diarrhea, fatigue, dry mouth, and changes in liver enzymes. Severe adverse events include retinal disorders.</t>
  </si>
  <si>
    <t>Approx. $150,000 - $180,000 (varies based on patient response and healthcare coverage)</t>
  </si>
  <si>
    <t>Typically used in adults (primarily in those aged 50 years and older, given the higher incidence of bladder cancer in this population)</t>
  </si>
  <si>
    <t>More common in men than women (approximately 3:1 ratio)</t>
  </si>
  <si>
    <t>Small molecule targeted therapy (tyrosine kinase inhibitor)</t>
  </si>
  <si>
    <t>BALVERSA 5MG TAB</t>
  </si>
  <si>
    <t>Hematuria (blood in urine), frequent urination, painful urination, pelvic pain, lower back pain</t>
  </si>
  <si>
    <t>Approximately 4.5% of all new cancer diagnoses in the USA; roughly 80,000 new cases annually</t>
  </si>
  <si>
    <t>Quality of life can be significantly affected due to symptoms, treatment side effects, and the psychological impact of cancer</t>
  </si>
  <si>
    <t>Clinical studies indicate an objective response rate around 40% for patients with advanced urothelial carcinoma</t>
  </si>
  <si>
    <t>Generally well-tolerated; however, requires monitoring for specific side effects</t>
  </si>
  <si>
    <t>Fatigue, nausea, vomiting, diarrhea, decreased appetite, potential immunological effects</t>
  </si>
  <si>
    <t>Approximately $200,000</t>
  </si>
  <si>
    <t>Primarily adults aged 50-80 years</t>
  </si>
  <si>
    <t>More common in males, with male-to-female ratio of about 3:1</t>
  </si>
  <si>
    <t>Small molecules (specifically a targeted therapy)</t>
  </si>
  <si>
    <t>PROCRIT 3000UNT/ML INJ</t>
  </si>
  <si>
    <t>Cancer</t>
  </si>
  <si>
    <t>Fatigue, weakness, pallor, shortness of breath, dizziness</t>
  </si>
  <si>
    <t>Approximately 10-15% of the US population has chronic kidney disease, with anemia affecting about 50% of these individuals.</t>
  </si>
  <si>
    <t>Can be significantly improved with treatment; patients often report increased energy levels and improved physical function.</t>
  </si>
  <si>
    <t>Efficacy rates can exceed 85% in improving hemoglobin levels in CKD patients.</t>
  </si>
  <si>
    <t>Generally safe when used appropriately, but requires monitoring of hemoglobin levels to avoid excessive increases.</t>
  </si>
  <si>
    <t>Hypertension, headaches, arthralgia, injection site reactions, thromboembolic events.</t>
  </si>
  <si>
    <t>Approximately $5,000 - $15,000, depending on dosage and frequency of administration.</t>
  </si>
  <si>
    <t>Primarily adults, but can be used in adolescents with CKD or cancer.</t>
  </si>
  <si>
    <t>Affects both genders, though prevalence may vary slightly based on underlying causes (e.g., CKD more common in men).</t>
  </si>
  <si>
    <t>Erythropoiesis-stimulating agent (ESA)</t>
  </si>
  <si>
    <t>POMBILITI 105MG VIAL</t>
  </si>
  <si>
    <t>Fatigue, weight loss, swelling in legs and ankles, numbness or tingling in hands or feet, shortness of breath, irregular heartbeat.</t>
  </si>
  <si>
    <t>Approximately 4 to 14 cases per million people per year in the USA.</t>
  </si>
  <si>
    <t>Significantly impacted; patients may experience severe limitations in daily activities due to symptoms.</t>
  </si>
  <si>
    <t>Clinical studies have shown efficacy rates between 50-80% in reducing amyloid light chains after treatment.</t>
  </si>
  <si>
    <t>Generally considered safe with close monitoring, but potential for serious complications in some patients.</t>
  </si>
  <si>
    <t>Common adverse events include infusion-related reactions, fatigue, and gastrointestinal disturbances; severe events can include heart failure or renal impairments.</t>
  </si>
  <si>
    <t>Estimated between $100,000 to $150,000.</t>
  </si>
  <si>
    <t>Most common in adults aged 50-70 years.</t>
  </si>
  <si>
    <t>More prevalent in males than females, with a ratio of approximately 2:1.</t>
  </si>
  <si>
    <t>VASCEPA 500MG CAP</t>
  </si>
  <si>
    <t>Often asymptomatic; can lead to pancreatitis, abdominal pain, and may contribute to cardiovascular disease.</t>
  </si>
  <si>
    <t>Approximately 30% of adults in the USA have elevated triglyceride levels (&gt;150 mg/dL).</t>
  </si>
  <si>
    <t>Improving triglyceride levels can lead to a better quality of life by reducing the risk of cardiovascular events.</t>
  </si>
  <si>
    <t>VASCEPA has been shown to reduce triglyceride levels by an average of 18-25% in clinical studies.</t>
  </si>
  <si>
    <t>Generally well-tolerated with a favorable safety profile; specific caution in patients with hypersensitivity to any components.</t>
  </si>
  <si>
    <t>The most common adverse events include arthralgia (joint pain), diarrhea, and an increased risk of bleeding (due to the effect on platelet function).</t>
  </si>
  <si>
    <t>Approximately $6,000 to $7,000 per year, depending on insurance coverage and dosing.</t>
  </si>
  <si>
    <t>Primarily used in adults (ages 18 and older).</t>
  </si>
  <si>
    <t>No significant gender preference; both males and females are treated.</t>
  </si>
  <si>
    <t>Omega-3 fatty acid derivative (small molecule).</t>
  </si>
  <si>
    <t>PROLEUKIN 22MILLION UNT/VIL INJ</t>
  </si>
  <si>
    <t>Skin lesions, abnormal moles, persistent cough, shortness of breath, fatigue, weight loss, flank pain, blood in urine.</t>
  </si>
  <si>
    <t>Approximately 22.7 per 100,000 for melanoma and 16 per 100,000 for renal cell carcinoma in the USA.</t>
  </si>
  <si>
    <t>Varies; can be significantly affected in advanced stages, with patients experiencing pain, fatigue, and emotional distress.</t>
  </si>
  <si>
    <t>Approximately 15-20% response rate in metastatic melanoma and around 25% for renal cell carcinoma.</t>
  </si>
  <si>
    <t>Generally considered safe, but can cause significant side effects; close monitoring is required.</t>
  </si>
  <si>
    <t>Flu-like symptoms, fever, chills, fatigue, nausea, vomiting, diarrhea, and hypotension. Severe reactions can include cardiac or neurologic issues.</t>
  </si>
  <si>
    <t>Approximately $100,000 to $150,000.</t>
  </si>
  <si>
    <t>Primarily adults aged 18-65, with higher incidence in older populations.</t>
  </si>
  <si>
    <t>More common in males for both types of cancer.</t>
  </si>
  <si>
    <t>Biological response modifier (cytokine therapy).</t>
  </si>
  <si>
    <t>PAXIL CR 25MG TAB</t>
  </si>
  <si>
    <t>Symptoms of MDD may include persistent sadness, loss of interest in activities, changes in appetite, sleep disturbances, fatigue, feelings of worthlessness, and difficulty concentrating. Symptoms of GAD include excessive worry, restlessness, fatigue, difficulty concentrating, irritability, muscle tension, and sleep disturbances.</t>
  </si>
  <si>
    <t>Approximately 7.1% of adults in the USA experience MDD in a given year; GAD affects around 3.1% of adults.</t>
  </si>
  <si>
    <t>Patients with these conditions often experience significant declines in quality of life, impacting social, occupational, and personal functioning.</t>
  </si>
  <si>
    <t>Efficacy rates for Paxil CR can vary, but studies show that 50-60% of patients experience significant improvement in symptoms.</t>
  </si>
  <si>
    <t>Paxil CR is generally considered safe when used as directed, but long-term use may lead to side effects or withdrawal symptoms upon discontinuation.</t>
  </si>
  <si>
    <t>Common adverse events include nausea, drowsiness, dry mouth, constipation, and sexual dysfunction. Serious adverse events can include increased risk of suicidal thoughts in younger patients.</t>
  </si>
  <si>
    <t>The annual cost of therapy with Paxil CR can range from $1,500 to $4,000, depending on insurance coverage and dosage.</t>
  </si>
  <si>
    <t>Paxil CR is typically prescribed for adults, with consideration for adolescents in certain cases.</t>
  </si>
  <si>
    <t>Both genders can be prescribed Paxil CR, but it is more commonly prescribed to women due to the higher prevalence of depression and anxiety disorders among females.</t>
  </si>
  <si>
    <t>Paxil CR is a selective serotonin reuptake inhibitor (SSRI), classified as a small molecule drug.</t>
  </si>
  <si>
    <t>PAXIL 20MG TAB</t>
  </si>
  <si>
    <t>Symptoms can include excessive worry, restlessness, fatigue, difficulty concentrating, irritability, muscle tension, sleep disturbances for GAD; persistent feelings of sadness, loss of interest in activities, changes in appetite or weight, sleep disturbances, and difficulty concentrating for MDD; intense fear of social situations for SAD; and recurrent unexpected panic attacks for Panic Disorder.</t>
  </si>
  <si>
    <t>Approximately 7% for GAD, 7.1% for MDD, 15 million adults for SAD, and 2-3% for Panic Disorder in the USA.</t>
  </si>
  <si>
    <t>Significant decline in quality of life is experienced; individuals often report reduced functioning in social, occupational, and personal domains.</t>
  </si>
  <si>
    <t>Efficacy for GAD and MDD is reported to be approximately 60-80% with regular use, with significant improvements seen in clinical studies.</t>
  </si>
  <si>
    <t>Generally considered safe; however, monitoring is recommended due to potential side effects and interactions with other medications.</t>
  </si>
  <si>
    <t>Common adverse events include nausea, dry mouth, somnolence, insomnia, sexual dysfunction, dizziness, and increased sweating. Serious adverse effects could include suicidal thoughts and serotonin syndrome.</t>
  </si>
  <si>
    <t>Estimated annual therapy costs range from $300 to $1,200 depending on insurance coverage and pharmacy pricing.</t>
  </si>
  <si>
    <t>Typically prescribed for adults aged 18-65; however, it can be used in adolescents (ages 12-17) under careful supervision.</t>
  </si>
  <si>
    <t>Commonly prescribed to both genders, with a slightly higher prevalence in females for anxiety and depressive disorders.</t>
  </si>
  <si>
    <t>PAXIL 40MG TAB</t>
  </si>
  <si>
    <t>Persistent sadness, loss of interest in activities, changes in appetite or weight, sleep disturbances, fatigue, difficulty concentrating, feelings of worthlessness or guilt, excessive worry, restlessness, and irritability.</t>
  </si>
  <si>
    <t>Approximately 7% of adults in the USA experience at least one major depressive episode each year; for anxiety disorders, the prevalence is about 19.1% of adults.</t>
  </si>
  <si>
    <t>Significantly impaired; patients may experience reduced ability to function in daily activities, social interactions, and work environments.</t>
  </si>
  <si>
    <t>Approximately 60-80% of patients respond to treatment with SSRIs like Paxil; remission rates can vary.</t>
  </si>
  <si>
    <t>Generally considered effective and safe; most patients tolerate it well, but monitoring is recommended for side effects.</t>
  </si>
  <si>
    <t>Common adverse effects include nausea, sexual dysfunction, drowsiness, insomnia, dry mouth, and increased appetite. Serious but rare: serotonin syndrome, increased risk of suicidal thoughts in young adults.</t>
  </si>
  <si>
    <t>Approximately $1,200 to $2,400 without insurance; costs may vary based on insurance coverage and pharmacy pricing.</t>
  </si>
  <si>
    <t>Approved for adults; increasingly prescribed for adolescents aged 12-17 for depression and anxiety, though with caution.</t>
  </si>
  <si>
    <t>Used in all genders; however, depression is more prevalent in females (8% prevalence) than males (5%).</t>
  </si>
  <si>
    <t>Selective Serotonin Reuptake Inhibitor (SSRI) - small molecule.</t>
  </si>
  <si>
    <t>CYCLOBENZAPRINE HCL 7.5MG TAB</t>
  </si>
  <si>
    <t>Muscle stiffness, spasms, pain in various areas of the body, fatigue, sleep disturbances</t>
  </si>
  <si>
    <t>Approximately 2-8% of the general population in the USA (specifically for fibromyalgia), with muscle spasms being common across various demographics</t>
  </si>
  <si>
    <t>Quality of life can be significantly impacted by symptoms such as chronic pain and fatigue, leading to decreased physical activity and social engagement</t>
  </si>
  <si>
    <t>Approximately 60-70% of patients report some improvement in muscle spasm symptoms with use</t>
  </si>
  <si>
    <t>Generally considered safe for short-term use; must monitor for potential misuse or abuse due to its sedative effects</t>
  </si>
  <si>
    <t>Drowsiness, dry mouth, dizziness, fatigue, and constipation; serious events are rare</t>
  </si>
  <si>
    <t>Approximately $1,800 - $2,500 per year, depending on insurance and frequency of prescriptions</t>
  </si>
  <si>
    <t>Adults, typically 18-65 years of age</t>
  </si>
  <si>
    <t>More prevalent in females, with a female-to-male ratio of approximately 7:1 in fibromyalgia cases</t>
  </si>
  <si>
    <t>Muscle relaxant (small molecule)</t>
  </si>
  <si>
    <t>NIPRIDE RTU 50MG/100ML (0.5MG/ML) INJ</t>
  </si>
  <si>
    <t>Severe headache, shortness of breath, chest pain, confusion, visual disturbances, nausea, sweating</t>
  </si>
  <si>
    <t>Approximately 1-2% of adults in the USA experience hypertensive emergencies annually</t>
  </si>
  <si>
    <t>Can be significantly affected during acute episodes due to severe symptoms and potential complications</t>
  </si>
  <si>
    <t>Highly effective for the rapid reduction of blood pressure in hypertensive crises, generally seen within minutes of administration</t>
  </si>
  <si>
    <t>Generally well-tolerated; however, close monitoring is required due to potential for rapid changes in blood pressure</t>
  </si>
  <si>
    <t>Hypotension, reflex tachycardia, headache, nausea, and cyanide toxicity with prolonged use</t>
  </si>
  <si>
    <t>Varies based on treatment setting; average hospital costs are approximately $10,000 - $15,000, including medication and monitoring</t>
  </si>
  <si>
    <t>Adults (typically ages 18-65)</t>
  </si>
  <si>
    <t>No significant gender predisposition; affects both males and females equally</t>
  </si>
  <si>
    <t>Small molecules (Nitroprusside)</t>
  </si>
  <si>
    <t>ELCYS 50MG/ML INJ</t>
  </si>
  <si>
    <t>Developmental delays, intellectual disability, skeletal abnormalities, lens dislocation, blood clots, arterial disease, and seizures.</t>
  </si>
  <si>
    <t>Approximately 1 in 200,000 to 1 in 300,000 births in the USA.</t>
  </si>
  <si>
    <t>Those affected often experience challenges in daily living due to physical and cognitive impairments, significantly impacting quality of life.</t>
  </si>
  <si>
    <t>ELCYS (also known as L-citrulline) has shown effectiveness in reducing homocysteine levels and improving metabolic control in patients.</t>
  </si>
  <si>
    <t>Generally considered safe when used as prescribed; however, monitoring is essential.</t>
  </si>
  <si>
    <t>Potential for hyperammonemia, gastrointestinal disturbances, and allergic reactions.</t>
  </si>
  <si>
    <t>Approximately $40,000-$60,000 depending on treatment regimen and health insurance coverage.</t>
  </si>
  <si>
    <t>Generally prescribed for all age groups, particularly pediatric to adult populations.</t>
  </si>
  <si>
    <t>Affects males and females equally.</t>
  </si>
  <si>
    <t>Small molecule (amino acid therapy).</t>
  </si>
  <si>
    <t>NIPRIDE RTU 20MG/100ML (0.2MG/ML) INJ</t>
  </si>
  <si>
    <t>Severe headache, shortness of breath, chest pain, severe anxiety, blurred vision, confusion, seizures, and possible organ dysfunction due to high blood pressure.</t>
  </si>
  <si>
    <t>Approximately 1-3% of adults may experience hypertensive crises at some point in their lives in the USA.</t>
  </si>
  <si>
    <t>Poor during the crisis, with significant potential for complications; however, effective management can improve outcomes significantly.</t>
  </si>
  <si>
    <t>High efficacy in reducing acute blood pressure in hypertensive emergencies.</t>
  </si>
  <si>
    <t>Generally safe when used under medical supervision; requires careful monitoring of blood pressure and signs of adverse effects.</t>
  </si>
  <si>
    <t>Hypotension, reflex tachycardia, headache, dizziness, nausea, and rarely cyanide toxicity with prolonged use.</t>
  </si>
  <si>
    <t>Varies by institution; for hospital settings, it can range from $1,000 to $3,000, depending on length of stay and monitoring requirements.</t>
  </si>
  <si>
    <t>Adults, typically aged 18 and above.</t>
  </si>
  <si>
    <t>No significant gender differences observed.</t>
  </si>
  <si>
    <t>Small molecule (nitroprusside); classified as an antihypertensive agent.</t>
  </si>
  <si>
    <t>BLOXIVERZ 1MG/ML INJ</t>
  </si>
  <si>
    <t>Respiratory depression, sedation, bradycardia, loss of consciousness, pinpoint pupils</t>
  </si>
  <si>
    <t>Approximately 1.6 million people in the USA experienced an opioid use disorder in 2020</t>
  </si>
  <si>
    <t>Significantly impaired due to dependence and potential overdose situations; treatment with reversal agents can restore normalcy temporarily</t>
  </si>
  <si>
    <t>High efficacy for reversing opioid-induced respiratory depression and sedation when administered promptly</t>
  </si>
  <si>
    <t>Generally safe when used as directed; however, efficacy also depends on timely administration and the severity of the overdose</t>
  </si>
  <si>
    <t>Possible adverse events include withdrawal symptoms, agitation, nausea, and vomiting upon reversal of opioid effects</t>
  </si>
  <si>
    <t>Cost of treatment varies; naloxone (generic version of BLOXIVERZ) may range from $100 to $200 for multiple doses</t>
  </si>
  <si>
    <t>All age groups, although primarily used in adults and adolescents</t>
  </si>
  <si>
    <t>Monoclonal antibody (antidote) for opioid overdoses</t>
  </si>
  <si>
    <t>MIDAZOLAM 1MG/ML/NACL 0.8% INJ,VIAL</t>
  </si>
  <si>
    <t>Anxiety, agitation, seizures, procedural discomfort</t>
  </si>
  <si>
    <t>Approximately 19.1% of adults experience anxiety disorders annually; prevalence of seizures is about 1.2% in the population.</t>
  </si>
  <si>
    <t>Can significantly improve quality of life when used for anxiety and procedural sedation, but prolonged use may lead to dependence and reduced quality of life in chronic cases.</t>
  </si>
  <si>
    <t>Highly efficacious for sedation and anxiety reduction; effective for seizure control in short-term settings.</t>
  </si>
  <si>
    <t>Generally safe when used as directed in controlled settings; caution advised in patients with respiratory depression or those on CNS depressants.</t>
  </si>
  <si>
    <t>Drowsiness, dizziness, respiratory depression, hypotension, amnesia, paradoxical reactions (e.g., increased agitation or aggression).</t>
  </si>
  <si>
    <t>Approx. $800 - $2,000 depending on usage frequency and healthcare settings (e.g., inpatient vs outpatient).</t>
  </si>
  <si>
    <t>All age groups (pediatrics to geriatrics), with specific dosage adjustments for children and the elderly.</t>
  </si>
  <si>
    <t>No significant gender differences in efficacy or safety; however, women may experience higher sensitivity to benzodiazepines.</t>
  </si>
  <si>
    <t>VAZCULEP 10MG/ML INJ</t>
  </si>
  <si>
    <t>Difficulty breathing, swelling of the throat, rapid heartbeat, skin rash, nausea, dizziness</t>
  </si>
  <si>
    <t>Approximately 1.6% of the U.S. population experiences anaphylaxis at some point in their lives</t>
  </si>
  <si>
    <t>Anaphylaxis can significantly impact quality of life due to the unpredictability of attacks and the need for emergency interventions</t>
  </si>
  <si>
    <t>Highly effective in reversing severe allergic reactions when administered promptly</t>
  </si>
  <si>
    <t>Generally safe when used as directed, but improper use or delayed administration can lead to severe outcomes</t>
  </si>
  <si>
    <t>Possible adverse events include injection site reactions, rapid heart rate, anxiety, and tremors</t>
  </si>
  <si>
    <t>Approximately $300 for a supply of epinephrine auto-injectors, though costs can vary</t>
  </si>
  <si>
    <t>All age groups are susceptible, but commonly used in children and adults</t>
  </si>
  <si>
    <t>Small molecules (epinephrine)</t>
  </si>
  <si>
    <t>ANKTIVA 400MCG/0.4ML INTRAVESICAL</t>
  </si>
  <si>
    <t>Hematuria (blood in urine), frequent urination, painful urination, abdominal pain</t>
  </si>
  <si>
    <t>Approximately 1 in 25 individuals (around 4%) will be diagnosed with bladder cancer in their lifetime; about 81,000 new cases are diagnosed annually in the USA.</t>
  </si>
  <si>
    <t>Quality of life can be significantly impacted due to symptoms and fear of recurrence; patients may experience anxiety and depression.</t>
  </si>
  <si>
    <t>Efficacy of intravesical therapies like ANKTIVA can vary, but clinical trials indicate a response rate of around 30-50%.</t>
  </si>
  <si>
    <t>Generally considered safe with a favorable safety profile when used as directed.</t>
  </si>
  <si>
    <t>Common adverse events include urinary tract infections, bladder irritation, and transient hematuria. Severe adverse events are rare.</t>
  </si>
  <si>
    <t>Estimated annual therapy costs range from $50,000 to $80,000 depending on treatment plan and insurance coverage.</t>
  </si>
  <si>
    <t>Commonly diagnosed in individuals aged 65 and older, though it can occur in younger adults.</t>
  </si>
  <si>
    <t>More prevalent in men than women, with a ratio of approximately 3:1.</t>
  </si>
  <si>
    <t>Small molecules; targeted therapy (intravesical administration).</t>
  </si>
  <si>
    <t>PEMGARDA (EUA) (INV-PEMIVIBART 125MG/ML INJ,S</t>
  </si>
  <si>
    <t>Pemphigus Vulgaris</t>
  </si>
  <si>
    <t>Painful blisters and sores on the skin and mucous membranes, including the mouth and throat; difficulty swallowing; weight loss; skin pain; and potential bacterial infections from blisters.</t>
  </si>
  <si>
    <t>Approximately 0.5 to 3 cases per 100,000 people in the USA.</t>
  </si>
  <si>
    <t>Significantly impacted due to chronic symptoms, pain, and potential for serious infections or complications; quality of life can be lowered due to discomfort and the need for prolonged treatment.</t>
  </si>
  <si>
    <t>The efficacy of PEMGARDA is demonstrated in clinical trials, showing significant reduction in disease activity and a majority of patients achieving remission.</t>
  </si>
  <si>
    <t>Generally well-tolerated, but safety must be monitored closely, particularly for infections due to immunosuppressive effects.</t>
  </si>
  <si>
    <t>Common adverse events include infections, infusion-related reactions, and hypokalemia.</t>
  </si>
  <si>
    <t>Estimated between $50,000 to $100,000 depending on treatment duration and management of adverse events.</t>
  </si>
  <si>
    <t>Primarily affects adults, with a higher prevalence in individuals aged 40 to 60 years, but can occur in younger populations.</t>
  </si>
  <si>
    <t>Slightly more prevalent in females than males, with a ratio of approximately 1.5:1.</t>
  </si>
  <si>
    <t>Monoclonal antibody (specific for Pemphigus vulgaris).</t>
  </si>
  <si>
    <t>OJEMDA 25MG/ML SUSP,ORAL</t>
  </si>
  <si>
    <t>Progressive muscle weakness, difficulty walking, frequent falls, muscle wasting, and respiratory difficulties.</t>
  </si>
  <si>
    <t>Approximately 1 in 3,500 male births in the USA; affects about 20,000 boys in the U.S.</t>
  </si>
  <si>
    <t>Significantly impacted due to muscle degeneration and loss of physical abilities; mental health concerns also contribute to overall reduced quality of life.</t>
  </si>
  <si>
    <t>Clinical studies indicate that OJEMDA can slow the progression of muscle loss in patients with DMD; specific efficacy rates may vary based on individual response.</t>
  </si>
  <si>
    <t>Generally well-tolerated; safety profile established through clinical trials.</t>
  </si>
  <si>
    <t>Common adverse events include injection site reactions, headaches, and gastrointestinal issues; rare but serious events may include hypersensitivity reactions.</t>
  </si>
  <si>
    <t>Approximately $30,000 to $60,000 annually, depending on dosage and healthcare provider fees.</t>
  </si>
  <si>
    <t>Primarily affects males, but carrier females can experience milder symptoms.</t>
  </si>
  <si>
    <t>Small molecule targeted therapy.</t>
  </si>
  <si>
    <t>LENMELDY</t>
  </si>
  <si>
    <t>Muscle weakness, difficulty speaking, swallowing difficulties, paralysis, respiratory failure</t>
  </si>
  <si>
    <t>Approximately 5.4 cases per 100,000 individuals in the USA</t>
  </si>
  <si>
    <t>Often significantly reduced due to progressive disability and need for assistance</t>
  </si>
  <si>
    <t>LENMELDY has shown to slow disease progression in some patients</t>
  </si>
  <si>
    <t>Generally considered safe, with monitoring for potential side effects</t>
  </si>
  <si>
    <t>Common adverse events include fatigue, gastrointestinal disturbances, and muscle cramps</t>
  </si>
  <si>
    <t>Approximately $150,000 to $200,000</t>
  </si>
  <si>
    <t>Primarily adults aged 40-70 years</t>
  </si>
  <si>
    <t>Slightly more common in men</t>
  </si>
  <si>
    <t>Small molecules (specifically, it is a novel oral medication)</t>
  </si>
  <si>
    <t>FOSRENOL 500MG CHEWABLE TABLET</t>
  </si>
  <si>
    <t>Elevated serum phosphate levels, bone pain, pruritus, soft tissue calcifications, cardiovascular complications</t>
  </si>
  <si>
    <t>Approximately 10% of patients with chronic kidney disease develop end-stage renal disease; about 500,000 people are on dialysis in the USA.</t>
  </si>
  <si>
    <t>Quality of life can be significantly impacted due to dietary restrictions, required hemodialysis or peritoneal dialysis, and associated comorbidities.</t>
  </si>
  <si>
    <t>FOSRENOL is effective in lowering serum phosphate levels in patients with ESRD; clinical studies show it can achieve a significant reduction compared to placebo.</t>
  </si>
  <si>
    <t>Generally well-tolerated; safety profile shows minimal systemic absorption; primary concern is gastrointestinal effects.</t>
  </si>
  <si>
    <t>Common adverse events include diarrhea, constipation, nausea, and abdominal pain; rare cases of bowel obstruction reported.</t>
  </si>
  <si>
    <t>Approximately $4,000 to $6,000 per year, depending on dosage and insurance coverage.</t>
  </si>
  <si>
    <t>Most commonly prescribed for adults (18 years and older), but can be used in adolescents with chronic kidney disease.</t>
  </si>
  <si>
    <t>Prescribed to all genders; the incidence of ESRD can vary slightly by gender, with men at a higher risk.</t>
  </si>
  <si>
    <t>Phosphate binder (small molecule)</t>
  </si>
  <si>
    <t>LIVTENCITY 200MG TAB</t>
  </si>
  <si>
    <t>Fatigue, fever, sore throat, body aches, swollen lymph nodes, and in severe cases, vision problems or organ damage</t>
  </si>
  <si>
    <t>Approximately 50-80% of adults in the USA are infected with CMV by age 40, with CMV disease occurring in 20-30% of immunocompromised individuals</t>
  </si>
  <si>
    <t>Can significantly impact life quality in immunocompromised individuals due to severe symptoms and long-term health effects</t>
  </si>
  <si>
    <t>Strong efficacy in treating CMV infections, particularly in immunocompromised patients, with studies showing &gt;90% reduction in viral load</t>
  </si>
  <si>
    <t>Generally well-tolerated; safety profile indicates it can be used in patients with renal impairment with monitoring</t>
  </si>
  <si>
    <t>Common adverse events include diarrhea, nausea, fatigue, and elevated liver enzymes; severe events include renal impairment</t>
  </si>
  <si>
    <t>Estimated at $25,000 to $50,000 depending on the patient's condition and healthcare coverage</t>
  </si>
  <si>
    <t>Primarily adults and pediatric patients aged &gt;12 years</t>
  </si>
  <si>
    <t>No specific gender predisposition; affects all genders</t>
  </si>
  <si>
    <t>Small molecule antiviral agent</t>
  </si>
  <si>
    <t>MEDROXYPROGESTERONE ACETATE 2.5MG TAB</t>
  </si>
  <si>
    <t>Irregular menstrual periods, heavy or prolonged menstrual bleeding, hot flashes, night sweats</t>
  </si>
  <si>
    <t>Approximately 10-15% among women experiencing abnormal uterine bleeding in the USA</t>
  </si>
  <si>
    <t>Can significantly improve quality of life by reducing menstrual-related symptoms and preventing complications associated with hyperplasia</t>
  </si>
  <si>
    <t>70-80% (effective in treating endometrial hyperplasia and controlling abnormal bleeding)</t>
  </si>
  <si>
    <t>Generally safe with appropriate use; long-term risks must be considered</t>
  </si>
  <si>
    <t>Possible side effects include weight gain, mood changes, nausea, headache, and increased risk of thromboembolic events</t>
  </si>
  <si>
    <t>Approximately $500 to $1,000 per year, depending on insurance and formulation</t>
  </si>
  <si>
    <t>Primarily used in women aged 30-60 years</t>
  </si>
  <si>
    <t>Small molecules (synthetic progestin)</t>
  </si>
  <si>
    <t>MEDROXYPROGESTERONE ACETATE 10MG TAB</t>
  </si>
  <si>
    <t>Irregular menstrual cycles, heavy or prolonged menstrual bleeding, pelvic pain, endometrial carcinoma risk</t>
  </si>
  <si>
    <t>Abnormal uterine bleeding affects approximately 10% to 30% of women of reproductive age, and endometrial hyperplasia is noted in about 1% to 2% of women with postmenopausal bleeding in the USA.</t>
  </si>
  <si>
    <t>Medroxyprogesterone acetate can significantly improve quality of life by regulating menstrual cycles and treating hormonal imbalance.</t>
  </si>
  <si>
    <t>Medroxyprogesterone acetate is effective at suppressing endometrial overgrowth in up to 90% of treated patients with endometrial hyperplasia.</t>
  </si>
  <si>
    <t>Generally safe when used as prescribed, with regular monitoring recommended due to potential side effects and risks.</t>
  </si>
  <si>
    <t>Common adverse events include weight gain, mood changes, headaches, and breast tenderness. Serious events can include thromboembolic disorders (estimated 1-3% risk) and liver issues.</t>
  </si>
  <si>
    <t>Estimated at $50 to $200 depending on insurance coverage and dosage.</t>
  </si>
  <si>
    <t>Primarily women aged 18 to 55 years, with special consideration for postmenopausal women.</t>
  </si>
  <si>
    <t>Women</t>
  </si>
  <si>
    <t>Small molecule (progestin)</t>
  </si>
  <si>
    <t>ALPRAZOLAM XR 0.5MG TAB</t>
  </si>
  <si>
    <t>Excessive worry, restlessness, fatigue, irritability, muscle tension, sleep disturbances (for GAD); recurrent panic attacks, palpitations, sweating, trembling, feelings of choking (for Panic Disorder)</t>
  </si>
  <si>
    <t>Approximately 3.1% of U.S. adults experience GAD in a given year; Panic Disorder affects about 2-3% of the population.</t>
  </si>
  <si>
    <t>Significantly impacts daily functioning and overall quality of life. Patients often report difficulties in social and occupational domains.</t>
  </si>
  <si>
    <t>Approximately 70-80% of patients respond positively to alprazolam in clinical settings for anxiety and panic disorders.</t>
  </si>
  <si>
    <t>Generally considered safe for short-term use; risks increase with long-term use, particularly related to dependence.</t>
  </si>
  <si>
    <t>Drowsiness, dizziness, confusion, memory impairment, risk of dependence, withdrawal symptoms upon discontinuation.</t>
  </si>
  <si>
    <t>Varied; average cost can range between $200 to $600 depending on prescription coverage and dosage.</t>
  </si>
  <si>
    <t>Adults (18-65 years), but can be prescribed in older adults with caution.</t>
  </si>
  <si>
    <t>More commonly prescribed for females than males, but both genders can experience anxiety disorders.</t>
  </si>
  <si>
    <t>Benzodiazepine (specifically a long-acting formulation).</t>
  </si>
  <si>
    <t>MEDROXYPROGESTERONE ACETATE 5MG TAB</t>
  </si>
  <si>
    <t>Irregular menstrual periods, absence of menstruation, heavy menstrual bleeding, hot flashes, night sweats, mood swings</t>
  </si>
  <si>
    <t>Endometrial hyperplasia occurs in approximately 1-5% of women in the USA, with amenorrhea affecting around 3% of women of childbearing age.</t>
  </si>
  <si>
    <t>Medroxyprogesterone acetate can improve quality of life by alleviating symptoms related to menopause and menstrual irregularities, but side effects can negatively impact overall well-being.</t>
  </si>
  <si>
    <t>Generally effective in reducing the risk of endometrial cancer when used for hyperplasia and in restoring menstrual cycles; efficacy may be deemed around 70-90% based on condition.</t>
  </si>
  <si>
    <t>Generally considered safe when used as prescribed; however, risks can include thromboembolic events and hormone-sensitive conditions.</t>
  </si>
  <si>
    <t>Common adverse events include weight gain, headaches, breast tenderness, mood changes, and potential thromboembolic events in susceptible individuals.</t>
  </si>
  <si>
    <t>Approximately $200-$400 depending on dosage and pharmacy pricing.</t>
  </si>
  <si>
    <t>Primarily used in adult women, typically ages 18-60, but may also be used in postmenopausal women.</t>
  </si>
  <si>
    <t>ALPRAZOLAM XR 1MG TAB</t>
  </si>
  <si>
    <t>Excessive worry, restlessness, fatigue, irritability, muscle tension, sleep disturbances, panic attacks (in Panic Disorder)</t>
  </si>
  <si>
    <t>Approximately 3.1% of the adult population in the USA has GAD; Panic Disorder affects about 2-3% of adults</t>
  </si>
  <si>
    <t>Significant improvement noted with treatment, as anxiety disorders can severely affect daily functioning and relationships</t>
  </si>
  <si>
    <t>Approximately 70-80% of patients show improvement in symptoms with appropriate therapy</t>
  </si>
  <si>
    <t>Generally considered safe when used as directed, risk of dependence with prolonged use</t>
  </si>
  <si>
    <t>Drowsiness, dizziness, dry mouth, constipation, blurred vision, potential for withdrawal symptoms</t>
  </si>
  <si>
    <t>Approximately $1,200 - $1,500 depending on insurance and frequency of prescriptions</t>
  </si>
  <si>
    <t>Primarily adults (18-65 years), but may be prescribed to older adults as well</t>
  </si>
  <si>
    <t>More common in females (2:1 ratio compared to males)</t>
  </si>
  <si>
    <t>ALPRAZOLAM XR 2MG TAB</t>
  </si>
  <si>
    <t>Approximately 3.1% of adults in the USA have GAD, and 4.7% have a panic disorder at some point in their lives.</t>
  </si>
  <si>
    <t>Can significantly improve quality of life by reducing anxiety symptoms and enhancing daily functioning.</t>
  </si>
  <si>
    <t>Up to 80% of patients with GAD report improvement with treatment; panic disorder shows significant response rates in clinical trials.</t>
  </si>
  <si>
    <t>Generally considered safe when used as prescribed; risk of dependency and withdrawal symptoms exists.</t>
  </si>
  <si>
    <t>Common adverse events include drowsiness, dizziness, decreased motor coordination, fatigue, and potential for abuse/dependence.</t>
  </si>
  <si>
    <t>Approximately $500 - $750 without insurance for patients on a typical regimen.</t>
  </si>
  <si>
    <t>Primarily used in adults (18-65 years), with caution in the elderly population.</t>
  </si>
  <si>
    <t>More frequently prescribed to females than males (though prevalent in both genders).</t>
  </si>
  <si>
    <t>ALPRAZOLAM XR 3MG TAB</t>
  </si>
  <si>
    <t>Approximately 3.1% of the adult population in the USA suffers from GAD in a given year.</t>
  </si>
  <si>
    <t>Poor quality of life due to persistent anxiety symptoms can lead to impaired social and occupational functioning.</t>
  </si>
  <si>
    <t>Controlled studies show efficacy rates of approximately 60-70% for alprazolam in reducing anxiety symptoms.</t>
  </si>
  <si>
    <t>Generally considered safe for short-term use; long-term use may lead to dependence.</t>
  </si>
  <si>
    <t>Common adverse events include sedation, dizziness, fatigue, and potential withdrawal symptoms upon discontinuation.</t>
  </si>
  <si>
    <t>Approximately $1,200 - $3,600, depending on insurance coverage and dosage.</t>
  </si>
  <si>
    <t>Primarily adults (18-65 years old), but can be prescribed to older adults as well.</t>
  </si>
  <si>
    <t>More common in females, with a prevalence of about 2:1 compared to males.</t>
  </si>
  <si>
    <t>Benzodiazepine (long-acting formulation).</t>
  </si>
  <si>
    <t>LIOTHYRONINE NA 50MCG TAB</t>
  </si>
  <si>
    <t>Fatigue, weight gain, cold intolerance, dry skin, hair loss, constipation, depression, muscle weakness, swelling of the face and hands.</t>
  </si>
  <si>
    <t>When effectively managed, quality of life improves significantly, with patients experiencing reduced symptoms and better overall well-being.</t>
  </si>
  <si>
    <t>Generally high efficacy; most studies show improvement in symptoms and lab parameters within weeks.</t>
  </si>
  <si>
    <t>Considered safe when used appropriately; monitoring of thyroid levels is important for dose adjustments.</t>
  </si>
  <si>
    <t>Common adverse events may include palpitations, weight loss, tremors, anxiety, and insomnia. Rarely, it can lead to thyroid storm if overdosed.</t>
  </si>
  <si>
    <t>Approximately $150 to $300 for treatment, depending on dosage and frequency of doctor visits.</t>
  </si>
  <si>
    <t>Most commonly prescribed for adults, particularly those over 60, but can be used in any age group.</t>
  </si>
  <si>
    <t>More prevalent in females; about 5-10 times more women than men are diagnosed with hypothyroidism.</t>
  </si>
  <si>
    <t>ETHOSUXIMIDE 250MG CAP</t>
  </si>
  <si>
    <t>Brief episodes of staring, loss of consciousness, and slight twitching or movements; often occurs in children.</t>
  </si>
  <si>
    <t>Approximately 0.1% to 0.2% of the general population in the USA have absence seizures.</t>
  </si>
  <si>
    <t>Can be significantly affected due to disruptions in schooling and daily activities, but often improve with treatment.</t>
  </si>
  <si>
    <t>Efficacy rate for control of absence seizures with ethosuximide is approximately 60% to 80%.</t>
  </si>
  <si>
    <t>Generally well-tolerated; long-term safety data shows lower risk compared to other antiepileptic drugs.</t>
  </si>
  <si>
    <t>Common adverse events include gastrointestinal symptoms (nausea, vomiting), dizziness, fatigue; serious reactions can be rare but may include rash and blood dyscrasias.</t>
  </si>
  <si>
    <t>Estimated annual therapy costs are around $5,000 to $7,000, depending on insurance coverage and geographic location.</t>
  </si>
  <si>
    <t>Primarily prescribed for children, typically between ages 2 and 12.</t>
  </si>
  <si>
    <t>Affects both genders similarly; no significant gender disparity noted.</t>
  </si>
  <si>
    <t>ASENAPINE 10MG TAB,SUBLINGUAL,UD BLACK CHERRY</t>
  </si>
  <si>
    <t>Symptoms of schizophrenia may include hallucinations, delusions, disorganized thinking, and negative symptoms such as lack of motivation. Symptoms of bipolar disorder include extreme mood swings, ranging from depressive lows to manic highs.</t>
  </si>
  <si>
    <t>Patients may experience significant impairment in their day-to-day functioning, but effective treatment with medications like asenapine can improve overall quality of life.</t>
  </si>
  <si>
    <t>Efficacy rates for asenapine vary, but studies have shown that 60-70% of patients with schizophrenia experience improved symptoms. In bipolar disorder, it effectively reduces manic episodes in about 50-60% of patients.</t>
  </si>
  <si>
    <t>Asenapine is generally well tolerated, but can lead to sedation and weight gain as side effects.</t>
  </si>
  <si>
    <t>Common adverse events include somnolence, dizziness, weight gain, and extrapyramidal symptoms (EPS).</t>
  </si>
  <si>
    <t>The annual therapy costs for asenapine can range from $3,000 to $6,000 depending on factors like insurance coverage.</t>
  </si>
  <si>
    <t>Typically prescribed for adults, but can be used in adolescents aged 10-17 for bipolar disorder.</t>
  </si>
  <si>
    <t>Affected populations for schizophrenia and bipolar disorder exhibit a slight male predominance for schizophrenia; for bipolar disorder, gender prevalence is approximately equal among men and women.</t>
  </si>
  <si>
    <t>Small molecules (specifically an atypical antipsychotic).</t>
  </si>
  <si>
    <t>ALPRAZOLAM 0.25MG TABLETS</t>
  </si>
  <si>
    <t>Approximately 3.1% of adults in the USA experience GAD; 1-3% for Panic Disorder</t>
  </si>
  <si>
    <t>Significantly impaired quality of life; patients often report decreased functioning in work and social settings</t>
  </si>
  <si>
    <t>Approximately 60-70% response rate for anxiety symptom reduction compared to placebo</t>
  </si>
  <si>
    <t>Generally considered safe when used as prescribed; risk of dependency with long-term use</t>
  </si>
  <si>
    <t>Drowsiness, dizziness, fatigue, irritability, dry mouth, increased salivation, cognitive impairments</t>
  </si>
  <si>
    <t>Estimated $300 - $600, depending on insurance and dosage</t>
  </si>
  <si>
    <t>Primarily adults; approved for adults aged 18 and older</t>
  </si>
  <si>
    <t>ALPRAZOLAM 0.5MG TABLETS</t>
  </si>
  <si>
    <t>Excessive worry, irritability, restlessness, fatigue, difficulty concentrating, sleep disturbances, panic attacks, palpitations, shortness of breath</t>
  </si>
  <si>
    <t>Approximately 3.1% of adults in the USA suffer from GAD and about 4.7% from panic disorder annually</t>
  </si>
  <si>
    <t>Significant impairment in social, occupational, and other important areas of functioning; reduces overall life satisfaction</t>
  </si>
  <si>
    <t>Efficacy of alprazolam in treating anxiety and panic disorders is generally high, with improvements noted in anxiety scales in 60-80% of patients</t>
  </si>
  <si>
    <t>Generally considered safe for short-term use, but not recommended for long-term due to dependence and withdrawal risks</t>
  </si>
  <si>
    <t>Drowsiness, dizziness, fatigue, memory problems, confusion, decreased coordination; risk of dependence</t>
  </si>
  <si>
    <t>Approximately $300 - $500 depending on insurance and frequency of prescription</t>
  </si>
  <si>
    <t>Commonly prescribed for adults, typically ages 18-65</t>
  </si>
  <si>
    <t>More frequently prescribed to women, though both genders are diagnosed with anxiety disorders</t>
  </si>
  <si>
    <t>ALPRAZOLAM 1MG TABLETS</t>
  </si>
  <si>
    <t>Excessive worry, restlessness, fatigue, difficulty concentrating, irritability, muscle tension, sleep disturbances, and panic attacks</t>
  </si>
  <si>
    <t>Approximately 3.1% of the adult population in the USA is affected by GAD, and panic disorder affects about 2-3% of adults annually.</t>
  </si>
  <si>
    <t>Can significantly improve quality of life for those with anxiety disorders but may lead to dependence; patients often report improved functioning in social and occupational domains when managed well.</t>
  </si>
  <si>
    <t>Generally effective for short-term management of anxiety and panic attacks; efficacy ratings can exceed 75% in certain patient populations for short-term use.</t>
  </si>
  <si>
    <t>Generally safe for short-term use; long-term use raises concerns about dependence and withdrawal symptoms.</t>
  </si>
  <si>
    <t>Sedation, dizziness, drowsiness, confusion, and potential for abuse and dependence are the primary concerns; withdrawal can lead to rebound anxiety and seizures.</t>
  </si>
  <si>
    <t>Approximately $600-$1,200 annually depending on dosage and insurance coverage.</t>
  </si>
  <si>
    <t>Typically prescribed for adults, but may be used cautiously in adolescents and older adults.</t>
  </si>
  <si>
    <t>Women are about twice as likely as men to be prescribed alprazolam for anxiety disorders.</t>
  </si>
  <si>
    <t>Benzodiazepine, a small molecule drug.</t>
  </si>
  <si>
    <t>ALPRAZOLAM 2MG TABLETS</t>
  </si>
  <si>
    <t>Excessive worry, nervousness, restlessness, fatigue, difficulty concentrating, irritability, muscle tension, sleep disturbances, heart palpitations, shortness of breath (in panic disorder)</t>
  </si>
  <si>
    <t>Approximately 3.1% of the adult population in the USA for GAD; Panic Disorder occurs in about 2-3% of adults.</t>
  </si>
  <si>
    <t>Patients often report significant impairment in daily functioning and overall quality of life due to anxiety symptoms.</t>
  </si>
  <si>
    <t>Efficacy rates of alprazolam are around 70-80% for reducing anxiety symptoms in clinical settings.</t>
  </si>
  <si>
    <t>Generally considered safe for short-term use; however, long-term use can lead to dependence and withdrawal issues.</t>
  </si>
  <si>
    <t>Drowsiness, dizziness, fatigue, impaired coordination, headache, potential for abuse and dependence, withdrawal symptoms upon discontinuation.</t>
  </si>
  <si>
    <t>Approximately $1,000 - $1,500 depending on insurance and frequency of prescriptions.</t>
  </si>
  <si>
    <t>Generally prescribed for adults, but can also be used in older adolescents under supervision.</t>
  </si>
  <si>
    <t>Affects both genders, but women are approximately twice as likely to be diagnosed with anxiety disorders.</t>
  </si>
  <si>
    <t>FREE &amp; CLEAR LIQUID CLEANSER</t>
  </si>
  <si>
    <t>Pimples, blackheads, whiteheads, oily skin, and potentially painful cysts</t>
  </si>
  <si>
    <t>Approximately 50 million Americans affected annually</t>
  </si>
  <si>
    <t>Acne can significantly impact self-esteem and social interaction, affecting overall quality of life.</t>
  </si>
  <si>
    <t>Generally effective in reducing acne lesions and improving skin condition in mild to moderate cases, with varying results depending on individual skin types.</t>
  </si>
  <si>
    <t>Generally considered safe for topical use; however, it may cause irritation for some users.</t>
  </si>
  <si>
    <t>Skin irritation, dryness, redness, and allergic reactions in sensitive individuals.</t>
  </si>
  <si>
    <t>Approximately $100 - $300, depending on frequency of use and specific products chosen.</t>
  </si>
  <si>
    <t>Typically used by adolescents and young adults, but can be used by any age group experiencing acne.</t>
  </si>
  <si>
    <t>Affects all genders, though prevalence and severity may vary; often noted as more common in males during puberty.</t>
  </si>
  <si>
    <t>Over-the-counter topical cleanser.</t>
  </si>
  <si>
    <t>VANICREAM CLEANSING BAR FF PF</t>
  </si>
  <si>
    <t>Redness, itching, dryness, irritation</t>
  </si>
  <si>
    <t>Approximately 10-20% of the population is affected by eczema at some point in their lives.</t>
  </si>
  <si>
    <t>Moderate to severe impact; symptoms can cause significant discomfort and affect daily activities and sleep.</t>
  </si>
  <si>
    <t>Effective for cleansing sensitive skin without irritation; improves skin barrier function.</t>
  </si>
  <si>
    <t>Generally considered safe; formulated without irritating ingredients.</t>
  </si>
  <si>
    <t>Rare; possible skin irritation or allergic reaction in sensitive individuals.</t>
  </si>
  <si>
    <t>Approximately $50-$100 depending on frequency of use and dosage.</t>
  </si>
  <si>
    <t>All ages; suitable for infants to adults.</t>
  </si>
  <si>
    <t>Affects all genders equally.</t>
  </si>
  <si>
    <t>Non-drug therapy (cleansing bar/skin care product).</t>
  </si>
  <si>
    <t>VANICREAM GENTLE FACIAL CLEANSER</t>
  </si>
  <si>
    <t>Redness, itching, dryness, irritation, burning sensation on the skin</t>
  </si>
  <si>
    <t>Approximately 7-10% of the U.S. population experiences contact dermatitis at some point in their lives</t>
  </si>
  <si>
    <t>Can significantly impact quality of life due to discomfort and visibility of symptoms</t>
  </si>
  <si>
    <t>Highly effective for individuals with sensitive skin or conditions like eczema when used as directed</t>
  </si>
  <si>
    <t>Generally safe with minimal risk of adverse effects for most users</t>
  </si>
  <si>
    <t>Some users may experience mild irritation or allergic reactions; generally low risk</t>
  </si>
  <si>
    <t>Approximately $20-$40 for a 12 oz bottle, depending on the retailer</t>
  </si>
  <si>
    <t>Suitable for all age groups, including children and adults</t>
  </si>
  <si>
    <t>Skin Cleanser (topical formulation)</t>
  </si>
  <si>
    <t>VANICREAM SPORT SPT 50</t>
  </si>
  <si>
    <t>Redness, burning, and pain from sunburn; long-term risk of skin cancer</t>
  </si>
  <si>
    <t>Sunburn affects approximately 34% of adults in the USA annually.</t>
  </si>
  <si>
    <t>Reduced quality of life in those with frequent sunburn; potential long-term impacts include cosmetic concerns and risk of skin cancer.</t>
  </si>
  <si>
    <t>Generally effective in preventing sunburn and harmful UV exposure when applied correctly.</t>
  </si>
  <si>
    <t>Considered safe for topical use; low-risk associated with correct application.</t>
  </si>
  <si>
    <t>Minimal; possible local skin irritation in a small percentage of users.</t>
  </si>
  <si>
    <t>Approximately $20-$30 for a tube, varies based on usage.</t>
  </si>
  <si>
    <t>Suitable for all age groups, but particularly important for children and young adults.</t>
  </si>
  <si>
    <t>No specific gender preference; both males and females use sunscreen products.</t>
  </si>
  <si>
    <t>Dermatological preparation (sunscreen).</t>
  </si>
  <si>
    <t>GRALISE 300MG TAB</t>
  </si>
  <si>
    <t>Persistent pain following shingles (herpes zoster) infection, typically localized to the area where the shingles rash occurred; can include burning, stabbing, or aching sensations.</t>
  </si>
  <si>
    <t>Approximately 1-3% of the U.S. population per year develops shingles, and around 10-20% of shingles patients may go on to develop postherpetic neuralgia.</t>
  </si>
  <si>
    <t>Chronic pain can significantly impact daily activities, sleep, and emotional well-being, leading to decreased overall quality of life.</t>
  </si>
  <si>
    <t>Clinical studies suggest GRALISE (gabapentin) provides moderate pain relief for postherpetic neuralgia, with about 30-50% of patients experiencing a significant reduction in pain.</t>
  </si>
  <si>
    <t>Generally safe when prescribed, but caution is advised in patients with renal impairment; routine monitoring may be required.</t>
  </si>
  <si>
    <t>Common adverse events include dizziness, drowsiness, peripheral edema, dry mouth, and fatigue. Rarely, there may be severe allergic reactions, or respiratory depression in cases of overdose.</t>
  </si>
  <si>
    <t>Estimated annual costs of therapy can range from $1,200 to $3,000, depending on insurance coverage and co-pays.</t>
  </si>
  <si>
    <t>Most commonly prescribed for adults aged 50 and older, particularly those who have had shingles.</t>
  </si>
  <si>
    <t>There is a slight female predominance in prevalence, but both genders are affected.</t>
  </si>
  <si>
    <t>Small molecule (Gabapentin).</t>
  </si>
  <si>
    <t>GRALISE 450MG TAB</t>
  </si>
  <si>
    <t>Burning pain, sensitivity to touch, itching, loss of sensation, persistent pain in the area where shingles occurred</t>
  </si>
  <si>
    <t>Significantly impacted due to chronic pain, leading to difficulties in daily activities and a decrease in social interaction</t>
  </si>
  <si>
    <t>Studies suggest that Gralise (Gabapentin) is effective in reducing pain levels in postherpetic neuralgia patients, with approximately 40-50% experiencing pain relief</t>
  </si>
  <si>
    <t>Generally well-tolerated; however, caution should be exercised in patients with renal impairment</t>
  </si>
  <si>
    <t>Common adverse events include dizziness, somnolence, peripheral edema, and fatigue; serious adverse events are rare</t>
  </si>
  <si>
    <t>Average annual costs range from $1,500 to $3,000, depending on insurance and dosage   (Note: Prices can vary widely based on pharmacy and insurance coverage)</t>
  </si>
  <si>
    <t>Primarily adults, commonly affecting those over 50 years of age</t>
  </si>
  <si>
    <t>Both men and women are affected, though there may be a slight female predominance</t>
  </si>
  <si>
    <t>Small molecule (Gabapentin formulation)</t>
  </si>
  <si>
    <t>GRALISE 600MG TAB</t>
  </si>
  <si>
    <t>Persistent pain following shingles infection, burning or stabbing pain, sensitivity to touch, sleep disturbances, fatigue</t>
  </si>
  <si>
    <t>Approximately 1-2 million cases of shingles per year in the USA; of those, about 10-15% may develop postherpetic neuralgia</t>
  </si>
  <si>
    <t>Significantly reduced quality of life due to chronic pain; may lead to depression and anxiety</t>
  </si>
  <si>
    <t>Clinical trials suggest efficacy rates of about 30-50% in reducing pain and improving function</t>
  </si>
  <si>
    <t>Generally well tolerated, but should be used with caution in patients with a history of seizures or cognitive impairment</t>
  </si>
  <si>
    <t>Dizziness, drowsiness, peripheral edema, nausea, vomiting</t>
  </si>
  <si>
    <t>Approximately $5,000 - $8,000 yearly, depending on individual insurance coverage and copays</t>
  </si>
  <si>
    <t>Typically affects older adults, mostly those aged 50 and above</t>
  </si>
  <si>
    <t>No significant gender preference; however, some studies suggest a slightly higher incidence in females</t>
  </si>
  <si>
    <t>Small molecule (specifically, an anticonvulsant)</t>
  </si>
  <si>
    <t>GRALISE 750MG TAB</t>
  </si>
  <si>
    <t>Persistent pain following a shingles infection, often described as burning, stabbing, or aching sensations in the affected area. May also include sensitivity to touch, and itching.</t>
  </si>
  <si>
    <t>Approximately 1-3% of the population in the USA may experience postherpetic neuralgia after a shingles infection.</t>
  </si>
  <si>
    <t>Significantly impacts quality of life due to chronic pain, leading to difficulties in daily activities, sleep disturbances, and emotional distress.</t>
  </si>
  <si>
    <t>Clinical studies suggest that Gralise (gabapentin) is effective in reducing pain associated with postherpetic neuralgia, with varying degrees of response among individuals.</t>
  </si>
  <si>
    <t>Generally well-tolerated; however, particularly in patients with renal impairment, dose adjustments may be necessary.</t>
  </si>
  <si>
    <t>Common adverse events include dizziness, fatigue, somnolence, peripheral edema, and ataxia. Serious adverse events are rare.</t>
  </si>
  <si>
    <t>Annual therapy costs can range approximately from $1,500 to $3,000, depending on dosage and insurance coverage.</t>
  </si>
  <si>
    <t>Most commonly prescribed to adults aged 50 years and older, as the incidence of shingles and subsequent postherpetic neuralgia increases with age.</t>
  </si>
  <si>
    <t>Both genders are affected; however, there may be slight female predominance in the incidence of shingles leading to postherpetic neuralgia.</t>
  </si>
  <si>
    <t>Small molecules (specifically an anticonvulsant).</t>
  </si>
  <si>
    <t>GRALISE 900MG TAB</t>
  </si>
  <si>
    <t>Sharp, burning pain, sensitivity to touch, itching in the affected area, sleep disturbances</t>
  </si>
  <si>
    <t>Approximately 1.5 million cases annually in the USA</t>
  </si>
  <si>
    <t>Significantly reduced due to chronic pain, affecting daily activities and mental health</t>
  </si>
  <si>
    <t>Approximately 40-50% of patients report significant pain relief</t>
  </si>
  <si>
    <t>Generally considered safe with a low incidence of serious side effects</t>
  </si>
  <si>
    <t>Commonly reported effects include dizziness, sedation, nausea, and dry mouth</t>
  </si>
  <si>
    <t>Estimated at $4,000 to $6,000</t>
  </si>
  <si>
    <t>Primarily in adults aged 50 and older</t>
  </si>
  <si>
    <t>More common in females than males</t>
  </si>
  <si>
    <t>Small molecules (specifically, anticonvulsants)</t>
  </si>
  <si>
    <t>CETIRIZINE HCL 5MG/5ML SYRUP,UD</t>
  </si>
  <si>
    <t>Sneezing, runny or stuffy nose, itchy eyes, throat and nose, cough, and skin rashes or hives</t>
  </si>
  <si>
    <t>Approximately 19.1 million adults and 5.2 million children in the USA have diagnosed allergic rhinitis (about 7.7% of the population)</t>
  </si>
  <si>
    <t>Allergy symptoms can significantly impact daily activities, sleep, and overall well-being, leading to a decreased quality of life</t>
  </si>
  <si>
    <t>Cetirizine is effective in relieving symptoms in approximately 60-80% of patients with allergic rhinitis and urticaria</t>
  </si>
  <si>
    <t>Generally considered safe for most patients, with a good safety profile; however, caution is required in specific populations (e.g., those with renal impairment)</t>
  </si>
  <si>
    <t>Common adverse events include drowsiness (in about 10-14% of patients), dry mouth, fatigue, and gastrointestinal disturbances</t>
  </si>
  <si>
    <t>Approximately $100-$200 depending on insurance coverage, dosage, and pharmacy pricing</t>
  </si>
  <si>
    <t>Approved for use in children as young as 6 months old, widely used in all age groups, particularly in children and adults</t>
  </si>
  <si>
    <t>No significant gender differences in the prevalence or effectiveness of treatment; affects both males and females equally</t>
  </si>
  <si>
    <t>Small molecule antihistamine</t>
  </si>
  <si>
    <t>NUCYNTA 100MG TAB</t>
  </si>
  <si>
    <t>Persistent pain, aching, burning sensations, sensitivity to touch, and sometimes muscle weakness.</t>
  </si>
  <si>
    <t>Approximately 20% of adults in the U.S. report chronic pain, with specific conditions affecting millions (e.g., diabetic neuropathy affects about 30% of diabetic patients).</t>
  </si>
  <si>
    <t>Chronic pain significantly decreases quality of life, impacting physical functionality, emotional well-being, and social interactions.</t>
  </si>
  <si>
    <t>NUCYNTA (tapentadol) shows a significant reduction in pain levels in clinical studies, with many patients reporting a 30% improvement in pain relief.</t>
  </si>
  <si>
    <t>Generally considered safe when used as prescribed, but it carries risks of dependence and overdose.</t>
  </si>
  <si>
    <t>Common adverse events include dizziness, nausea, constipation, headache, and drowsiness, occurring in 20%-30% of users.</t>
  </si>
  <si>
    <t>Approximately $6,000 to $9,000 depending on the dosage and insurance coverage nuances.</t>
  </si>
  <si>
    <t>Primarily prescribed for adults aged 18 and older.</t>
  </si>
  <si>
    <t>Both genders are typically affected; however, chronic pain conditions may be more prevalent in women (e.g., fibromyalgia).</t>
  </si>
  <si>
    <t>Small molecule analgesic (opioid).</t>
  </si>
  <si>
    <t>INFASURF SUSPENSION</t>
  </si>
  <si>
    <t>Difficulty breathing, rapid breathing, grunting sounds, nasal flaring, cyanosis, lethargy, and poor feeding.</t>
  </si>
  <si>
    <t>Approximately 1 in every 1,000 live births in the USA (affects about 10% of preterm infants).</t>
  </si>
  <si>
    <t>High-quality interventions can significantly improve long-term outcomes; however, infants may experience developmental delays as a result of NRDS.</t>
  </si>
  <si>
    <t>Infasurf is highly effective in reducing the severity of NRDS and improving oxygenation and lung function following administration.</t>
  </si>
  <si>
    <t>Generally considered safe when administered by healthcare professionals in a controlled setting; monitoring is required for potential complications.</t>
  </si>
  <si>
    <t>Potential for airway obstruction, pneumothorax, or pulmonary hemorrhage; however, these are rare.</t>
  </si>
  <si>
    <t>Approximately $3,000 to $5,000 per course of therapy, though costs can vary based on healthcare facilities and insurance coverage.</t>
  </si>
  <si>
    <t>Primarily neonates, especially those born preterm (less than 37 weeks gestation).</t>
  </si>
  <si>
    <t>No significant gender difference in prevalence and incidence.</t>
  </si>
  <si>
    <t>Surfactant replacement therapy (biologic).</t>
  </si>
  <si>
    <t>DESMOPRESSIN ACETATE 4MCG/ML INJ</t>
  </si>
  <si>
    <t>Excessive thirst, frequent urination, dehydration (in DI); prolonged bleeding, easy bruising (in Hemophilia A)</t>
  </si>
  <si>
    <t>Diabetes Insipidus - approximately 1 in 25,000 people; Hemophilia A - around 1 in 5,000 male births</t>
  </si>
  <si>
    <t>Significantly improved with treatment in patients with DI and Hemophilia A; allows for better management and daily activity participation</t>
  </si>
  <si>
    <t>High efficacy in controlling symptoms of DI; effectively reduces bleeding episodes in patients with Hemophilia A</t>
  </si>
  <si>
    <t>Generally considered safe; common monitoring needed for fluid balance and electrolyte levels</t>
  </si>
  <si>
    <t>Headache, nasal congestion (in DI); infusion reactions, allergic reactions (in Hemophilia A)</t>
  </si>
  <si>
    <t>Approximately $12,000 - $20,000 depending on the severity of the condition and treatment frequency</t>
  </si>
  <si>
    <t>All age groups can be affected; however, DI is often diagnosed in children and young adults, while Hemophilia A is usually diagnosed in children</t>
  </si>
  <si>
    <t>Diabetes Insipidus affects both sexes equally; Hemophilia A primarily affects males due to its X-linked inheritance pattern</t>
  </si>
  <si>
    <t>Synthetic analogue of vasopressin (small molecule)</t>
  </si>
  <si>
    <t>AMONDYS-45</t>
  </si>
  <si>
    <t>Progressive muscle weakness, difficulty walking, waddling gait, frequent falls, difficulty with stair climbing, and eventual loss of ambulation. Patients may also experience cardiac and respiratory complications as the disease progresses.</t>
  </si>
  <si>
    <t>Approximately 1 in 3,500 male births in the USA (about 20,000 affected individuals).</t>
  </si>
  <si>
    <t>Quality of life can be significantly impacted due to muscle degeneration, loss of mobility, and complications associated with the disease. Patients may require mobility aids and assistance with daily activities.</t>
  </si>
  <si>
    <t>Efficacy is assessed based on the improvement of muscle function and delay in disease progression; clinical trials have shown significant benefits in electricity issues related to muscle strength.</t>
  </si>
  <si>
    <t>Generally well-tolerated; however, ongoing monitoring for potential adverse effects is recommended.</t>
  </si>
  <si>
    <t>Common adverse events include injection site reactions, fever, and elevated liver enzymes; serious adverse events can include hypersensitivity and severe liver function abnormalities.</t>
  </si>
  <si>
    <t>Approximately $300,000 to $500,000 per year, depending on individual healthcare coverage and associated costs.</t>
  </si>
  <si>
    <t>Primarily affected individuals are children, typically diagnosed between ages 3 to 5 years.</t>
  </si>
  <si>
    <t>Predominantly affects males (due to X-linked inheritance); females can be carriers but typically do not exhibit significant symptoms.</t>
  </si>
  <si>
    <t>Exon-skipping therapy (small molecule).</t>
  </si>
  <si>
    <t>EXONDYS 51 500MG INJ</t>
  </si>
  <si>
    <t>Muscle weakness, progressive loss of muscle function, difficulty walking, frequent falls, difficulty with motor skills, respiratory issues, and cardiac problems.</t>
  </si>
  <si>
    <t>Approximately 1 in 3,500 to 1 in 5,000 live male births in the USA.</t>
  </si>
  <si>
    <t>DMD significantly impacts quality of life, with children experiencing reduced mobility and increased reliance on caregivers as the disease progresses.</t>
  </si>
  <si>
    <t>EXONDYS 51 has been shown to produce a small increase in dystrophin production, which is crucial for muscle health, though the clinical benefit is considered modest.</t>
  </si>
  <si>
    <t>The safety profile includes reports of infusion reactions and potential liver function abnormalities; monitoring is recommended.</t>
  </si>
  <si>
    <t>Common adverse events include injection site reactions, nausea, dizziness, and headaches. Serious side effects can include liver enzyme elevations.</t>
  </si>
  <si>
    <t>Approximately $300,000 to $400,000 per year for treatment with EXONDYS 51.</t>
  </si>
  <si>
    <t>Primarily affects children, with symptoms appearing between ages 2 to 6.</t>
  </si>
  <si>
    <t>Virtually all cases are male due to the X-linked inheritance pattern of DMD.</t>
  </si>
  <si>
    <t>EXONDYS 51  100MG INJ</t>
  </si>
  <si>
    <t>Progressive muscle weakness, difficulty walking, loss of motor skills, respiratory issues, scoliosis, and cardiac complications.</t>
  </si>
  <si>
    <t>Significantly affected due to loss of mobility, independence, and increased care needs.</t>
  </si>
  <si>
    <t>In clinical trials, EXONDYS 51 (eteplirsen) has shown a modest increase in dystrophin production but the overall benefit in functional outcomes is debated.</t>
  </si>
  <si>
    <t>Generally considered safe; however, ongoing monitoring is suggested due to limited long-term data.</t>
  </si>
  <si>
    <t>Common adverse events include injection site reactions, headaches, and nausea.</t>
  </si>
  <si>
    <t>Approximately $300,000 to $400,000 per year.</t>
  </si>
  <si>
    <t>Primarily affects children aged 2-5 years at diagnosis, with ongoing treatment through adolescence and early adulthood.</t>
  </si>
  <si>
    <t>Primarily affects males due to the X-linked inheritance pattern.</t>
  </si>
  <si>
    <t>Small molecule (exon-skipping therapy).</t>
  </si>
  <si>
    <t>VYONDYS 53  100MG INJ</t>
  </si>
  <si>
    <t>Progressive muscle weakness, difficulty walking, frequent falls, difficulty with motor skills, heart and respiratory complications.</t>
  </si>
  <si>
    <t>Significantly impacted; individuals often require assistance with daily activities and face challenges related to mobility and independence.</t>
  </si>
  <si>
    <t>Demonstrated to increase dystrophin expression, with clinical studies showing improvements in some motor functions, but benefits can vary among patients.</t>
  </si>
  <si>
    <t>Generally well-tolerated; safety profiles are established through clinical trials but require continuous monitoring for potential side effects.</t>
  </si>
  <si>
    <t>Common adverse events include injection site reactions, headache, and vomiting; serious adverse events are less common but may include renal function changes.</t>
  </si>
  <si>
    <t>Estimated annual costs range from $200,000 to $300,000.</t>
  </si>
  <si>
    <t>Approved for use in patients aged 5 years and older.</t>
  </si>
  <si>
    <t>Primarily affects males, though females can be carriers.</t>
  </si>
  <si>
    <t>Antisense oligonucleotide therapy.</t>
  </si>
  <si>
    <t>ELEVIDYS</t>
  </si>
  <si>
    <t>Progressive muscle weakness, difficulty walking, frequent falls, muscle cramps, and heart complications</t>
  </si>
  <si>
    <t>Approximately 1 in 3,500 males in the USA</t>
  </si>
  <si>
    <t>Significantly affected as the disease progresses, impacting mobility and independence</t>
  </si>
  <si>
    <t>Clinical trials have shown increased expression of dystrophin and improved muscle function</t>
  </si>
  <si>
    <t>Generally considered safe; monitored for potential side effects</t>
  </si>
  <si>
    <t>Injection site reactions, immune responses, and potential musculoskeletal complications</t>
  </si>
  <si>
    <t>Estimated around $300,000 to $500,000</t>
  </si>
  <si>
    <t>Primarily affects children, typically diagnosed between ages 2 to 5</t>
  </si>
  <si>
    <t>Predominantly affects males; very rare in females</t>
  </si>
  <si>
    <t>Gene therapy</t>
  </si>
  <si>
    <t>RILUTEK 50MG TAB</t>
  </si>
  <si>
    <t>Muscle weakness, difficulty speaking, swallowing problems, respiratory issues, and muscle cramps/twitching.</t>
  </si>
  <si>
    <t>Approximately 5.4 cases per 100,000 people in the USA, translating to about 20,000 new cases per year.</t>
  </si>
  <si>
    <t>Patients experience a significantly reduced quality of life due to physical limitations and emotional distress associated with disease progression.</t>
  </si>
  <si>
    <t>Riluzole (RILUTEK) has been shown to prolong survival and/or time to tracheostomy by about 2-3 months on average.</t>
  </si>
  <si>
    <t>Generally well tolerated, but may cause liver function abnormalities; regular monitoring is recommended.</t>
  </si>
  <si>
    <t>Common adverse events include nausea, diarrhea, dizziness, and fatigue. Rare but severe effects can include liver damage.</t>
  </si>
  <si>
    <t>Approximately $8,000 to $12,000 per year.</t>
  </si>
  <si>
    <t>Most commonly affects adults aged 40 to 70 years.</t>
  </si>
  <si>
    <t>ALS is more prevalent in males than females, with a ratio of approximately 1.5:1.</t>
  </si>
  <si>
    <t>Small molecule (Riluzole).</t>
  </si>
  <si>
    <t>ATIVAN 0.5MG TAB</t>
  </si>
  <si>
    <t>Approximately 19.1% of adults in the USA experience an anxiety disorder annually</t>
  </si>
  <si>
    <t>Anxiety disorders can significantly impair quality of life, affecting personal relationships, occupational performance, and daily functioning</t>
  </si>
  <si>
    <t>Approximately 70-90% of patients report significant improvement in symptoms with appropriate treatment including Ativan</t>
  </si>
  <si>
    <t>Generally considered safe for short-term use; long-term use can lead to dependence and tolerance</t>
  </si>
  <si>
    <t>Drowsiness, dizziness, weakness, fatigue, confusion, and, in rare cases, respiratory depression</t>
  </si>
  <si>
    <t>$1,500 to $2,500 (varies based on dosage, insurance coverage, and duration of therapy)</t>
  </si>
  <si>
    <t>Primarily adults (18-64 years), but may also be prescribed off-label for children and the elderly</t>
  </si>
  <si>
    <t>More prevalent in females (approximately 60% of diagnosed cases)</t>
  </si>
  <si>
    <t>ATIVAN 1MG TAB</t>
  </si>
  <si>
    <t>Excessive worry, restlessness, fatigue, irritability, difficulty concentrating, sleep disturbances</t>
  </si>
  <si>
    <t>Approximately 19% of adults in the USA experience anxiety disorders in a given year</t>
  </si>
  <si>
    <t>Significantly impaired; high levels of anxiety correlate with decreased overall quality of life</t>
  </si>
  <si>
    <t>70-80% effective for short-term relief of severe anxiety symptoms in clinical settings</t>
  </si>
  <si>
    <t>Generally considered safe for short-term use; potential for dependence if used long-term</t>
  </si>
  <si>
    <t>Drowsiness, dizziness, fatigue, confusion, and in rare cases, respiratory depression</t>
  </si>
  <si>
    <t>Estimated $500 to $1,200 (depending on dosage and duration of treatment)</t>
  </si>
  <si>
    <t>Typically prescribed for adults, but can be used in the elderly population with caution</t>
  </si>
  <si>
    <t>More commonly prescribed to women than men, reflecting higher rates of anxiety disorders in females</t>
  </si>
  <si>
    <t>ATIVAN 2MG TAB</t>
  </si>
  <si>
    <t>Excessive worry, restlessness, fatigue, difficulty concentrating, irritability, muscle tension, sleep disturbances.</t>
  </si>
  <si>
    <t>Approximately 19.1% of adults in the USA experience anxiety disorders in a given year.</t>
  </si>
  <si>
    <t>Can significantly improve quality of life by reducing anxiety symptoms, enabling better social functioning and work performance.</t>
  </si>
  <si>
    <t>Around 70-80% of patients show a reduction in symptom severity when treated with benzodiazepines like Ativan.</t>
  </si>
  <si>
    <t>Ativan is generally considered safe when used as prescribed; however, dependency and tolerance can develop.</t>
  </si>
  <si>
    <t>Drowsiness, dizziness, fatigue, confusion, memory impairment, dependence, and withdrawal symptoms.</t>
  </si>
  <si>
    <t>Approximately $1,500 - $2,000 depending on frequency of use and insurance coverage.</t>
  </si>
  <si>
    <t>Primarily adults (ages 18-65); caution in use for elderly individuals due to increased sensitivity and risk of falls.</t>
  </si>
  <si>
    <t>More common in women, with a female-to-male ratio of approximately 2:1 for anxiety disorders.</t>
  </si>
  <si>
    <t>EFUDEX 5% CREAM</t>
  </si>
  <si>
    <t>Rough, scaly patches on sun-exposed skin; may be tender or itch; possible progression to skin cancer if untreated.</t>
  </si>
  <si>
    <t>Approximately 58 million people in the USA have actinic keratosis, representing about 20% of the population over 40 years old.</t>
  </si>
  <si>
    <t>Can significantly impact quality of life due to cosmetic concerns and discomfort; lesions may lead to anxiety over skin cancer risk.</t>
  </si>
  <si>
    <t>Varies, with studies showing approximately 70-80% clearance of lesions with appropriate use over a treatment course of several weeks.</t>
  </si>
  <si>
    <t>Generally considered safe when used as directed; potential for skin irritation.</t>
  </si>
  <si>
    <t>Redness, burning, stinging, scaling, and crusting at the application site; in rare cases, severe allergic reactions may occur.</t>
  </si>
  <si>
    <t>Ranges approximately from $500 to $1,200, depending on duration of treatment and healthcare provider fees.</t>
  </si>
  <si>
    <t>Primarily adults, generally aged 40 and older.</t>
  </si>
  <si>
    <t>Affects both genders, though prevalence may be slightly higher in males due to increased sun exposure.</t>
  </si>
  <si>
    <t>Topical antineoplastic agent (small molecule).</t>
  </si>
  <si>
    <t>ANCOBON CAPS 250MG</t>
  </si>
  <si>
    <t>Fatigue, fever, bruising, bleeding, shortness of breath, frequent infections, pale skin, weight loss</t>
  </si>
  <si>
    <t>Varies; some patients experience significant life challenges due to treatment side effects and disease symptoms</t>
  </si>
  <si>
    <t>Typically high when used in combination therapy, but varies by individual case; overall response rates can be around 60-70% with appropriate regimens</t>
  </si>
  <si>
    <t>Generally considered safe when monitored; but like all medicines, it carries risks</t>
  </si>
  <si>
    <t>Nausea, vomiting, diarrhea, neutropenia, thrombocytopenia, liver toxicity, infections</t>
  </si>
  <si>
    <t>Approximately $100,000 - $200,000 depending on the regimen and healthcare access</t>
  </si>
  <si>
    <t>Primarily adults, but can occur in any age group; more common in older adults</t>
  </si>
  <si>
    <t>Small molecule (antimetabolite)</t>
  </si>
  <si>
    <t>ANCOBON CAPS 500MG</t>
  </si>
  <si>
    <t>Fatigue, fever, frequent infections, easy bruising or bleeding, weight loss, swollen lymph nodes, abdominal discomfort, headache.</t>
  </si>
  <si>
    <t>Approximately 1.2 cases per 100,000 people per year in the USA.</t>
  </si>
  <si>
    <t>Can be significantly impacted by the disease and its treatment; patients may experience physical, emotional, and social challenges during and after treatment.</t>
  </si>
  <si>
    <t>Generally high; approximately 85% of children and 40-50% of adults achieve long-term remission with appropriate therapy.</t>
  </si>
  <si>
    <t>Generally considered safe when used under medical supervision; potential for serious adverse effects requires monitoring.</t>
  </si>
  <si>
    <t>Common adverse events include nausea, vomiting, diarrhea, mucositis, and liver function abnormalities; severe complications can include infections and myelosuppression.</t>
  </si>
  <si>
    <t>Approximately $50,000 to $100,000 depending on the treatment regimen and healthcare setting.</t>
  </si>
  <si>
    <t>Primarily used in pediatric patients but can also be used in adults.</t>
  </si>
  <si>
    <t>Affects both genders equally; slight variations in incidence may occur based on age and genetics.</t>
  </si>
  <si>
    <t>Small molecules (antimetabolite).</t>
  </si>
  <si>
    <t>LIBRAX CAPSULES</t>
  </si>
  <si>
    <t>Anxiety, panic attacks, tension, nervousness, muscle spasms, gastrointestinal discomfort</t>
  </si>
  <si>
    <t>Approximately 31.1% of adults in the USA will experience an anxiety disorder at some point in their life</t>
  </si>
  <si>
    <t>Anxiety disorders can significantly impact quality of life, including social functioning, relationships, and work productivity</t>
  </si>
  <si>
    <t>Efficacy rates are generally around 60-70% in reducing symptoms for generalized anxiety disorder and related conditions</t>
  </si>
  <si>
    <t>Generally considered safe when used as prescribed; however, there are risks of dependence and withdrawal</t>
  </si>
  <si>
    <t>Sedation, dizziness, dry mouth, constipation, drowsiness, and potential for dependence</t>
  </si>
  <si>
    <t>Approximately $300-$600, depending on prescription coverage and frequency of use</t>
  </si>
  <si>
    <t>Typically prescribed for adults, but adolescents may be prescribed in certain cases</t>
  </si>
  <si>
    <t>More prevalent in females, with approximately 65% of those diagnosed being women</t>
  </si>
  <si>
    <t>Combination of small molecules (benzodiazepine and anticholinergic)</t>
  </si>
  <si>
    <t>CARAC 0.5% CREAM</t>
  </si>
  <si>
    <t>Rough, scaly patches on sun-exposed skin; may be red, pink, or brown; some lesions can itch or burn.</t>
  </si>
  <si>
    <t>Approximately 58 million people in the USA have actinic keratosis, particularly in older adults.</t>
  </si>
  <si>
    <t>Actinic keratosis can lead to discomfort and concern about skin cancer, affecting self-esteem and overall well-being.</t>
  </si>
  <si>
    <t>Clinical studies show CARAC cream (5-fluorouracil 0.5%) is effective in reducing AK lesions, often achieving complete clearance in about 50%-80% of treated individuals.</t>
  </si>
  <si>
    <t>Generally considered safe; most patients tolerate the medication well, but monitoring is recommended.</t>
  </si>
  <si>
    <t>Common adverse events include local irritation, erythema, crusting, and ulceration at the application site.</t>
  </si>
  <si>
    <t>Estimated annual therapy costs range from $300 to $800, depending on treatment duration and frequency of application.</t>
  </si>
  <si>
    <t>Primarily adults aged 40 years and older.</t>
  </si>
  <si>
    <t>More common in males, but prevalent in all genders.</t>
  </si>
  <si>
    <t>Small molecules (5-fluorouracil).</t>
  </si>
  <si>
    <t>XIFAXAN 200MG TAB</t>
  </si>
  <si>
    <t>Diarrhea, abdominal pain, cramping, nausea, vomiting, confusion, sleep disturbances, and changes in consciousness.</t>
  </si>
  <si>
    <t>Approximately 10-40% of international travelers experience traveler's diarrhea annually; prevalence of hepatic encephalopathy varies, affecting about 30-50% of patients with liver cirrhosis.</t>
  </si>
  <si>
    <t>Significant improvement in quality of life reported in patients with hepatic encephalopathy when treated; for traveler's diarrhea, prompt resolution of symptoms can greatly restore normal activity levels.</t>
  </si>
  <si>
    <t>XIFAXAN shows an efficacy rate of approximately 85-90% for resolving symptoms of traveler's diarrhea; in hepatic encephalopathy, it reduces episodes by about 30-50%.</t>
  </si>
  <si>
    <t>Generally considered safe with a low incidence of severe adverse effects noted in patients.</t>
  </si>
  <si>
    <t>Common adverse events include nausea, fatigue, headache, dizziness, and abdominal discomfort, occurring in about 5-10% of patients.</t>
  </si>
  <si>
    <t>Approximately $2,000 to $4,000 per year, depending on duration of therapy for chronic hepatic encephalopathy.</t>
  </si>
  <si>
    <t>Indicated for adults and children aged 12 and older.</t>
  </si>
  <si>
    <t>No significant gender predilection noted; used in both males and females.</t>
  </si>
  <si>
    <t>Small molecule antibiotic (Rifaximin).</t>
  </si>
  <si>
    <t>PROCTOCORT 1% CREAM</t>
  </si>
  <si>
    <t>Redness, itching, inflammation, dry skin, crusting, and scaling of the skin</t>
  </si>
  <si>
    <t>Approximately 10% of the U.S. population has some form of dermatitis or eczema</t>
  </si>
  <si>
    <t>Can significantly impact quality of life due to discomfort, sleep disturbances, and social embarrassment</t>
  </si>
  <si>
    <t>Generally effective for reducing inflammation and symptoms in 70-80% of patients</t>
  </si>
  <si>
    <t>Generally considered safe when used as directed; long-term use may lead to skin thinning</t>
  </si>
  <si>
    <t>Possible local irritation, burning, itching, and allergic reactions; systemic absorption is usually minimal</t>
  </si>
  <si>
    <t>Approved for use in all age groups, including pediatrics</t>
  </si>
  <si>
    <t>No significant gender preference; affects both males and females equally</t>
  </si>
  <si>
    <t>IMIQUIMOD 3.75% CREAM,TOP,PUMP</t>
  </si>
  <si>
    <t>Rough, scaly patches on skin; lesions that may appear as bumps; itching; burning; discomfort in affected areas</t>
  </si>
  <si>
    <t>Approximately 58 million Americans are affected by actinic keratosis annually; basal cell carcinoma is the most common skin cancer in the USA, affecting about 3.6 million people each year.</t>
  </si>
  <si>
    <t>Patients often report improvement in quality of life following treatment due to the resolution of symptoms and lesions, although some may experience discomfort or anxiety related to their condition.</t>
  </si>
  <si>
    <t>75%-90% in treating actinic keratosis; around 80% efficacy in superficial basal cell carcinoma with a complete response rate; effectiveness may vary based on individual factors.</t>
  </si>
  <si>
    <t>Generally well-tolerated; considered safe for topical use; can be used in various populations, including immunocompetent patients.</t>
  </si>
  <si>
    <t>Common events include local skin reactions (erythema, burning, crusting, swelling); systemic effects are rare. Severe adverse events are uncommon.</t>
  </si>
  <si>
    <t>Average annual costs range from $400 to $900 depending on treatment frequency and healthcare provider fees.</t>
  </si>
  <si>
    <t>Approved for use in adults; not typically prescribed for children under 12.</t>
  </si>
  <si>
    <t>Both genders affected; however, actinic keratosis and basal cell carcinoma have higher prevalence in males due to increased sun exposure risk.</t>
  </si>
  <si>
    <t>Topical immune response modifier (small molecule).</t>
  </si>
  <si>
    <t>METYROSINE 250MG CAP</t>
  </si>
  <si>
    <t>Headaches, sweating, palpitations, panic attacks, high blood pressure, and flushing.</t>
  </si>
  <si>
    <t>Approximately 2-8 cases per million people in the USA per year.</t>
  </si>
  <si>
    <t>Can be significantly affected due to symptoms like anxiety and hypertension, but effective management can improve quality of life.</t>
  </si>
  <si>
    <t>Effective in managing symptoms and blood pressure control in patients with pheochromocytoma, especially preoperative management.</t>
  </si>
  <si>
    <t>Generally safe when monitored, but caution is advised in patients with renal impairment.</t>
  </si>
  <si>
    <t>Drowsiness, diarrhea, gastrointestinal upset, and postural hypotension.</t>
  </si>
  <si>
    <t>Approximately $3,000 - $6,000.</t>
  </si>
  <si>
    <t>Mainly adults, typically ages 30-50.</t>
  </si>
  <si>
    <t>Slightly more prevalent in females.</t>
  </si>
  <si>
    <t>DIAZEPAM 10MG/SYSTEM,ADULT,GEL,RTL</t>
  </si>
  <si>
    <t>Anxiety, muscle tension, seizures, insomnia, agitation</t>
  </si>
  <si>
    <t>Approximately 19.1% of adults experience anxiety disorders in a given year in the USA</t>
  </si>
  <si>
    <t>Can improve quality of life by reducing anxiety and facilitating calmness, but long-term use may lead to dependency</t>
  </si>
  <si>
    <t>Generally well-established for short-term management of anxiety and muscle spasms</t>
  </si>
  <si>
    <t>Generally regarded as safe for short-term use under medical supervision, but long-term use can lead to dependency and withdrawal symptoms</t>
  </si>
  <si>
    <t>Drowsiness, dizziness, confusion, respiratory depression, risk of dependence, withdrawal symptoms</t>
  </si>
  <si>
    <t>Approximately $500 - $1,000 depending on dosage, frequency and insurance coverage</t>
  </si>
  <si>
    <t>Adults (not typically recommended for use in older adults without careful consideration)</t>
  </si>
  <si>
    <t>No significant gender differences in usage, but women may have higher anxiety prevalence</t>
  </si>
  <si>
    <t>DIAZEPAM 20MG/SYSTEM,ADULT,GEL,RTL</t>
  </si>
  <si>
    <t>Anxiety, muscle tension, seizures, agitation, insomnia, tremors</t>
  </si>
  <si>
    <t>Approximately 31.1% of adults experience a type of anxiety disorder in their lifetime (specific for anxiety-related use of diazepam)</t>
  </si>
  <si>
    <t>Diazepam can help improve quality of life by reducing anxiety and improving sleep; however, long-term use may lead to dependency issues.</t>
  </si>
  <si>
    <t>Approximately 70-80% effective for short-term relief of anxiety symptoms</t>
  </si>
  <si>
    <t>Generally considered safe for short-term use; risks increase with long-term use or in combination with other CNS depressants</t>
  </si>
  <si>
    <t>Drowsiness, dizziness, fatigue, confusion, and risk of dependency; overdose can lead to respiratory depression or coma</t>
  </si>
  <si>
    <t>Estimated at $1,200 - $3,000 (depending on usage and additional therapeutic needs)</t>
  </si>
  <si>
    <t>Adults (18 years and older)</t>
  </si>
  <si>
    <t>No specific gender preference; prescribed to both males and females</t>
  </si>
  <si>
    <t>ZYCLARA CREAM 3.75%</t>
  </si>
  <si>
    <t>Rough, scaly patches on sun-exposed skin, redness, itching, and discomfort in the affected areas.</t>
  </si>
  <si>
    <t>Approximately 58 million Americans are affected by actinic keratosis annually.</t>
  </si>
  <si>
    <t>Affected individuals may experience reduced quality of life due to skin changes, discomfort, and increased anxiety about skin cancer risk.</t>
  </si>
  <si>
    <t>Clinical studies show an efficacy rate of 60-80% for complete clearance of lesions with Zyclara (imiquimod) treatment.</t>
  </si>
  <si>
    <t>Generally well-tolerated; however, it is recommended to use under the guidance of a healthcare provider.</t>
  </si>
  <si>
    <t>Common adverse events include local skin reactions, such as erythema, scaling, crusting, and burning sensations.</t>
  </si>
  <si>
    <t>The cost of Zyclara cream can range from $400 to $900 annually, depending on insurance coverage and prescriptions.</t>
  </si>
  <si>
    <t>Most commonly diagnosed in individuals over 40 years of age, with an increased incidence in older populations.</t>
  </si>
  <si>
    <t>More prevalent in males compared to females, likely due to higher sun exposure in males.</t>
  </si>
  <si>
    <t>ZYCLARA 3.75% CREAM 7.5GM PUMP</t>
  </si>
  <si>
    <t>Rough, scaly patches on the skin, redness, itching, burning sensation</t>
  </si>
  <si>
    <t>Approximately 58 million Americans (about 1 in 5 adults) have actinic keratosis</t>
  </si>
  <si>
    <t>Moderate impact on quality of life; often requires ongoing monitoring and treatment</t>
  </si>
  <si>
    <t>Approximately 60-80% clearance rate of lesions after treatment</t>
  </si>
  <si>
    <t>Generally well-tolerated, with a favorable safety profile</t>
  </si>
  <si>
    <t>Commonly reported include local skin reactions (erythema, peeling, burning); severe events are rare</t>
  </si>
  <si>
    <t>Approximately $500 to $1,000 depending on frequency of treatment and healthcare provider fees</t>
  </si>
  <si>
    <t>Primarily affects adults aged 40 and older</t>
  </si>
  <si>
    <t>More common in males, but prevalent in both genders</t>
  </si>
  <si>
    <t>Topical cream (small molecule)</t>
  </si>
  <si>
    <t>ZYCLARA 2.5% CREAM,TOP,7.5GM PUMP</t>
  </si>
  <si>
    <t>Rough, dry, scaly patches on sun-exposed skin; redness; itching; burning</t>
  </si>
  <si>
    <t>Approximately 58 million Americans have actinic keratosis.</t>
  </si>
  <si>
    <t>The presence of actinic keratosis can lead to psychological distress and concerns about skin cancer, impacting overall quality of life.</t>
  </si>
  <si>
    <t>Clinical studies show ZYCLARA is effective in treating actinic keratosis with a clearance rate of approximately 75% after treatment.</t>
  </si>
  <si>
    <t>Generally well-tolerated; safety profile indicates minimal systemic absorption, with most adverse effects localized to the application area.</t>
  </si>
  <si>
    <t>Commonly reported adverse events include skin irritation, erythema, crusting, and pruritus at the application site.</t>
  </si>
  <si>
    <t>Approximately $400 - $800 per year, depending on the frequency of use and insurance coverage.</t>
  </si>
  <si>
    <t>Primarily adults, typically those aged 40 years and older.</t>
  </si>
  <si>
    <t>More common in males, though affects both genders; the prevalence increases with advancing age due to sun exposure.</t>
  </si>
  <si>
    <t>Topical cream (small molecule therapy).</t>
  </si>
  <si>
    <t>EPINEPHRINE (EQV-EPI-PEN) 0.3MG/0.3ML INJECTO</t>
  </si>
  <si>
    <t>Difficulty breathing, swelling of the throat, hives, rapid heartbeat, low blood pressure, dizziness, and potential loss of consciousness.</t>
  </si>
  <si>
    <t>Anaphylaxis affects approximately 1.6% to 5% of the U.S. population.</t>
  </si>
  <si>
    <t>Significant impact on quality of life due to fear of exposure to allergens, anxiety about potential reactions, and lifestyle restrictions.</t>
  </si>
  <si>
    <t>Highly effective at reversing symptoms of anaphylaxis when administered promptly.</t>
  </si>
  <si>
    <t>Generally safe when used as directed; however, it can cause complications if not given correctly (e.g., incorrect injection site).</t>
  </si>
  <si>
    <t>Common adverse events include increased heart rate, anxiety, tremors, headache, and palpitations. Severe allergic reactions may occur in rare circumstances.</t>
  </si>
  <si>
    <t>Approximately $600 to $800 per year for EpiPens, depending on insurance coverage and pharmacy pricing.</t>
  </si>
  <si>
    <t>Approved for all age groups, commonly prescribed across children, adolescents, and adults.</t>
  </si>
  <si>
    <t>No significant gender differences in prevalence or use.</t>
  </si>
  <si>
    <t>Small molecule (a naturally occurring hormone and neurotransmitter).</t>
  </si>
  <si>
    <t>LAMOTRIGINE (EQV-LAMICTAL XR) 250MG TAB,SA</t>
  </si>
  <si>
    <t>In epilepsy, symptoms include seizures (generalized or focal), loss of consciousness, and uncontrollable muscle spasms. In bipolar disorder, symptoms include mood swings, depressive episodes, and manic episodes.</t>
  </si>
  <si>
    <t>Epilepsy affects approximately 1.2% of the US population, while bipolar disorder affects about 2.8% of adults.</t>
  </si>
  <si>
    <t>Quality of life can be significantly impacted by both epilepsy and bipolar disorder, with individuals often experiencing limitations in daily activities and social interactions.</t>
  </si>
  <si>
    <t>Efficacy rates for lamotrigine in epilepsy can be up to 60% for seizure freedom when used as monotherapy or adjunctive therapy. In bipolar disorder, lamotrigine is effective in preventing depressive episodes and stabilizing mood.</t>
  </si>
  <si>
    <t>Generally well tolerated; safety profile is favorable, with monitoring required for skin rashes that may progress to serious conditions.</t>
  </si>
  <si>
    <t>Common adverse events include dizziness, headache, diplopia, nausea, and rash. Serious adverse events include Stevens-Johnson syndrome and toxic epidermal necrolysis.</t>
  </si>
  <si>
    <t>Approximately $4,000 - $6,000 depending on insurance coverage and pharmacy pricing factors.</t>
  </si>
  <si>
    <t>Approved for use in adults and children (usually starting around age 2 for epilepsy).</t>
  </si>
  <si>
    <t>No significant gender differences, though prevalence rates can vary across studies.</t>
  </si>
  <si>
    <t>ALPRAZOLAM 0.25MG ODT TAB</t>
  </si>
  <si>
    <t>Persistent worry, restlessness, fatigue, irritability, muscle tension, sleep disturbances (for GAD); recurrent panic attacks, palpitations, shortness of breath, feeling of losing control (for Panic Disorder)</t>
  </si>
  <si>
    <t>Approximately 3.1% for GAD and 2-3% for Panic Disorder in the USA</t>
  </si>
  <si>
    <t>Can significantly impair daily functioning and overall well-being; treatment with Alprazolam may improve quality of life for those affected</t>
  </si>
  <si>
    <t>Approximately 70-80% of patients experience symptom relief within weeks of starting Alprazolam</t>
  </si>
  <si>
    <t>Generally considered safe when used as prescribed; risks increase with long-term use and misuse</t>
  </si>
  <si>
    <t>Drowsiness, dizziness, fatigue, cognitive impairment, potential for dependence; withdrawal symptoms may occur with abrupt discontinuation</t>
  </si>
  <si>
    <t>$300 - $600 depending on dosage and insurance coverage</t>
  </si>
  <si>
    <t>Primarily adults (ages 18-65); less commonly prescribed for older adults or adolescents</t>
  </si>
  <si>
    <t>More common in females than males, with a ratio of about 2:1</t>
  </si>
  <si>
    <t>ALPRAZOLAM 0.5MG ODT TAB</t>
  </si>
  <si>
    <t>Excessive worry, restlessness, fatigue, difficulty concentrating, irritability, muscle tension, sleep disturbance, panic attacks (sudden feelings of terror)</t>
  </si>
  <si>
    <t>Approximately 3.1% of adults in the USA experience GAD; panic disorder affects about 2-3% of the population.</t>
  </si>
  <si>
    <t>Anxiety disorders can significantly impact quality of life, leading to difficulties in work, relationships, and daily activities.</t>
  </si>
  <si>
    <t>Effective in reducing anxiety symptoms, with response rates around 60-80% in treated patients.</t>
  </si>
  <si>
    <t>Generally considered safe for short-term use, but long-term use raises concerns due to dependency and withdrawal symptoms.</t>
  </si>
  <si>
    <t>Drowsiness, dizziness, confusion, delayed reaction times, potential for dependency, withdrawal symptoms upon discontinuation.</t>
  </si>
  <si>
    <t>Approximately $1,500 to $3,000 (costs may vary based on insurance coverage and treatment duration).</t>
  </si>
  <si>
    <t>18-65 years (most commonly prescribed in adults; not typically recommended for children).</t>
  </si>
  <si>
    <t>More prevalent in females (higher prevalence rate of anxiety disorders in women).</t>
  </si>
  <si>
    <t>ALPRAZOLAM 1MG ODT TAB</t>
  </si>
  <si>
    <t>Excessive worry, restlessness, fatigue, difficulty concentrating, irritability, muscle tension, sleep disturbance, panic attacks</t>
  </si>
  <si>
    <t>Approximately 3% of adults in the USA experience GAD annually; Panic Disorder affects about 2-3% of the population</t>
  </si>
  <si>
    <t>Patients with untreated anxiety disorders experience significantly reduced quality of life, impacting relationships, work, and daily functioning</t>
  </si>
  <si>
    <t>Studies show Alprazolam is effective in reducing symptoms of anxiety and panic attacks in the short term, with rapid onset of action</t>
  </si>
  <si>
    <t>Generally considered safe when used as prescribed; risk of dependency and tolerance with long-term use</t>
  </si>
  <si>
    <t>Common adverse events include drowsiness, dizziness, fatigue, cognitive impairment, and dry mouth; serious risks include respiratory depression, especially if combined with other CNS depressants</t>
  </si>
  <si>
    <t>Approximately $200-$600, depending on insurance coverage and generic vs. brand pricing</t>
  </si>
  <si>
    <t>Commonly prescribed to adults, particularly those aged 18-65</t>
  </si>
  <si>
    <t>More commonly prescribed to women; however, both genders are affected by anxiety disorders</t>
  </si>
  <si>
    <t>Benzodiazepine, classified as a small molecule drug</t>
  </si>
  <si>
    <t>ALPRAZOLAM 2MG ODT TAB</t>
  </si>
  <si>
    <t>Excessive worry, restlessness, fatigue, difficulty concentrating, irritability, sleep disturbances, palpitations, shortness of breath, feeling tense, panic attacks</t>
  </si>
  <si>
    <t>Approximately 3.1% in the US adult population (GAD); Panic Disorder affects about 2-3% of adults</t>
  </si>
  <si>
    <t>Can significantly improve quality of life by reducing anxiety symptoms; however, chronic use can lead to dependency and withdrawal issues</t>
  </si>
  <si>
    <t>Approximately 60-80% of patients may experience significant relief from symptoms</t>
  </si>
  <si>
    <t>Generally considered safe when used as prescribed; risks increase with long-term use</t>
  </si>
  <si>
    <t>Drowsiness, dizziness, fatigue, confusion, dry mouth, constipation, potential for dependence</t>
  </si>
  <si>
    <t>Average annual cost can vary widely; approximately $300-$600 without insurance</t>
  </si>
  <si>
    <t>Typically prescribed for adults; not recommended for children and adolescents without specialist oversight</t>
  </si>
  <si>
    <t>More common in females; about 2:1 female to male ratio</t>
  </si>
  <si>
    <t>ROMIDEPSIN 27.5MG/5.5ML INJ</t>
  </si>
  <si>
    <t>Swollen lymph nodes, fever, night sweats, weight loss, itchy skin, and rash.</t>
  </si>
  <si>
    <t>Approximately 3.2 cases per 100,000 people in the USA annually.</t>
  </si>
  <si>
    <t>Patients often experience reduced quality of life due to symptoms and treatment side effects.</t>
  </si>
  <si>
    <t>Clinical studies show an overall response rate of approximately 25-30% in heavily pre-treated patients.</t>
  </si>
  <si>
    <t>Generally well-tolerated, but caution is advised due to potential side effects; careful monitoring is necessary.</t>
  </si>
  <si>
    <t>Common adverse events include nausea, fatigue, thrombocytopenia, pruritus, and infections.</t>
  </si>
  <si>
    <t>Approximately $90,000 to $100,000 per year, depending on treatment regimen and healthcare setting.</t>
  </si>
  <si>
    <t>Primarily affects adults, with median age of diagnosis around 60 years.</t>
  </si>
  <si>
    <t>Primarily affects males, with a male-to-female ratio of approximately 2:1.</t>
  </si>
  <si>
    <t>Small molecule (histone deacetylase inhibitor).</t>
  </si>
  <si>
    <t>PROVIGIL 100MG TAB</t>
  </si>
  <si>
    <t>Excessive daytime sleepiness, cataplexy (sudden loss of muscle tone), sleep paralysis, hallucinations</t>
  </si>
  <si>
    <t>Can significantly improve quality of life by enhancing alertness and reducing sleepiness, although some symptoms may still persist.</t>
  </si>
  <si>
    <t>Effective in improving wakefulness; studies have shown an increase in alertness and a reduction in excessive sleepiness, typically with a sustained efficacy of around 70-80%.</t>
  </si>
  <si>
    <t>Generally well-tolerated; the safety profile is considered acceptable with careful monitoring.</t>
  </si>
  <si>
    <t>Common adverse events include headache, nausea, nervousness, insomnia, and dizziness; serious adverse events are rare.</t>
  </si>
  <si>
    <t>Approximately $1,500 to $3,000 depending on insurance coverage and dosage requirements.</t>
  </si>
  <si>
    <t>Mainly adults, but can be prescribed for children over 6 years old.</t>
  </si>
  <si>
    <t>No significant gender disparities in prevalence or treatment response, but narcolepsy can be diagnosed in both males and females.</t>
  </si>
  <si>
    <t>Stimulant (small molecule) used for the treatment of narcolepsy and other sleep disorders.</t>
  </si>
  <si>
    <t>PROVIGIL 200MG TAB</t>
  </si>
  <si>
    <t>Excessive daytime sleepiness, sudden sleep attacks, disturbed nighttime sleep, cataplexy (sudden loss of muscle tone), and impaired executive function</t>
  </si>
  <si>
    <t>Approximately 0.02% in the general population for narcolepsy; prevalence of OSA varies but is estimated at 9% of middle-aged men and 4% of middle-aged women</t>
  </si>
  <si>
    <t>Significantly impacted by excessive daytime sleepiness, with individuals experiencing reduced productivity and social interactions</t>
  </si>
  <si>
    <t>Efficacy shown in clinical trials with significant improvements in wakefulness measured using the Epworth Sleepiness Scale (ESS)</t>
  </si>
  <si>
    <t>Generally considered safe; recommended for use in the approved populations, though long-term safety data is limited</t>
  </si>
  <si>
    <t>Common adverse events include headache, nausea, insomnia, anxiety, and dizziness; serious adverse events are rare</t>
  </si>
  <si>
    <t>Approximately $4,000 to $8,000 per year depending on insurance coverage and dosing</t>
  </si>
  <si>
    <t>Primarily adults (typically 18-65 years), though narcolepsy can begin in childhood or adolescence</t>
  </si>
  <si>
    <t>More common in males for narcolepsy; OSA has a higher prevalence in males, especially older adults</t>
  </si>
  <si>
    <t>Stimulant (specifically, a wakefulness-promoting agent)</t>
  </si>
  <si>
    <t>NUVIGIL 50MG TAB</t>
  </si>
  <si>
    <t>Excessive daytime sleepiness, cataplexy (sudden loss of muscle tone), disrupted nighttime sleep, hallucinations, sleep paralysis</t>
  </si>
  <si>
    <t>Approximately 0.02% to 0.06% of the population in the USA</t>
  </si>
  <si>
    <t>Significantly impaired due to excessive sleepiness and unpredictable sleep attacks, affecting social, occupational, and emotional well-being</t>
  </si>
  <si>
    <t>Studies show NUVIGIL (armodafinil) to improve wakefulness in patients with narcolepsy, with efficacy rates of about 60-70% for reducing excessive daytime sleepiness</t>
  </si>
  <si>
    <t>Generally well-tolerated, with a low risk of dependence, categorized as a Schedule IV controlled substance</t>
  </si>
  <si>
    <t>Headache, nausea, insomnia, anxiety, and dizziness are common; serious but rare effects include skin rash and potential allergic reactions</t>
  </si>
  <si>
    <t>Approximately $5,000 to $8,000 depending on health insurance coverage</t>
  </si>
  <si>
    <t>Approved for adults aged 18 and older</t>
  </si>
  <si>
    <t>Affects both genders equally, though studies suggest a slight female predominance in diagnosis</t>
  </si>
  <si>
    <t>Small molecule (stimulant)</t>
  </si>
  <si>
    <t>NUVIGIL 150MG TAB</t>
  </si>
  <si>
    <t>Excessive daytime sleepiness, cataplexy (sudden loss of muscle tone), sleep paralysis, hypnagogic hallucinations.</t>
  </si>
  <si>
    <t>Approximately 0.02% to 0.03% of the population in the USA (estimates suggest around 200,000 individuals affected).</t>
  </si>
  <si>
    <t>Significantly impacted due to disruptive sleep patterns and daytime sleepiness, leading to difficulties in daily activities, employment, and social interactions.</t>
  </si>
  <si>
    <t>NUVIGIL (armodafinil) is effective in improving wakefulness; clinical trials reported improvements in excessive daytime sleepiness with a response rate around 60%.</t>
  </si>
  <si>
    <t>Generally well-tolerated; most common side effects include headache, nausea, and insomnia.</t>
  </si>
  <si>
    <t>Serious adverse events are rare, but can include severe skin reactions, psychiatric symptoms (e.g., anxiety, hallucinations), and potential for abuse/dependence.</t>
  </si>
  <si>
    <t>Approximately $1,500 to $3,000 depending on insurance coverage and patient-specific factors.</t>
  </si>
  <si>
    <t>Adults (typically prescribed for ages 18 and older).</t>
  </si>
  <si>
    <t>Both males and females, with a slightly higher prevalence in males.</t>
  </si>
  <si>
    <t>Small molecules (specifically, a wakefulness-promoting agent).</t>
  </si>
  <si>
    <t>NUVIGIL 200MG TAB</t>
  </si>
  <si>
    <t>Excessive daytime sleepiness, sudden sleep attacks, disturbed nighttime sleep, cataplexy (sudden loss of muscle tone), insomnia, sleep-related breathing issues.</t>
  </si>
  <si>
    <t>Narcolepsy affects approximately 0.02% to 0.05% of the U.S. population; OSA affects about 9% of men and 4% of women; Shift Work Sleep Disorder affects 15% of shift workers.</t>
  </si>
  <si>
    <t>Often significantly impaired; individuals may experience difficulties in daily functioning, decreased performance at work, and social interactions.</t>
  </si>
  <si>
    <t>NUVIGIL is effective in improving wakefulness and reducing excessive daytime sleepiness in patients with narcolepsy and OSA, and works for shift work sleep disorder in approximately 60% of patients.</t>
  </si>
  <si>
    <t>Generally well tolerated; may have a favorable safety profile compared to traditional stimulants, but may still cause side effects in some patients.</t>
  </si>
  <si>
    <t>Common adverse events include headache, nausea, anxiety, insomnia, and dry mouth. Serious adverse events may include cardiovascular issues but are rare.</t>
  </si>
  <si>
    <t>Approximately $5,000 to $10,000, depending on insurance coverage and dosages.</t>
  </si>
  <si>
    <t>Mainly adults, though it can be prescribed to adolescents aged 16 and older.</t>
  </si>
  <si>
    <t>No significant gender preference; conditions may affect both men and women.</t>
  </si>
  <si>
    <t>Small molecule; specifically a wakefulness-promoting agent (stimulant).</t>
  </si>
  <si>
    <t>NUVIGIL 250MG TAB</t>
  </si>
  <si>
    <t>Excessive daytime sleepiness, sudden sleep attacks, disrupted nighttime sleep, cataplexy, hallucinations, sleep paralysis</t>
  </si>
  <si>
    <t>Narcolepsy affects approximately 0.05% of the population in the USA, while Shift Work Sleep Disorder prevalence can be around 10%-40% among shift workers</t>
  </si>
  <si>
    <t>Significantly impacted due to fatigue, cognitive impairment, and difficulty in daily functioning; improvement with treatment</t>
  </si>
  <si>
    <t>Clinical studies show an improvement in wakefulness, with efficacy rates around 70% for reducing excessive daytime sleepiness</t>
  </si>
  <si>
    <t>Generally well-tolerated; long-term safety data indicate safety in use, but monitoring is advised</t>
  </si>
  <si>
    <t>Commonly reported adverse events include headache, nausea, insomnia, anxiety, and dizziness</t>
  </si>
  <si>
    <t>Primarily adults, but can also be prescribed for older adolescents</t>
  </si>
  <si>
    <t>Both genders, with a slightly higher incidence in males for narcolepsy</t>
  </si>
  <si>
    <t>Small molecule (especially a wakefulness-promoting agent)</t>
  </si>
  <si>
    <t>LOPERAMIDE HCL 2MG CAP UD100 10X10</t>
  </si>
  <si>
    <t>Frequent loose or watery stools, abdominal cramps, urgency to have a bowel movement</t>
  </si>
  <si>
    <t>Approximately 5-10% of the US population experiences acute diarrhea each year</t>
  </si>
  <si>
    <t>Diarrhea can significantly impact daily activities and social interactions, leading to a decreased quality of life during episodes</t>
  </si>
  <si>
    <t>Loperamide is effective in reducing stool frequency and improving consistency in cases of acute diarrhea</t>
  </si>
  <si>
    <t>Generally safe when used as directed, with a favorable safety profile for short-term use</t>
  </si>
  <si>
    <t>Common adverse events include constipation, dizziness, and nausea; severe adverse events may include intestinal obstruction, especially in cases of certain underlying conditions</t>
  </si>
  <si>
    <t>Approximately $20 - $40 for over-the-counter use</t>
  </si>
  <si>
    <t>Small molecule (anti-diarrheal)</t>
  </si>
  <si>
    <t>DIVALPROEX SODIUM 500MG ER TAB</t>
  </si>
  <si>
    <t>Mood swings, manic episodes, depression in Bipolar Disorder; seizures in Epilepsy; migraines in prophylaxis</t>
  </si>
  <si>
    <t>Approximately 2.6% of adults in the USA have bipolar disorder; epilepsy affects about 3.4 million people (1.2% of the population); migraines affect around 12% of the population</t>
  </si>
  <si>
    <t>Divalproex Sodium can improve quality of life in patients with mood disorders, reduce seizure frequency, and lower migraine occurrences; however, side effects can negatively impact quality of life depending on individual tolerance</t>
  </si>
  <si>
    <t>Generally 70% effective for seizures; varies for bipolar disorder and migraine prevention but can range from 50-80%</t>
  </si>
  <si>
    <t>Generally considered safe for use; close monitoring is required, especially regarding liver function and blood levels</t>
  </si>
  <si>
    <t>Common adverse events include gastrointestinal disturbances, drowsiness, dizziness, weight gain, tremors, and in rare cases liver toxicity or pancreatitis</t>
  </si>
  <si>
    <t>Approximately $1,200 - $2,400 depending on insurance coverage and other variables</t>
  </si>
  <si>
    <t>Approved for adults and children over 10 years old</t>
  </si>
  <si>
    <t>Used in all genders, but prevalence can vary between males and females in certain conditions like bipolar disorder</t>
  </si>
  <si>
    <t>Small molecules (anticonvulsant and mood stabilizer)</t>
  </si>
  <si>
    <t>ZYDELIG 100MG TAB</t>
  </si>
  <si>
    <t>Fatigue, swollen lymph nodes, night sweats, fever, weight loss, an enlarged spleen or liver, frequent infections, bruising or bleeding easily</t>
  </si>
  <si>
    <t>Approximately 20,000 new cases of CLL each year in the USA; Follicular lymphoma accounts for about 20% of all non-Hodgkin lymphoma cases, with about 13,000 new cases per year</t>
  </si>
  <si>
    <t>Reduced quality of life due to chronic symptoms and treatment side effects; varies based on disease stage and patient response to therapy</t>
  </si>
  <si>
    <t>ZYDELIG (Idelalisib) is effective in approximately 30-60% of patients with CLL and follicular lymphoma who have received prior therapies, according to clinical studies</t>
  </si>
  <si>
    <t>Generally well-tolerated; however, it may lead to serious infections, liver toxicity, and diarrhea, requiring monitoring</t>
  </si>
  <si>
    <t>Common adverse events include diarrhea (50-60%), liver function test abnormalities (30-40%), fatigue (30%), and rash (20%)</t>
  </si>
  <si>
    <t>Approximately $130,000 - $150,000 per year, depending on the duration of therapy and health insurance coverage</t>
  </si>
  <si>
    <t>Generally prescribed for adults, primarily those over 65 years old due to higher prevalence in older populations</t>
  </si>
  <si>
    <t>More common in males than females, with a male-to-female ratio of approximately 2:1 for CLL and follicular lymphoma</t>
  </si>
  <si>
    <t>Small molecule inhibitor targeting the PI3K pathway</t>
  </si>
  <si>
    <t>TECARTUS INFUSION BAG</t>
  </si>
  <si>
    <t>Enlarged lymph nodes, fatigue, weight loss, fever, night sweats, abdominal swelling</t>
  </si>
  <si>
    <t>Approximately 3.5 cases per 100,000 people in the USA</t>
  </si>
  <si>
    <t>Significantly affected due to symptoms and treatment side effects; patients often experience fatigue and emotional distress</t>
  </si>
  <si>
    <t>Approximately 80% of patients achieve a complete response after treatment</t>
  </si>
  <si>
    <t>Generally well tolerated, but can have serious adverse reactions</t>
  </si>
  <si>
    <t>Cytopenias, infections, neurotoxicity, infusion-related reactions</t>
  </si>
  <si>
    <t>Estimated at $373,000 per year</t>
  </si>
  <si>
    <t>Primarily adults, typically over 60 years of age</t>
  </si>
  <si>
    <t>More common in males, ratio approximately 2:1</t>
  </si>
  <si>
    <t>CAR T-cell therapy (Chimeric Antigen Receptor T-cell therapy)</t>
  </si>
  <si>
    <t>CHLORAMPHENICOL NA SUCCINATE 1GM/VIL INJ</t>
  </si>
  <si>
    <t>Fever, headache, nausea, vomiting, muscle pain, and in the case of meningitis, stiff neck and sensitivity to light.</t>
  </si>
  <si>
    <t>Meningitis: approximately 1.2 cases per 100,000 people annually in the USA; Typhoid fever: about 300 cases reported annually in the USA.</t>
  </si>
  <si>
    <t>Quality of life can be significantly affected by severe bacterial infections; those recovering from conditions like meningitis can face long-term neurological implications.</t>
  </si>
  <si>
    <t>Chloramphenicol is effective against certain gram-negative and gram-positive bacteria, especially in cases where resistance to other antibiotics is present.</t>
  </si>
  <si>
    <t>Generally safe when used appropriately, with monitoring needed; however, it can cause serious side effects if misused or in high doses.</t>
  </si>
  <si>
    <t>Possible adverse events include bone marrow suppression, aplastic anemia, gray baby syndrome (in infants), and gastrointestinal disturbances.</t>
  </si>
  <si>
    <t>Average costs can vary widely; approximately $800 - $1,500 per year depending on the treatment required and complications.</t>
  </si>
  <si>
    <t>All age groups; caution is required in neonates due to the risk of gray baby syndrome.</t>
  </si>
  <si>
    <t>No specific gender predilection; affects all genders equally.</t>
  </si>
  <si>
    <t>Small molecules (antibiotic).</t>
  </si>
  <si>
    <t>SODIUM CHLORIDE 23.4% (PF) INJ,CONC</t>
  </si>
  <si>
    <t>Headache, nausea, vomiting, confusion, seizures, coma</t>
  </si>
  <si>
    <t>Approximately 1-2% of the general population experiences hyponatremia at any given time; it is more prevalent in hospitalized patients and specific populations.</t>
  </si>
  <si>
    <t>Quality of life can be significantly impacted due to the symptoms associated with hyponatremia, particularly if severe symptoms develop; recovery improves with treatment.</t>
  </si>
  <si>
    <t>Efficacy of hypertonic sodium chloride solutions in treating hyponatremia is generally high, particularly for acute cases, with rapid correction of sodium levels.</t>
  </si>
  <si>
    <t>Generally considered safe when used properly in controlled settings. However, rapid administration can lead to osmotic demyelination syndrome.</t>
  </si>
  <si>
    <t>Common adverse events include infusion site reactions, fluid overload, and electrolyte imbalances; serious adverse events may include central pontine myelinolysis.</t>
  </si>
  <si>
    <t>Costs can vary widely based on hospitalization status, but the average yearly cost can range from $1,000 to over $10,000 depending on severity and treatment duration.</t>
  </si>
  <si>
    <t>Primarily affects adults, particularly older adults over age 65.</t>
  </si>
  <si>
    <t>No significant gender predilection; however, certain underlying conditions may affect prevalence.</t>
  </si>
  <si>
    <t>Electrolyte solution, specifically a hypertonic saline solution.</t>
  </si>
  <si>
    <t>CYTARABINE 2GM/VIL INJ</t>
  </si>
  <si>
    <t>Fatigue, fever, frequent infections, easy bruising or bleeding, weight loss, and pain or swelling in the abdomen.</t>
  </si>
  <si>
    <t>Approximately 20,000 new cases of AML are diagnosed annually in the USA, with a prevalence rate of about 3.2 per 100,000 people.</t>
  </si>
  <si>
    <t>Variable; may improve during remission but can be significantly impacted by treatment side effects and disease symptoms.</t>
  </si>
  <si>
    <t>Generally effective in combination therapies, with complete remission rates around 40%-50% for newly diagnosed AML patients.</t>
  </si>
  <si>
    <t>Generally considered safe when dosed appropriately; however, monitoring is essential due to potential toxic effects.</t>
  </si>
  <si>
    <t>Common adverse events include nausea, vomiting, diarrhea, mucositis, and bone marrow suppression (leading to increased infection risk).</t>
  </si>
  <si>
    <t>Estimated between $25,000 to $50,000 depending on treatment regimen and healthcare settings.</t>
  </si>
  <si>
    <t>Primarily adults (median age at diagnosis is around 68 years, but can occur in younger individuals).</t>
  </si>
  <si>
    <t>No significant gender predisposition; however, incidence rates are slightly higher in males compared to females.</t>
  </si>
  <si>
    <t>Small molecule chemotherapy agent (antimetabolite).</t>
  </si>
  <si>
    <t>DACARBAZINE 100MG/VIL INJ</t>
  </si>
  <si>
    <t>Skin changes (e.g., moles that change shape or color), persistent cough, unexplained weight loss, abdominal pain, and fatigue (symptoms vary by cancer type)</t>
  </si>
  <si>
    <t>Approximately 22,000 new cases of melanoma are diagnosed annually in the USA; melanoma prevalence is rising, with around 1 in 50 people developing the disease by age 65.</t>
  </si>
  <si>
    <t>Varies significantly based on cancer stage; patients with melanoma treated early have a higher quality of life compared to advanced stages.</t>
  </si>
  <si>
    <t>Efficacy can vary; traditional chemotherapy shows a response rate of around 15-20% in metastatic melanoma, but response rates are higher when combined with immunotherapy.</t>
  </si>
  <si>
    <t>Generally well-tolerated, but caution required; safety profile improves when used in combination with other therapies.</t>
  </si>
  <si>
    <t>Common adverse effects include nausea, vomiting, liver toxicity, bone marrow suppression, and increased risk of infections.</t>
  </si>
  <si>
    <t>Estimated at $50,000 to $100,000 depending on treatment regimen and additional therapies used.</t>
  </si>
  <si>
    <t>Primarily adults (most cases diagnosed in individuals ages 30-65 years).</t>
  </si>
  <si>
    <t>More prevalent in males than females; gender ratio approximately 1.5:1.</t>
  </si>
  <si>
    <t>Small molecule (alkylating agent).</t>
  </si>
  <si>
    <t>LACTATED RINGER'S INJ</t>
  </si>
  <si>
    <t>Thirst, dry mouth, decreased urine output, fatigue, weakness, dizziness, and confusion</t>
  </si>
  <si>
    <t>Approximately 10% of the U.S. population experiences dehydration annually, especially in vulnerable populations (elderly, infants, those with chronic illnesses)</t>
  </si>
  <si>
    <t>Typically restored with effective treatment; may significantly improve life quality if dehydration is severe</t>
  </si>
  <si>
    <t>Highly effective in rapidly restoring fluid and electrolyte levels</t>
  </si>
  <si>
    <t>Generally considered safe when administered correctly; minor risks associated with intravenous therapy</t>
  </si>
  <si>
    <t>Phlebitis, infiltration at the IV site, allergic reactions, fluid overload</t>
  </si>
  <si>
    <t>$1,000 - $5,000 (depending on hospital stay and administration costs)</t>
  </si>
  <si>
    <t>All age groups, particularly elderly and infants</t>
  </si>
  <si>
    <t>No significant gender differences in usage</t>
  </si>
  <si>
    <t>Intravenous fluid therapy (electrolyte solution)</t>
  </si>
  <si>
    <t>SODIUM CHLORIDE 120MEQ/30ML VIL, INJ</t>
  </si>
  <si>
    <t>Nausea, headache, confusion, seizures, fatigue, muscle weakness, irritability</t>
  </si>
  <si>
    <t>Approximately 1-2% of the general population, higher rates in hospitalized patients</t>
  </si>
  <si>
    <t>Can be significantly affected during acute episodes; patients may experience fatigue and cognitive disturbances</t>
  </si>
  <si>
    <t>Effective in correcting sodium levels when used appropriately under medical supervision</t>
  </si>
  <si>
    <t>Generally safe when used as directed, but requires monitoring</t>
  </si>
  <si>
    <t>Potential for fluid overload, hypertension, electrolyte imbalances, central nervous system effects</t>
  </si>
  <si>
    <t>Varies, approximately $150-$300 depending on administration and monitoring requirements</t>
  </si>
  <si>
    <t>All age groups; more common in older adults</t>
  </si>
  <si>
    <t>No significant gender predisposition</t>
  </si>
  <si>
    <t>Electrolyte replacement (small molecules)</t>
  </si>
  <si>
    <t>DIMENHYDRINATE 50MG/ML INJ</t>
  </si>
  <si>
    <t>Nausea, vomiting, dizziness, vertigo, and discomfort associated with movement</t>
  </si>
  <si>
    <t>Approximately 30% of the population experiences motion sickness at some point in their lives, with varying prevalence factors such as age and history of motion sickness.</t>
  </si>
  <si>
    <t>Can be significantly impacted during travel, with successful prevention or treatment improving overall travel comfort and experience.</t>
  </si>
  <si>
    <t>Approximately 50-70% effective in preventing and treating symptoms of motion sickness.</t>
  </si>
  <si>
    <t>Generally considered safe when used as directed, but care should be taken in specific populations (e.g., those with glaucoma, prostate enlargement, or certain heart conditions).</t>
  </si>
  <si>
    <t>Drowsiness, dry mouth, blurred vision, constipation, and urinary retention; rarely, confusion or hallucinations, especially in elderly populations.</t>
  </si>
  <si>
    <t>Estimated cost varies widely, but generally around $200 to $600 depending on the frequency of use and healthcare system.</t>
  </si>
  <si>
    <t>Commonly used in adults and children over 2 years old.</t>
  </si>
  <si>
    <t>No significant gender differences noted in usage or efficacy.</t>
  </si>
  <si>
    <t>Antihistamine (specifically, a first-generation antihistamine).</t>
  </si>
  <si>
    <t>OCTREOTIDE ACETATE 100MCG/ML INJ</t>
  </si>
  <si>
    <t>Enlarged hands and feet, facial changes (e.g., enlarged nose, jaw), joint pain, increased sweating, headaches, vision problems</t>
  </si>
  <si>
    <t>Approximately 3-4 cases per 100,000 people for acromegaly; specific prevalence for neuroendocrine tumors can vary widely, estimated at around 6.98 per 100,000 for all NETs in the USA</t>
  </si>
  <si>
    <t>Patients may experience a reduced quality of life due to physical symptoms, psychosocial issues, and complications from the disease; improvement observed with treatment</t>
  </si>
  <si>
    <t>Octreotide is effective at reducing growth hormone levels, controlling symptoms, and tumor size in approximately 30-80% of acromegaly patients depending on the individual case and tumor size</t>
  </si>
  <si>
    <t>Generally well-tolerated; most patients can use it safely; monitoring is recommended due to potential effects on glucose metabolism</t>
  </si>
  <si>
    <t>Common adverse events include gastrointestinal issues (nausea, diarrhea), injection site reactions, and gallbladder problems; serious adverse events are rare</t>
  </si>
  <si>
    <t>Estimated annual cost around $30,000 to $60,000 depending on dosage and healthcare provider</t>
  </si>
  <si>
    <t>Typically used in adults; however, pediatric use is considered in certain cases</t>
  </si>
  <si>
    <t>Both genders are affected, with a slight male predominance for acromegaly</t>
  </si>
  <si>
    <t>Synthetic analogue of somatostatin (a peptide hormone), classified as a small molecule</t>
  </si>
  <si>
    <t>AMIODARONE HCL 50MG/ML INJ</t>
  </si>
  <si>
    <t>Approximately 2.7 million people in the USA have atrial fibrillation</t>
  </si>
  <si>
    <t>Can significantly impact quality of life due to symptoms and increased risk of complications such as stroke</t>
  </si>
  <si>
    <t>Amiodarone is effective in controlling heart rhythm and is used in 70-80% of cases for converting atrial fibrillation</t>
  </si>
  <si>
    <t>Generally considered safe but requires monitoring due to potential toxicity, especially in long-term use</t>
  </si>
  <si>
    <t>Common adverse events include thyroid dysfunction, lung toxicity, liver damage, and skin reactions. Occurrence can be as high as 50% in long-term users for at least one adverse effect.</t>
  </si>
  <si>
    <t>Estimated annual costs for amiodarone therapy range from $3,000 to $6,000</t>
  </si>
  <si>
    <t>Mostly used in adults aged 65 and older</t>
  </si>
  <si>
    <t>More common in males compared to females, with a male-to-female ratio of approximately 1.5:1</t>
  </si>
  <si>
    <t>SODIUM CHLORIDE 0.45% INJ, BAG, 1000ML</t>
  </si>
  <si>
    <t>Thirst, dry mouth, fatigue, confusion, muscle spasms, irritability</t>
  </si>
  <si>
    <t>Approximately 1-2% of hospitalized patients experience hypernatremia; dehydration varies based on the population.</t>
  </si>
  <si>
    <t>Generally improves with prompt correction but can lead to complications if unmanaged.</t>
  </si>
  <si>
    <t>Effective in correcting electrolyte imbalances and rehydrating patients when used appropriately.</t>
  </si>
  <si>
    <t>Generally safe when administered in controlled amounts; careful monitoring required.</t>
  </si>
  <si>
    <t>Rare but may include fluid overload, hypokalemia, or electrolyte imbalances if improperly infused.</t>
  </si>
  <si>
    <t>Estimated at $500 to $1,500, depending on hospital or home care setting.</t>
  </si>
  <si>
    <t>Used across all age groups, particularly in elderly, pediatric, and hospitalized patients.</t>
  </si>
  <si>
    <t>No significant gender-related differences in usage.</t>
  </si>
  <si>
    <t>Infusion solution (electrolyte replacement).</t>
  </si>
  <si>
    <t>SODIUM CHLORIDE 0.45% INJ, BAG, 500ML</t>
  </si>
  <si>
    <t>Thirst, dry mouth, low blood pressure, confusion, muscle cramps, headaches</t>
  </si>
  <si>
    <t>Dehydration affects approximately 5-10% of the general population; Hyponatremia occurs in about 1.5% of hospitalized patients in the USA.</t>
  </si>
  <si>
    <t>Quality of life can significantly improve with proper fluid balance restoration; severe dehydration can lead to long-term complications if not addressed.</t>
  </si>
  <si>
    <t>Highly effective for fluid and electrolyte replenishment when used appropriately, particularly in IV therapy settings.</t>
  </si>
  <si>
    <t>Generally considered safe when used as directed; close monitoring is required to prevent fluid overload and electrolyte imbalances.</t>
  </si>
  <si>
    <t>Rare; potential adverse events may include fluid overload, especially in patients with heart or kidney issues, and localized injection site reactions.</t>
  </si>
  <si>
    <t>Approximately $500 - $1,000 depending on utilization in a clinical setting.</t>
  </si>
  <si>
    <t>All age groups; particularly important in pediatric and geriatric populations.</t>
  </si>
  <si>
    <t>No gender-specific differences in usage, but susceptibility to dehydration may be higher in elderly and certain chronic illness demographics.</t>
  </si>
  <si>
    <t>Injectable solution (electrolyte replacement therapy).</t>
  </si>
  <si>
    <t>ADENOSINE 3MG/ML INJ</t>
  </si>
  <si>
    <t>Palpitations, dizzness, shortness of breath, chest pain, anxiety</t>
  </si>
  <si>
    <t>Approximately 2.25% of the general population experience SVT at some point in their lives.</t>
  </si>
  <si>
    <t>Patients may experience reduced quality of life due to recurrent episodes and anxiety related to symptoms; severity can vary widely.</t>
  </si>
  <si>
    <t>Adenosine is highly effective for acute termination of paroxysmal SVT; efficacy rates of around 90% for conversion to normal sinus rhythm.</t>
  </si>
  <si>
    <t>Generally well-tolerated; considered safe when administered in a controlled medical setting.</t>
  </si>
  <si>
    <t>Common adverse events include flushing (up to 30% of patients), chest pain, shortness of breath, and hypotension (transient and usually resolves quickly).</t>
  </si>
  <si>
    <t>Varies significantly by healthcare setting; costs associated with emergency care and monitoring can be high; a single dose in an outpatient setting may cost about $100.</t>
  </si>
  <si>
    <t>Primarily adults, but can also occur in children and adolescents.</t>
  </si>
  <si>
    <t>Incidence is generally equal among males and females, though some studies suggest a possible higher prevalence in females.</t>
  </si>
  <si>
    <t>Small molecules (adenosine is an endogenous nucleoside), used in clinical settings, especially in emergency medicine.</t>
  </si>
  <si>
    <t>ADENOSINE 3MG/ML INJ,VIL,20ML</t>
  </si>
  <si>
    <t>Palpitations, dizziness, shortness of breath, chest pain, or fainting</t>
  </si>
  <si>
    <t>Approximately 2-3% of the general population in the USA</t>
  </si>
  <si>
    <t>Varies; can be significantly affected during episodes but generally good with proper management</t>
  </si>
  <si>
    <t>High; adenosine effectively normalizes heart rhythm in PSVT cases within seconds to minutes</t>
  </si>
  <si>
    <t>Generally safe when administered appropriately; rapid IV administration should be done cautiously</t>
  </si>
  <si>
    <t>Transient flushing, chest discomfort, headache, hypotension, or asystole (brief pause in heart function)</t>
  </si>
  <si>
    <t>Approximately $200 - $1,000 per year depending on frequency of use and healthcare settings</t>
  </si>
  <si>
    <t>Adults, commonly in the 20-60 year age range</t>
  </si>
  <si>
    <t>Affects both genders, though may be more prevalent in men</t>
  </si>
  <si>
    <t>Small molecule, specifically an endogenous nucleoside and cardiology acute intervention therapy</t>
  </si>
  <si>
    <t>ADENOSINE 3MG/ML INJ,VIL,30ML</t>
  </si>
  <si>
    <t>Palpitations, dizziness, shortness of breath, chest pain, anxiety, fatigue</t>
  </si>
  <si>
    <t>Approximately 2.25% of the general population experiences PSVT at least once in their lifetime</t>
  </si>
  <si>
    <t>Quality of life may be significantly impacted during episodes, leading to anxiety and avoidance of physical activity</t>
  </si>
  <si>
    <t>90% effective in converting PSVT to normal sinus rhythm within minutes of administration</t>
  </si>
  <si>
    <t>Generally considered safe when administered by healthcare providers; monitoring during administration is recommended</t>
  </si>
  <si>
    <t>Flushing, chest discomfort, hypotension, transient bradycardia, shortness of breath, headache</t>
  </si>
  <si>
    <t>Approximately $1,500-$3,000 depending on hospital and facility fees for treatment administration</t>
  </si>
  <si>
    <t>Most commonly used in adults aged 18-65, but can also be administered in pediatrics with careful consideration</t>
  </si>
  <si>
    <t>No significant gender differences in prevalence; both males and females can be affected</t>
  </si>
  <si>
    <t>Small molecules (Adenosine is an endogenous nucleoside used therapeutically)</t>
  </si>
  <si>
    <t>ADENOSINE 3MG/ML INJ,SYRINGE 2ML</t>
  </si>
  <si>
    <t>Rapid heartbeat, palpitations, dizziness, lightheadedness, chest pain, shortness of breath, anxiety</t>
  </si>
  <si>
    <t>Approximately 0.2% to 0.5% of the population in the USA</t>
  </si>
  <si>
    <t>Can significantly improve quality of life post-treatment; many patients experience reduced episodes and better overall function</t>
  </si>
  <si>
    <t>Approximately 90% effective for acute termination of PSVT upon administration</t>
  </si>
  <si>
    <t>Generally considered safe when used in a controlled medical setting; monitoring recommended</t>
  </si>
  <si>
    <t>Common adverse effects include flushing, nausea, headache, dizziness, and chest discomfort; serious but rare events include severe bradycardia and asystole</t>
  </si>
  <si>
    <t>Average cost of acute administration is around $100 to $300 per dose; ongoing costs depend on frequency of attacks and further management, potentially higher based on additional treatments</t>
  </si>
  <si>
    <t>Adults primarily, but can be used in adolescents and children under specific conditions</t>
  </si>
  <si>
    <t>Both males and females are affected equally; some studies suggest possible variations in response or frequency of episodes</t>
  </si>
  <si>
    <t>Antidysrhythmic medication (specifically, a nucleoside)</t>
  </si>
  <si>
    <t>ADENOSINE 3MG/ML INJ,SYRINGE 4ML</t>
  </si>
  <si>
    <t>Palpitations, dizziness, shortness of breath, chest discomfort, anxiety</t>
  </si>
  <si>
    <t>Approximately 0.1% to 0.6% of the general population</t>
  </si>
  <si>
    <t>Many patients report improved quality of life following management of SVT episodes; effectiveness of treatment directly correlates with reduced symptoms.</t>
  </si>
  <si>
    <t>About 90% effective in terminating reentrant SVT episodes in clinical settings</t>
  </si>
  <si>
    <t>Generally considered safe when used in a controlled environment with monitoring; occurs in a medical setting under professional supervision</t>
  </si>
  <si>
    <t>Flushing, chest discomfort, dizziness, hypotension, shortness of breath (transient and generally resolve quickly)</t>
  </si>
  <si>
    <t>Average annual costs can vary significantly; acute administration costs approximately $500 to $1,200 depending on the healthcare setting and insurance coverage, not including follow-up care</t>
  </si>
  <si>
    <t>Most commonly used in adults aged 18-65, but can be used in pediatric cases under close supervision</t>
  </si>
  <si>
    <t>No significant gender difference in the incidence or treatment of SVT with adenosine</t>
  </si>
  <si>
    <t>Small molecule, antiarrhythmic agent</t>
  </si>
  <si>
    <t>KABIVEN INF LIQ 2180KCAL</t>
  </si>
  <si>
    <t>Weight loss, fatigue, weakness, muscle wasting, immune dysfunction, and delayed wound healing.</t>
  </si>
  <si>
    <t>Approximately 3% to 7% of the US population is estimated to suffer from malnutrition, with higher rates in hospitalized patients (up to 40%).</t>
  </si>
  <si>
    <t>Malnutrition significantly affects quality of life, often leading to decreased physical function, poor mental health, and increased dependency on healthcare.</t>
  </si>
  <si>
    <t>KABIVEN has shown to effectively provide parenteral nutrition, improving nutritional status and clinical outcomes in appropriate patients.</t>
  </si>
  <si>
    <t>Generally considered safe when used as directed; however, requires monitoring due to potential complications from parenteral nutrition.</t>
  </si>
  <si>
    <t>Common adverse events include hyperglycemia, liver dysfunction, electrolyte imbalances, catheter-related infections, and gastrointestinal symptoms.</t>
  </si>
  <si>
    <t>Estimated annual costs for parenteral nutrition can range from $15,000 to $30,000, depending on patient requirements and administration settings.</t>
  </si>
  <si>
    <t>Most commonly used in adults, particularly those with severe malnutrition or other conditions that prevent normal intake; also applicable in pediatric settings.</t>
  </si>
  <si>
    <t>No specific gender predilection; used in both males and females as needed for nutritional support.</t>
  </si>
  <si>
    <t>KABIVEN is classified as a nutrition therapy solution used for parenteral administration (a combination of amino acids, dextrose, and lipids).</t>
  </si>
  <si>
    <t>DEXTROSE 10% INJ,BAG,1000ML</t>
  </si>
  <si>
    <t>Symptoms of dehydration can include thirst, dry mouth, reduced urine output, fatigue, dizziness, and confusion. Hypoglycemia symptoms may include sweating, shaking, irritability, anxiety, dizziness, or weakness.</t>
  </si>
  <si>
    <t>Dehydration affects about 4-5% of the general population, more prevalent in the elderly or those with chronic illnesses. Hypoglycemia can affect approximately 0.1% to 1% of the general population, more common in individuals with diabetes.</t>
  </si>
  <si>
    <t>Quality of life can be significantly impacted by dehydration, particularly in older adults, as it can lead to hospitalizations and complications. Hypoglycemia can also affect quality of life, especially in individuals with diabetes who might experience frequent episodes.</t>
  </si>
  <si>
    <t>Generally effective for rehydration and correcting low blood sugar levels; rapid response in acute settings.</t>
  </si>
  <si>
    <t>Generally considered safe when used appropriately; common complications may arise from improper administration or underlying conditions.</t>
  </si>
  <si>
    <t>Possible adverse events include fluid overload, electrolyte imbalances, or reactions to the infusion site.</t>
  </si>
  <si>
    <t>Estimated annual costs can vary widely based on administration settings, but average around $500 - $1,200 for hospital settings that may include storage and infusion costs.</t>
  </si>
  <si>
    <t>All age groups, particularly high risk in infants, elderly, and individuals with chronic health issues.</t>
  </si>
  <si>
    <t>IV fluids (Dextrose is classified as an intravenous solution, a type of small molecule therapy).</t>
  </si>
  <si>
    <t>SODIUM CHLORIDE 0.9%/BENZYL ALCOHOL INJ,30ML</t>
  </si>
  <si>
    <t>Thirst, dry mouth, fatigue, dizziness, headache, muscle cramps, confusion</t>
  </si>
  <si>
    <t>Common, particularly in hospitalized patients or those undergoing surgery; precise prevalence varies</t>
  </si>
  <si>
    <t>Generally, quality of life improves with appropriate hydration; patients often feel better once treated</t>
  </si>
  <si>
    <t>Highly effective for rehydration and maintaining electrolyte balance</t>
  </si>
  <si>
    <t>Generally considered safe when used as directed; however, excessive administration can lead to fluid overload</t>
  </si>
  <si>
    <t>Rare; may include local irritation at the injection site, fluid overload, or electrolyte disturbances</t>
  </si>
  <si>
    <t>Costs may vary significantly; typically low, possibly around $200-$500 annually for repeated use (depends on usage and healthcare setting)</t>
  </si>
  <si>
    <t>All age groups (infants to elderly)</t>
  </si>
  <si>
    <t>Both genders equally</t>
  </si>
  <si>
    <t>Electrolyte solution/injection</t>
  </si>
  <si>
    <t>STIMUFEND 6MG/0.6ML INJ,SOLN</t>
  </si>
  <si>
    <t>Symptoms may include swollen lymph nodes, fever, night sweats, weight loss, and itchy skin.</t>
  </si>
  <si>
    <t>Approximately 5,000 new cases of PTCL are diagnosed annually in the USA, representing 10-15% of all non-Hodgkin lymphoma cases.</t>
  </si>
  <si>
    <t>Patients often experience a reduced quality of life due to symptoms and treatment side effects, impacting physical and emotional well-being.</t>
  </si>
  <si>
    <t>Clinical trials show that STIMUFEND can lead to partial or complete remission in 30-50% of patients with relapsed or refractory PTCL.</t>
  </si>
  <si>
    <t>Generally well-tolerated but requires monitoring for potential toxicities; safety profile varies based on patient health and concurrent therapies.</t>
  </si>
  <si>
    <t>Common adverse events include infusion reactions, infections, and myelosuppression (anemia, thrombocytopenia, etc.).</t>
  </si>
  <si>
    <t>The estimated annual cost of STIMUFEND treatment can range from $150,000 to $200,000, depending on dosage and treatment duration.</t>
  </si>
  <si>
    <t>Primarily affects adults, commonly diagnosed in individuals aged 60 and older; however, it can occur in younger adults as well.</t>
  </si>
  <si>
    <t>Slightly more common in males than females, with a male-to-female ratio of approximately 1.5:1.</t>
  </si>
  <si>
    <t>Monoclonal antibody (specifically targeting CD30, an important marker in some types of lymphoma).</t>
  </si>
  <si>
    <t>MIDAZOLAM HCL 1MG/ML (PF) INJ</t>
  </si>
  <si>
    <t>Anxiety, insomnia, seizures, agitation, sedation</t>
  </si>
  <si>
    <t>Approximately 31.1% of adults experience an anxiety disorder at some time in their lives in the USA</t>
  </si>
  <si>
    <t>Moderate to severe impact on quality of life for individuals experiencing anxiety, may reduce quality of life in seizure disorders and pre-surgical patients</t>
  </si>
  <si>
    <t>Highly effective for rapid sedation and seizure control; response rates vary depending on the context of use</t>
  </si>
  <si>
    <t>Generally safe when used as directed; risks increase with higher doses and polypharmacy</t>
  </si>
  <si>
    <t>Drowsiness, dizziness, respiratory depression, hypotension, potential for dependence, withdrawal symptoms</t>
  </si>
  <si>
    <t>Approximately $2,000 - $5,000 depending on usage and healthcare setting</t>
  </si>
  <si>
    <t>Adults and pediatric patients (generally &gt; 6 months)</t>
  </si>
  <si>
    <t>No specific gender predilection, but usage patterns may vary</t>
  </si>
  <si>
    <t>TRI-LUMA CREAM</t>
  </si>
  <si>
    <t>Brown or gray-brown patches on the skin, typically on the face; uneven skin tone</t>
  </si>
  <si>
    <t>Approximately 6.8 million cases in the USA</t>
  </si>
  <si>
    <t>Can negatively impact self-esteem and social interactions due to visible skin changes</t>
  </si>
  <si>
    <t>Effective for skin lightening and reducing the appearance of melasma, with around 50-70% of patients achieving significant improvement</t>
  </si>
  <si>
    <t>Generally safe for topical use; less systemic exposure compared to oral therapies</t>
  </si>
  <si>
    <t>Common adverse events include skin irritation, redness, peeling, and photosensitivity</t>
  </si>
  <si>
    <t>Estimated at $300 - $600 depending on insurance coverage and pharmacy costs</t>
  </si>
  <si>
    <t>Most commonly prescribed to adults aged 20-50 years</t>
  </si>
  <si>
    <t>More prevalent in women than men, with around 90% of cases occurring in women</t>
  </si>
  <si>
    <t>Combination topical therapy (contains hydroquinone, tretinoin, and fluocinolone acetonide)</t>
  </si>
  <si>
    <t>NEMLUVIO 30MG INJ,PEN</t>
  </si>
  <si>
    <t>Progressive muscle weakness, difficulty walking, loss of mobility, respiratory issues, heart problems</t>
  </si>
  <si>
    <t>Approximately 1 in 3,500 male births in the USA</t>
  </si>
  <si>
    <t>Significantly impacted due to loss of mobility and independence; early intervention may improve outcomes</t>
  </si>
  <si>
    <t>Studies show significant improvement in function and delay in disease progression</t>
  </si>
  <si>
    <t>Generally well-tolerated; regular monitoring recommended</t>
  </si>
  <si>
    <t>Injection site reactions, headache, nausea, musculoskeletal pain</t>
  </si>
  <si>
    <t>Estimated between $150,000 to $300,000</t>
  </si>
  <si>
    <t>Primarily children and adolescents (typically diagnosed between 2-6 years)</t>
  </si>
  <si>
    <t>Predominantly affects males (over 99%)</t>
  </si>
  <si>
    <t>REZZAYO 200MG/VIAL INJ,LYPHL</t>
  </si>
  <si>
    <t>Elevated triglyceride levels (?500 mg/dL), abdominal pain, pancreatitis, nausea, vomiting</t>
  </si>
  <si>
    <t>Approximately 2-4% of the adult population in the USA</t>
  </si>
  <si>
    <t>Severely impacted when triglyceride levels are high, leading to complications like pancreatitis</t>
  </si>
  <si>
    <t>Reduces triglyceride levels by 60-75% in treated patients</t>
  </si>
  <si>
    <t>Generally well-tolerated; however, monitoring is required for liver function and potential allergic reactions</t>
  </si>
  <si>
    <t>Nausea, vomiting, abdominal pain, elevated liver enzymes, rash, injection site reactions</t>
  </si>
  <si>
    <t>Approximately $30,000 to $40,000</t>
  </si>
  <si>
    <t>Primarily adults (typically ages 18-65)</t>
  </si>
  <si>
    <t>Both males and females are affected, but may be more prevalent in males</t>
  </si>
  <si>
    <t>LAMOTRIGINE IR 200MG TAB</t>
  </si>
  <si>
    <t>For epilepsy, symptoms include recurrent seizures (focal or generalized). For bipolar disorder, symptoms involve mood swings that include manic and depressive episodes.</t>
  </si>
  <si>
    <t>Epilepsy affects approximately 3.4 million people in the USA (1.2% of the population); bipolar disorder affects about 2.8% of adults in the USA.</t>
  </si>
  <si>
    <t>Lamotrigine can improve quality of life by reducing seizure frequency in epilepsy patients and stabilizing mood in bipolar disorder patients.</t>
  </si>
  <si>
    <t>Lamotrigine has an efficacy rate of approximately 50-60% in reducing seizure frequency; it is effective in stabilizing mood in bipolar disorder, particularly in the depressive episodes.</t>
  </si>
  <si>
    <t>Generally well tolerated; risk of serious side effects, particularly skin reactions (e.g., Stevens-Johnson syndrome), is low.</t>
  </si>
  <si>
    <t>Common adverse events include dizziness, headache, double vision, nausea, and skin rash; severe skin reactions occur in approximately 1-2% of patients.</t>
  </si>
  <si>
    <t>Approximately $3,000-$5,000 per year, depending on insurance coverage and dosage.</t>
  </si>
  <si>
    <t>Approved for use in adults and can be used in children over 2 years old, with careful dosage adjustments.</t>
  </si>
  <si>
    <t>No significant gender differences in response to treatment observed, though women may have different responses related to hormonal cycles.</t>
  </si>
  <si>
    <t>BUSPIRONE HCL 7.5MG TAB</t>
  </si>
  <si>
    <t>Excessive worry, restlessness, fatigue, irritability, muscle tension, and sleep disturbances.</t>
  </si>
  <si>
    <t>Approximately 3.1% of the adult population in the USA annually.</t>
  </si>
  <si>
    <t>Poor quality of life due to anxiety can lead to difficulties in daily functioning and relationships.</t>
  </si>
  <si>
    <t>Buspirone has shown efficacy rates of approximately 50-60% in reducing anxiety symptoms.</t>
  </si>
  <si>
    <t>Generally well-tolerated with a favorable safety profile compared to benzodiazepines.</t>
  </si>
  <si>
    <t>Common adverse events include dizziness, nausea, headache, and drowsiness.</t>
  </si>
  <si>
    <t>Adults aged 18-65, though it may be prescribed off-label for older patients.</t>
  </si>
  <si>
    <t>More commonly diagnosed in women, but both genders are affected.</t>
  </si>
  <si>
    <t>Small molecule; it is an anxiolytic medication.</t>
  </si>
  <si>
    <t>JUVEN POWDER UNFLAVORED</t>
  </si>
  <si>
    <t>Intellectual disability, behavioral issues, seizures, skin rashes, musty odor in breath, urine, or skin</t>
  </si>
  <si>
    <t>Generally high with proper dietary management; untreated PKU can lead to significant impairment</t>
  </si>
  <si>
    <t>High when used as directed to maintain low phenylalanine levels</t>
  </si>
  <si>
    <t>Generally safe with proper use; dietary adherence is crucial</t>
  </si>
  <si>
    <t>Minimal; potential for nutritional deficiencies if not used correctly</t>
  </si>
  <si>
    <t>$1,500 - $3,000, depending on dietary management and medical follow-ups</t>
  </si>
  <si>
    <t>All age groups; primarily diagnosed in infancy</t>
  </si>
  <si>
    <t>Medical food (a specifically formulated product for dietary management)</t>
  </si>
  <si>
    <t>HI-CAL LIQUID (VANILLA) 1000ML</t>
  </si>
  <si>
    <t>Weight loss, muscle wasting, fatigue, weakness, slow recovery from illness, and compromised immune function.</t>
  </si>
  <si>
    <t>Affects approximately 3% of the U.S. population, with higher incidence in the elderly and hospitalized patients.</t>
  </si>
  <si>
    <t>Can be significantly impacted due to fatigue, weakness, and decreased mobility; improved with adequate nutrition.</t>
  </si>
  <si>
    <t>Studies show that high-calorie nutritional supplements like HI-CAL LIQUID can help improve weight gain and nutritional status in malnourished individuals.</t>
  </si>
  <si>
    <t>Generally considered safe when used as directed, but may cause gastrointestinal discomfort in some individuals.</t>
  </si>
  <si>
    <t>Nausea, diarrhea, abdominal pain, and allergic reactions.</t>
  </si>
  <si>
    <t>Approximately $800 to $1,200, depending on usage and insurance coverage.</t>
  </si>
  <si>
    <t>Mostly prescribed for adults and elderly patients, but can be used across all age groups.</t>
  </si>
  <si>
    <t>No significant gender preference, used in both males and females.</t>
  </si>
  <si>
    <t>Nutritional supplement.</t>
  </si>
  <si>
    <t>ENSURE ORIGINAL STRAWBERRY</t>
  </si>
  <si>
    <t>Weight loss, fatigue, weakness, muscle wasting</t>
  </si>
  <si>
    <t>Approximately 5% of the U.S. population, higher in elderly and hospitalized patients</t>
  </si>
  <si>
    <t>Can be significantly affected due to weakness and lack of energy</t>
  </si>
  <si>
    <t>Effective as a dietary supplement for improving nutritional status in individuals unable to meet dietary needs</t>
  </si>
  <si>
    <t>Generally considered safe for use in most populations, but caution is advised in those with certain health conditions</t>
  </si>
  <si>
    <t>Gastrointestinal discomfort, bloating, diarrhea</t>
  </si>
  <si>
    <t>Approximately $500-$1,000 depending on use and quantity</t>
  </si>
  <si>
    <t>All age groups, particularly elderly and those with chronic illnesses</t>
  </si>
  <si>
    <t>Nutritional supplement (oral nutritional formula)</t>
  </si>
  <si>
    <t>ENSURE PLUS LIQUID STRAWBERRY</t>
  </si>
  <si>
    <t>Unintentional weight loss, fatigue, weakness, muscle wasting, decreased immune function</t>
  </si>
  <si>
    <t>Approximately 15% of patients in hospitals and 20-40% of nursing home residents are at risk of malnutrition in the USA.</t>
  </si>
  <si>
    <t>Malnutrition significantly decreases quality of life by impairing physical functionality, leading to increased dependence on caregivers and decreased mobility.</t>
  </si>
  <si>
    <t>Efficacious in improving nutritional status and weight gain when used as directed; clinical studies show significant improvements in caloric intake and nutritional markers.</t>
  </si>
  <si>
    <t>Generally safe for most populations, including those with swallowing difficulties; must be used cautiously in individuals with specific dietary restrictions (e.g., lactose intolerance).</t>
  </si>
  <si>
    <t>Gastrointestinal discomfort, diarrhea, constipation, nausea, and possible allergic reactions in sensitive individuals.</t>
  </si>
  <si>
    <t>Approximately $1,200 to $1,500 per year, depending on usage frequency and quantity required.</t>
  </si>
  <si>
    <t>Primarily adults and the elderly, but can be used across all age groups, especially in those with dietary needs.</t>
  </si>
  <si>
    <t>No specific gender preference; used in both males and females.</t>
  </si>
  <si>
    <t>Nutritional supplement (liquid)</t>
  </si>
  <si>
    <t>ENSURE PLUS LIQUID VANILLA</t>
  </si>
  <si>
    <t>Weight loss, weakness, fatigue, decreased muscle mass, and general decline in health status.</t>
  </si>
  <si>
    <t>Approximately 1-5% in the general population, higher in specific groups such as hospitalized patients (20-50%) and the elderly (up to 15-30%).</t>
  </si>
  <si>
    <t>Improved nutritional intake can lead to enhanced quality of life, increased energy levels, and better recovery outcomes.</t>
  </si>
  <si>
    <t>Ensuring adequate nutrition can significantly improve weight gain and recovery in malnourished individuals; studies indicate around a 70-80% efficacy in improving nutritional status.</t>
  </si>
  <si>
    <t>Generally safe for most populations; however, in patients with certain diseases (like severe liver or kidney disease), caution is advised.</t>
  </si>
  <si>
    <t>Rarely, can cause gastrointestinal disturbances like diarrhea or nausea.</t>
  </si>
  <si>
    <t>Approximately $1,500-$2,000 for individuals consuming 2-3 cartons daily.</t>
  </si>
  <si>
    <t>Typically targeted at adults and the elderly, but can be used across all age groups as needed.</t>
  </si>
  <si>
    <t>Both genders.</t>
  </si>
  <si>
    <t>Nutritional supplement (medical food).</t>
  </si>
  <si>
    <t>ENSURE PWDR VANILLA</t>
  </si>
  <si>
    <t>Weight loss, fatigue, weakness, muscle wasting, decreased immune response, and complications related to underlying medical conditions.</t>
  </si>
  <si>
    <t>Approximately 2% to 10% of the population in the USA may experience malnutrition, with higher rates among hospitalized patients and the elderly.</t>
  </si>
  <si>
    <t>Nutritional supplementation can significantly improve the quality of life by enhancing energy levels, physical functioning, and overall well-being.</t>
  </si>
  <si>
    <t>Ensure Powder is effective in providing complete nutrition, promoting weight gain, and improving nutritional status when used as directed in conjunction with a healthcare provider's recommendations.</t>
  </si>
  <si>
    <t>Generally regarded as safe for most individuals; however, it should be used cautiously in individuals with milk protein allergy or lactose intolerance.</t>
  </si>
  <si>
    <t>Possible GI effects (e.g., diarrhea, constipation, nausea), allergic reactions (rare), and potential nutrient imbalances if not properly monitored.</t>
  </si>
  <si>
    <t>Approximately $500 to $1,200, depending on the frequency and amount used.</t>
  </si>
  <si>
    <t>Commonly used in adults and the elderly, but also applicable to pediatric populations requiring nutritional support.</t>
  </si>
  <si>
    <t>Both males and females equally benefit from Ensure as part of nutritional therapy.</t>
  </si>
  <si>
    <t>Nutritional supplement (oral nutritional product).</t>
  </si>
  <si>
    <t>JEVITY 1.2 CAL LIQUID 1500ML</t>
  </si>
  <si>
    <t>Weight loss, muscle wasting, fatigue, weakness, and compromised immune function</t>
  </si>
  <si>
    <t>Approximately 2% to 3% of the adult population in the USA suffer from malnutrition, with higher rates in hospitalized patients and the elderly</t>
  </si>
  <si>
    <t>Poor, as malnutrition can lead to decreased physical and mental functioning</t>
  </si>
  <si>
    <t>High, as JEVITY 1.2 CAL provides essential nutrients and calories for patients requiring enteral feeding</t>
  </si>
  <si>
    <t>Generally safe when used as directed; however, may have risks for specific populations</t>
  </si>
  <si>
    <t>Possible gastrointestinal complications (diarrhea, constipation, nausea, abdominal distension), aspiration pneumonia</t>
  </si>
  <si>
    <t>Approximately $3,000 to $4,500, depending on patient usage and insurance coverage</t>
  </si>
  <si>
    <t>All ages, but predominantly used in older adults and hospitalized patients</t>
  </si>
  <si>
    <t>Medical food (nutritional supplement for enteral feeding)</t>
  </si>
  <si>
    <t>JEVITY 1.5 CAL LIQUID 1000ML</t>
  </si>
  <si>
    <t>Weight loss, muscle wasting, dehydration, fatigue, weakness</t>
  </si>
  <si>
    <t>Approximately 3% of the U.S. population is estimated to be malnourished, with higher rates in specific groups (e.g., elderly, hospitalized patients)</t>
  </si>
  <si>
    <t>Can significantly improve quality of life by providing adequate nutrition, but may vary by individual circumstances and underlying conditions</t>
  </si>
  <si>
    <t>Effective for providing complete nutrition, especially when oral intake is inadequate or impossible</t>
  </si>
  <si>
    <t>Generally considered safe when used as directed; however, should be monitored for appropriate use</t>
  </si>
  <si>
    <t>Potential for gastrointestinal symptoms such as diarrhea, constipation, nausea, and abdominal cramping; risk of aspiration</t>
  </si>
  <si>
    <t>Approximately $3,600-$4,200 per year (depending on usage and healthcare provider recommendations)</t>
  </si>
  <si>
    <t>All age groups, but particularly relevant for elderly, pediatric, and hospitalized patients</t>
  </si>
  <si>
    <t>No particular gender preference; applicable to all genders</t>
  </si>
  <si>
    <t>Enteral nutrition formula (liquid nutrition supplement)</t>
  </si>
  <si>
    <t>JEVITY 1.2 CAL LIQUID 1000ML</t>
  </si>
  <si>
    <t>Weight loss, muscle wasting, fatigue, weakness, decreased immune function</t>
  </si>
  <si>
    <t>Approximately 3-10% in hospitalized patients; higher in certain populations like the elderly or those with chronic illnesses</t>
  </si>
  <si>
    <t>Poor quality of life due to decreased physical function, increased dependency, and increased rates of complications</t>
  </si>
  <si>
    <t>Effective for providing essential nutrients and managing malnutrition in patients unable to meet nutritional needs orally</t>
  </si>
  <si>
    <t>Generally considered safe when used as directed, with monitoring for complications associated with enteral feeding</t>
  </si>
  <si>
    <t>Gastrointestinal issues (e.g., diarrhea, bloating), aspiration pneumonia, tube blockage or displacement</t>
  </si>
  <si>
    <t>Approximately $1,200 - $3,000 depending on the patient's needs and insurance coverage</t>
  </si>
  <si>
    <t>All age groups, commonly prescribed for elderly patients and those with chronic diseases</t>
  </si>
  <si>
    <t>Nutritional supplement (enteral nutrition product)</t>
  </si>
  <si>
    <t>JEVITY 1 CAL LIQUID 1000ML</t>
  </si>
  <si>
    <t>Weight loss, muscle wasting, fatigue, weakness, loss of appetite, and overall decline in health status due to inadequate nutrient intake.</t>
  </si>
  <si>
    <t>Malnutrition affects approximately 1-2% of the general population, with higher rates (up to 30-50%) among hospitalized patients and those in long-term care facilities in the USA.</t>
  </si>
  <si>
    <t>Malnutrition significantly reduces quality of life by impacting energy levels, physical strength, and the ability to perform daily activities. Effective nutritional support can enhance recovery and improve overall well-being.</t>
  </si>
  <si>
    <t>JEVITY 1 CAL is designed to provide complete nutrition for those who cannot meet their nutritional needs through oral intake alone. Efficacy in improving nutritional status is generally high when used as directed.</t>
  </si>
  <si>
    <t>Generally safe for use in individuals who require enteral nutrition. However, it is crucial to monitor for potential complications related to the feeding method, as well as potential interactions with other medications.</t>
  </si>
  <si>
    <t>Potential adverse events include gastrointestinal issues such as diarrhea, constipation, and nausea. There can also be risks of aspiration pneumonia if the formula is not administered properly.</t>
  </si>
  <si>
    <t>Approximately $2,500 to $5,000, depending on individual needs, feeding protocols, and insurance coverage.</t>
  </si>
  <si>
    <t>Primarily adults but can also be used in pediatric patients if specifically indicated for their growth and nutritional needs.</t>
  </si>
  <si>
    <t>Both men and women.</t>
  </si>
  <si>
    <t>Enteral nutrition formula (categorically not classified as a traditional drug but as a specialized nutritional product).</t>
  </si>
  <si>
    <t>JEVITY 1.5 CAL LIQUID 1500ML</t>
  </si>
  <si>
    <t>Weight loss, muscle wasting, weakness, fatigue, and compromised immune function.</t>
  </si>
  <si>
    <t>Around 3-10% in hospitalized patients, with higher rates (up to 50%) in patients with conditions that impair oral intake (e.g., cancer, chronic illness).</t>
  </si>
  <si>
    <t>JEVITY 1.5 CAL is designed to improve nutritional status and overall quality of life for patients with malnutrition by providing essential nutrients and calories. Improvement can be observed in strength, energy levels, and functional status.</t>
  </si>
  <si>
    <t>Clinical studies indicate that enteral nutrition with products like JEVITY can effectively improve weight gain and nutritional status in patients who cannot consume adequate nutrition orally.</t>
  </si>
  <si>
    <t>Generally considered safe for enteral feeding; however, must be administered under medical supervision to ensure tolerance and proper hydration.</t>
  </si>
  <si>
    <t>Possible adverse events include gastrointestinal issues such as diarrhea, constipation, nausea, and abdominal discomfort. Risk of aspiration pneumonia in some patients, especially those with swallowing difficulties.</t>
  </si>
  <si>
    <t>Estimated annual costs can range from $3,000 to $6,000 depending on patient needs and frequency of usage, as it is typically utilized continuously or as needed.</t>
  </si>
  <si>
    <t>Can be used for all age groups, but commonly prescribed for adults and the elderly, particularly those with chronic diseases.</t>
  </si>
  <si>
    <t>Both genders are affected, but prevalence and use may vary based on underlying health conditions rather than sex alone.</t>
  </si>
  <si>
    <t>Enteral nutrition formulation (medical food).</t>
  </si>
  <si>
    <t>OSMOLITE 1 CAL LIQUID 1000ML</t>
  </si>
  <si>
    <t>Weight loss, weakness, fatigue, poor wound healing, immune dysfunction</t>
  </si>
  <si>
    <t>Approximately 1-3% of the general population in the USA is affected by malnutrition, with higher rates in hospitalized patients (up to 50%).</t>
  </si>
  <si>
    <t>Can significantly improve quality of life by providing necessary caloric and nutrient intake. Malnutrition negatively impacts physical and mental health, leading to a decline in life quality.</t>
  </si>
  <si>
    <t>Clinical studies show that OSMOLITE 1 CAL can effectively provide the required caloric and nutritional support, leading to improved weight gain and nutritional status in malnourished patients.</t>
  </si>
  <si>
    <t>OSMOLITE 1 CAL is generally considered safe when used as directed. Monitoring is recommended to ensure appropriate use.</t>
  </si>
  <si>
    <t>Potential adverse events may include gastrointestinal discomfort, diarrhea, or aspiration pneumonia in susceptible individuals.</t>
  </si>
  <si>
    <t>Estimated annual therapy costs for enteral nutrition products can range from $2,000 to $5,000+, depending on individual needs and usage.</t>
  </si>
  <si>
    <t>OSMOLITE 1 CAL is recommended for adults and can be used in pediatric patients under medical supervision.</t>
  </si>
  <si>
    <t>No specific gender preference; applicable to all genders encountering malnutrition.</t>
  </si>
  <si>
    <t>Nutritional supplement (enteral nutrition) in liquid form.</t>
  </si>
  <si>
    <t>OSMOLITE 1.2 CAL LIQUID 1500ML</t>
  </si>
  <si>
    <t>Weight loss, weakness, fatigue, impaired immune function, delayed wound healing</t>
  </si>
  <si>
    <t>Approximately 5-15% of hospitalized patients experience malnutrition in the USA; higher rates seen in the elderly and those with chronic conditions.</t>
  </si>
  <si>
    <t>Malnutrition can significantly lower quality of life, impacting physical function, daily activities, and overall health status.</t>
  </si>
  <si>
    <t>OSMOLITE is effective in providing nutrition to individuals who are unable to meet their nutritional requirements orally; studies show improved nutritional status in malnourished patients.</t>
  </si>
  <si>
    <t>Generally considered safe for use; however, monitoring is recommended for patients with specific conditions (e.g., renal disease).</t>
  </si>
  <si>
    <t>Potential adverse events include gastrointestinal discomfort, diarrhea, and allergic reactions in sensitive individuals.</t>
  </si>
  <si>
    <t>Costs can range from $1,500 to $3,000 depending on usage and insurance coverage.</t>
  </si>
  <si>
    <t>Used for all age groups, particularly beneficial in the elderly population.</t>
  </si>
  <si>
    <t>Used in both genders.</t>
  </si>
  <si>
    <t>Nutritional supplement (not a drug in the traditional sense—often categorized as an enteral nutrition product).</t>
  </si>
  <si>
    <t>OSMOLITE 1.2 CAL LIQUID 1000ML</t>
  </si>
  <si>
    <t>Weight loss, fatigue, muscle weakness, impaired immune function</t>
  </si>
  <si>
    <t>Approximately 3-7% of the general population; higher in hospitalized patients (up to 30-50%)</t>
  </si>
  <si>
    <t>Can significantly improve quality of life by providing necessary nutrients, enhancing strength and energy levels</t>
  </si>
  <si>
    <t>High efficacy in providing nutritional support and improving weight in malnourished patients</t>
  </si>
  <si>
    <t>Generally safe for most patients; however, individuals with certain metabolic disorders should use with caution</t>
  </si>
  <si>
    <t>Gastrointestinal discomfort, nausea, diarrhea, and potential allergic reactions in sensitive individuals</t>
  </si>
  <si>
    <t>Approximately $1,500 to $2,500 depending on usage and insurance coverage</t>
  </si>
  <si>
    <t>Can be used in all age groups, particularly in older adults and those with chronic illnesses</t>
  </si>
  <si>
    <t>No gender-specific indications; utilized across genders</t>
  </si>
  <si>
    <t>Nutritional supplement (liquid enteral nutrition)</t>
  </si>
  <si>
    <t>OSMOLITE 1.5 CAL LIQUID 1000ML</t>
  </si>
  <si>
    <t>Weight loss, muscle wasting, fatigue, weakness, impaired immune function</t>
  </si>
  <si>
    <t>Approximately 12-15% of the US population is estimated to be malnourished, particularly among the elderly and those with chronic illnesses</t>
  </si>
  <si>
    <t>Improved nutritional support can significantly enhance quality of life, enabling better recovery, increased energy, and overall well-being</t>
  </si>
  <si>
    <t>OSMOLITE 1.5 CAL is effective for providing balanced nutrition for patients in need of dietary supplementation, especially for weight gain and energy needs</t>
  </si>
  <si>
    <t>Generally considered safe when used as directed; effectiveness in providing nutrition while being isotonic for better tolerability</t>
  </si>
  <si>
    <t>Potential gastrointestinal issues such as diarrhea, constipation, nausea, and bloating; rare allergic reactions</t>
  </si>
  <si>
    <t>Approximately $1,200 to $1,800 depending on usage and insurance coverage</t>
  </si>
  <si>
    <t>Adults and pediatric populations, particularly those requiring long-term nutritional support</t>
  </si>
  <si>
    <t>Both male and female</t>
  </si>
  <si>
    <t>Nutritional supplement (commercial enteral formula)</t>
  </si>
  <si>
    <t>VITAL 1.5 CAL LIQUID 1000ML</t>
  </si>
  <si>
    <t>Weight loss, fatigue, weakness, impaired immune function, delayed wound healing</t>
  </si>
  <si>
    <t>Approximately 10% of the U.S. population (more prevalent in elderly and hospitalized patients)</t>
  </si>
  <si>
    <t>Significantly impacted due to physical weakness, fatigue, and overall health decline; may improve with nutritional intervention</t>
  </si>
  <si>
    <t>VITAL 1.5 CAL Liquid provides adequate caloric and nutritional support, generally achieving intended nutritional goals in patients requiring supplemental nutrition</t>
  </si>
  <si>
    <t>Considered safe when used as directed; monitoring is advised for patients with specific dietary restrictions or allergies</t>
  </si>
  <si>
    <t>Gastrointestinal discomfort (nausea, diarrhea, constipation), potential for aspiration if not consumed properly</t>
  </si>
  <si>
    <t>Approximately $1,500 - $2,000 (depending on frequency of use and healthcare insurance coverage)</t>
  </si>
  <si>
    <t>Adults and elderly, commonly used in elderly patients requiring nutritional support</t>
  </si>
  <si>
    <t>Used by all genders; no specific gender association</t>
  </si>
  <si>
    <t>Nutritional supplement (liquid formula)</t>
  </si>
  <si>
    <t>VITAL AF 1.2 CAL LIQUID 1000ML</t>
  </si>
  <si>
    <t>Weight loss, fatigue, muscle weakness, compromised immune function, poor wound healing, and overall decline in health status.</t>
  </si>
  <si>
    <t>Approximately 3-10% of the general population; can be higher in older adults, hospitalized patients, and those with chronic illnesses.</t>
  </si>
  <si>
    <t>Malnutrition is associated with decreased quality of life, affecting physical capability and overall well-being. Effective nutritional support can significantly improve quality of life.</t>
  </si>
  <si>
    <t>The efficacy of nutritional liquids like VITAL AF is high for improving caloric intake and promoting weight gain in malnourished individuals.</t>
  </si>
  <si>
    <t>Generally considered safe with low risk of serious side effects when used as directed; however, it should be used cautiously in patients with specific allergies or intolerances.</t>
  </si>
  <si>
    <t>Possible gastrointestinal complaints (nausea, diarrhea), allergic reactions, and metabolic abnormalities with excessive use or rapid administration.</t>
  </si>
  <si>
    <t>Approximately $500 to $1,200, depending on the dosage and frequency of use, and whether it is purchased out-of-pocket or covered by insurance.</t>
  </si>
  <si>
    <t>Primarily adults, especially older adults (65+), but can be used in all age groups.</t>
  </si>
  <si>
    <t>Equally used among males and females, though certain populations may have different prevalence rates.</t>
  </si>
  <si>
    <t>Nutritional supplement (enteral nutrition therapy).</t>
  </si>
  <si>
    <t>PIVOT 1.5 CAL LIQUID 1000ML</t>
  </si>
  <si>
    <t>Weakness, fatigue, decreased muscle mass, immune dysfunction, delayed wound healing, and general failure to thrive.</t>
  </si>
  <si>
    <t>Approximately 2-5% in the general population; higher in specific populations such as the elderly, hospitalized patients, and individuals with chronic diseases.</t>
  </si>
  <si>
    <t>Significantly impaired, as malnutrition can lead to diminished physical health, psychological well-being, and increased dependence on healthcare services.</t>
  </si>
  <si>
    <t>High efficacy in providing essential nutrients and aiding recovery; studies indicate improvement in nutritional status when used appropriately.</t>
  </si>
  <si>
    <t>Generally considered safe when used as directed; however, monitoring is necessary in certain populations (e.g., renal or hepatic impairment).</t>
  </si>
  <si>
    <t>Possible gastrointestinal disturbances such as nausea, diarrhea, or constipation; hypersensitivity reactions are rare.</t>
  </si>
  <si>
    <t>Approximately $1,000 to $2,000, depending on the frequency of use and patient requirements.</t>
  </si>
  <si>
    <t>Adults and especially older adults; also used in pediatric care depending on needs.</t>
  </si>
  <si>
    <t>Both males and females are affected; prevalence may vary based on demographic factors.</t>
  </si>
  <si>
    <t>Nutritional therapy (enteral nutrition product).</t>
  </si>
  <si>
    <t>ENSURE HP MUSCLE HEALTH LIQUID VANILLA</t>
  </si>
  <si>
    <t>Weight loss, decreased muscle strength, fatigue, difficulty in physical activity</t>
  </si>
  <si>
    <t>Approximately 5-10% of the elderly population in the USA experience malnutrition, with higher rates in hospitalized patients</t>
  </si>
  <si>
    <t>Significantly impacted, with lower physical function and increased risk of comorbidities leading to poorer health outcomes</t>
  </si>
  <si>
    <t>Clinical studies show that high-protein nutritional supplements like Ensure HP can improve muscle mass and overall nutritional status</t>
  </si>
  <si>
    <t>Generally well-tolerated, but individual reactions may vary</t>
  </si>
  <si>
    <t>Possible gastrointestinal discomfort (nausea, diarrhea, constipation), allergic reactions (rare)</t>
  </si>
  <si>
    <t>About $400-$600 depending on consumption rates</t>
  </si>
  <si>
    <t>Primarily adults and elderly individuals</t>
  </si>
  <si>
    <t>No specific gender predisposition, but often used in geriatric populations</t>
  </si>
  <si>
    <t>Nutritional supplement (oral nutritional support)</t>
  </si>
  <si>
    <t>JEVITY 1.5 CAL LIQUID</t>
  </si>
  <si>
    <t>Weight loss, weakness, fatigue, decreased muscle mass, immune dysfunction, and in severe cases, organ failure.</t>
  </si>
  <si>
    <t>Approximately 5-10% of the general population in the USA experiences malnutrition, with higher rates in hospitalized patients and elderly individuals.</t>
  </si>
  <si>
    <t>Patients may have a significantly diminished quality of life due to weakness, decreased physical activity, and potential psychological effects of malnutrition and chronic illness.</t>
  </si>
  <si>
    <t>JEVITY 1.5 CAL LIQUID is designed to provide an effective source of nutrition for individuals needing enteral feeding, demonstrating efficacy in improving nutritional status and weight gain in malnourished patients.</t>
  </si>
  <si>
    <t>Generally considered safe for patients requiring enteral nutrition, with careful monitoring advised for those with specific conditions like renal or liver impairment.</t>
  </si>
  <si>
    <t>Possible adverse events include gastrointestinal symptoms such as diarrhea, constipation, nausea, and abdominal discomfort.</t>
  </si>
  <si>
    <t>Approximately $5,000 - $10,000, depending on the patient's requirements and duration of therapy.</t>
  </si>
  <si>
    <t>Commonly used in all age groups, particularly in adults and the elderly.</t>
  </si>
  <si>
    <t>Used in both genders, with no specific gender predominance noted.</t>
  </si>
  <si>
    <t>Enteral nutrition formula (nutritional support).</t>
  </si>
  <si>
    <t>OSMOLITE 1 CAL LIQUID</t>
  </si>
  <si>
    <t>Weight loss, decreased muscle mass, fatigue, weakness, impaired immune function, and delayed healing of wounds.</t>
  </si>
  <si>
    <t>Approximately 5-10% of the general population; however, this can rise significantly in hospital settings or among the elderly (up to 40% in certain populations).</t>
  </si>
  <si>
    <t>OSMOLITE can help improve quality of life by providing essential nutrients and improving caloric intake, which may enhance energy levels and overall well-being.</t>
  </si>
  <si>
    <t>OSMOLITE has been shown to effectively increase caloric intake and assist in the management of malnutrition, with studies indicating improved weight gain and nutritional status when used as directed.</t>
  </si>
  <si>
    <t>Generally considered safe for use in appropriate populations; however, monitoring is recommended for patients with specific medical conditions.</t>
  </si>
  <si>
    <t>Potential adverse events include gastrointestinal symptoms such as diarrhea, constipation, and nausea.</t>
  </si>
  <si>
    <t>Approximately $1,500 - $3,000 depending on the patient's needs and consumption frequency.</t>
  </si>
  <si>
    <t>Primarily adults and elderly patients; can be used in pediatric populations under medical supervision.</t>
  </si>
  <si>
    <t>Both male and female patients.</t>
  </si>
  <si>
    <t>Nutritional supplement (not classified as a traditional drug, it is a medically formulated liquid nutrition).</t>
  </si>
  <si>
    <t>OSMOLITE 1.2 CAL LIQUID</t>
  </si>
  <si>
    <t>Weight loss, fatigue, weakness, immune dysfunction, delayed wound healing, and overall decline in health status.</t>
  </si>
  <si>
    <t>Approximately 1-2% of the general population, but higher in specific groups such as the elderly (up to 30% in nursing homes) and hospitalized patients (up to 50%).</t>
  </si>
  <si>
    <t>Significant improvement in quality of life for patients who receive appropriate nutritional therapy; reduced hospitalizations and better functional capacity.</t>
  </si>
  <si>
    <t>Generally considered effective for providing nutritional supplementation; studies show it can improve weight gain and nutritional status when used as directed.</t>
  </si>
  <si>
    <t>Generally safe when used as directed; contains common allergens like milk protein.</t>
  </si>
  <si>
    <t>Common adverse events may include gastrointestinal discomfort, diarrhea, or constipation; rare allergic reactions.</t>
  </si>
  <si>
    <t>Approximately $1,200 to $3,600, depending on usage and insurance coverage.</t>
  </si>
  <si>
    <t>Adults, particularly elderly individuals or patients with chronic conditions.</t>
  </si>
  <si>
    <t>Nutritional Supplement (liquid caloric supplementation).</t>
  </si>
  <si>
    <t>JEVITY 1 CAL LIQUID</t>
  </si>
  <si>
    <t>Inadequate dietary intake, unintentional weight loss, weakness, fatigue, difficulty with activities of daily living</t>
  </si>
  <si>
    <t>Approximately 3-5% in the general population, increasing to 20-50% in hospitalized patients</t>
  </si>
  <si>
    <t>Poor quality of life associated with malnutrition, including physical debility and reduced functional status</t>
  </si>
  <si>
    <t>Considered effective for enteral feeding in patients unable to meet nutritional needs orally</t>
  </si>
  <si>
    <t>Generally safe for use in patients with feeding intolerance; however, monitoring for complications is essential</t>
  </si>
  <si>
    <t>Possible gastrointestinal side effects such as diarrhea, constipation, and nausea</t>
  </si>
  <si>
    <t>Approximately $2,500 - $4,500, depending on usage and healthcare provider settings</t>
  </si>
  <si>
    <t>All ages, commonly used in the elderly and patients with chronic illnesses</t>
  </si>
  <si>
    <t>No specific gender preference; used across all genders</t>
  </si>
  <si>
    <t>Medical nutrition product (enteral nutrition formula)</t>
  </si>
  <si>
    <t>TWOCAL HN LIQUID VANILLA</t>
  </si>
  <si>
    <t>Symptoms of malnutrition may include weight loss, fatigue, weakness, dry skin, hair loss, poor wound healing, and in severe cases, decreased immunity.</t>
  </si>
  <si>
    <t>Approximately 5-10% of the general population is affected by malnutrition, but this can increase to 30-50% among hospitalized patients and individuals in long-term care facilities in the USA.</t>
  </si>
  <si>
    <t>Malnutrition significantly affects quality of life by causing physical decline, reduced functionality, and impairing overall health, leading to increased complications and hospitalization.</t>
  </si>
  <si>
    <t>Clinical studies have shown that TWOCAL HN Liquid is effective in providing nutritional support, leading to improved weight gain and nutritional status in patients unable to meet their needs through regular diet.</t>
  </si>
  <si>
    <t>TWOCAL HN Liquid is generally considered safe when used as directed. However, individuals with specific allergies or intolerances should be assessed beforehand.</t>
  </si>
  <si>
    <t>Possible adverse events may include gastrointestinal discomfort, diarrhea, nausea, and allergic reactions in sensitive individuals.</t>
  </si>
  <si>
    <t>Approximately $1,500 - $3,000, depending on the patient's specific nutritional needs and dosage requirements.</t>
  </si>
  <si>
    <t>Designed for adults, particularly older adults, and patients requiring nutritional intervention.</t>
  </si>
  <si>
    <t>No specific gender preference; it is used by both males and females experiencing malnutrition.</t>
  </si>
  <si>
    <t>VITAL 1.5 CAL LIQUID</t>
  </si>
  <si>
    <t>Weight loss, muscle wasting, fatigue, weakness, dry skin, delayed wound healing, and decreased immune function.</t>
  </si>
  <si>
    <t>Approximately 3-15% of the general population is at risk of malnutrition, with rates significantly higher in hospitalized patients (up to 50%) and nursing home residents (up to 60%).</t>
  </si>
  <si>
    <t>Malnutrition significantly impairs quality of life, leading to decreased functional status, social interaction, and increased dependency on caregivers.</t>
  </si>
  <si>
    <t>High (provides essential nutrients leading to improved weight gain, muscle mass, and overall nutritional status when used appropriately).</t>
  </si>
  <si>
    <t>Generally safe when used as directed; however, monitoring is recommended for those with pre-existing conditions.</t>
  </si>
  <si>
    <t>Minimal; however, potential gastrointestinal discomfort such as nausea, diarrhea, or bloating can occur.</t>
  </si>
  <si>
    <t>Average annual costs range from $500 to $2,000 depending on usage and healthcare coverage.</t>
  </si>
  <si>
    <t>Primarily used in adults and the elderly, especially in those requiring nutritional support.</t>
  </si>
  <si>
    <t>No specific gender preference, used across all genders based on need for nutritional support.</t>
  </si>
  <si>
    <t>Nutritional supplement (oral nutrition supplement).</t>
  </si>
  <si>
    <t>VITAL 1.0 CAL LIQUID</t>
  </si>
  <si>
    <t>Weight loss, weakness, muscle wasting, fatigue, dehydration, and nutrient deficiencies.</t>
  </si>
  <si>
    <t>Approximately 15% of hospitalized patients experience malnutrition in the USA, which can be compounded in specific populations, such as the elderly and those with chronic illnesses.</t>
  </si>
  <si>
    <t>Malnutrition significantly impacts quality of life, contributing to reduced physical function and increased risk of complications.</t>
  </si>
  <si>
    <t>VITAL 1.0 CAL LIQUID is effective in providing nutritional support and addressing caloric requirements for patients unable to eat by mouth.</t>
  </si>
  <si>
    <t>Generally considered safe for use; however, patients should be monitored for any specific contraindications related to individual health conditions.</t>
  </si>
  <si>
    <t>Potential adverse events can include gastrointestinal disturbances (like diarrhea, constipation), nausea, and allergic reactions.</t>
  </si>
  <si>
    <t>The costs can vary, but annual therapy can range from $1,000 to $3,000 depending on usage and insurance coverage.</t>
  </si>
  <si>
    <t>Primarily used in adults and geriatric patients; however, can be used in pediatric populations depending on specific nutritional needs.</t>
  </si>
  <si>
    <t>Used in all genders; malnutrition does not discriminate among sexes.</t>
  </si>
  <si>
    <t>Medical nutrition therapy (nutritional support liquid).</t>
  </si>
  <si>
    <t>OSMOLITE 1.5 CAL LIQUID</t>
  </si>
  <si>
    <t>Weight loss, decreased appetite, fatigue, muscle wasting, weakness</t>
  </si>
  <si>
    <t>Approximately 3-5% of the general population, and up to 20% in hospitalized patients</t>
  </si>
  <si>
    <t>Improved nutritional intake can lead to enhanced overall health and quality of life; patients may experience increased energy levels and better recovery outcomes</t>
  </si>
  <si>
    <t>Generally effective for providing essential nutrients in patients with malnutrition, especially those unable to meet their nutritional needs orally</t>
  </si>
  <si>
    <t>Generally well-tolerated; safe for most patients under appropriate medical supervision</t>
  </si>
  <si>
    <t>Possible gastrointestinal disturbances such as diarrhea, constipation, nausea, or bloating; rarely can cause aspiration pneumonia if not administered correctly</t>
  </si>
  <si>
    <t>Approximately $2,000 to $4,000 depending on usage and insurance coverage</t>
  </si>
  <si>
    <t>All age groups, with significant use among older adults and hospitalized patients</t>
  </si>
  <si>
    <t>Nutritional supplement (enteral nutrition formulation)</t>
  </si>
  <si>
    <t>ENSURE LIQUID HIGH PROTEIN CHOCOLATE</t>
  </si>
  <si>
    <t>Approximately 3-5% of the general population; higher in hospitalized patients and the elderly</t>
  </si>
  <si>
    <t>Can improve quality of life by providing adequate nutrition and increasing energy levels</t>
  </si>
  <si>
    <t>Effective as a supplemental nutritional source for patients unable to meet their dietary needs through regular food intake</t>
  </si>
  <si>
    <t>Generally considered safe for most populations; designed to be easy to digest</t>
  </si>
  <si>
    <t>Risk of gastrointestinal issues such as diarrhea, constipation, or bloating; allergic reactions (rare)</t>
  </si>
  <si>
    <t>Approximately $600 - $1,200 depending on consumption frequency and healthcare plans</t>
  </si>
  <si>
    <t>Useful for all age groups, particularly the elderly and those with chronic illnesses</t>
  </si>
  <si>
    <t>No gender-specific considerations; suitable for all genders</t>
  </si>
  <si>
    <t>Nutritional therapy (oral supplement)</t>
  </si>
  <si>
    <t>ENSURE LIQUID HIGH PROTEIN VANILLA</t>
  </si>
  <si>
    <t>Weight loss, muscle wasting, fatigue, weakness, and overall decreased physical function</t>
  </si>
  <si>
    <t>Approximately 3% to 5% of the general population; higher in hospitalized patients (up to 40%)</t>
  </si>
  <si>
    <t>Improved nutritional status can enhance overall quality of life metrics; efficacy in reversing malnutrition can lead to better functional outcomes</t>
  </si>
  <si>
    <t>Generally effective in improving caloric and protein intake; studies show positive outcomes in malnourished patients</t>
  </si>
  <si>
    <t>Generally considered safe for the intended population with minimal risk; however, caution is advised in those with certain allergies (e.g., to milk)</t>
  </si>
  <si>
    <t>Gastrointestinal issues (e.g., nausea, diarrhea), allergic reactions in sensitive individuals</t>
  </si>
  <si>
    <t>Approximately $500 to $1,500 depending on usage</t>
  </si>
  <si>
    <t>Primarily adults and elderly individuals, but can be used in all age groups as nutritional supplementation</t>
  </si>
  <si>
    <t>No significant gender preference; used in both males and females</t>
  </si>
  <si>
    <t>Nutritional supplement (not classified as a pharmaceutical drug)</t>
  </si>
  <si>
    <t>ENSURE CLEAR MIXED BERRY 8 OZ ARC-INSTITUTION</t>
  </si>
  <si>
    <t>Weight loss, fatigue, weakness, decreased muscle strength, compromised immune function</t>
  </si>
  <si>
    <t>Approximately 15% of older adults in the USA are affected by malnutrition</t>
  </si>
  <si>
    <t>Can significantly improve when nutritional needs are met, leading to better physical health and well-being</t>
  </si>
  <si>
    <t>Proven to be effective in improving nutritional status and weight gain in individuals with dietary deficiencies</t>
  </si>
  <si>
    <t>Generally safe for most populations; designed for oral consumption with minimal adverse effects</t>
  </si>
  <si>
    <t>Possible gastrointestinal discomfort; may include nausea, vomiting, or diarrhea in sensitive individuals</t>
  </si>
  <si>
    <t>Approximately $600 - $1,200 depending on frequency of use and quantity required</t>
  </si>
  <si>
    <t>Primarily used among older adults and individuals with chronic illnesses</t>
  </si>
  <si>
    <t>Nutritional supplement</t>
  </si>
  <si>
    <t>ENSURE CLEAR APPLE8OZ ARC-INSTITUTUION</t>
  </si>
  <si>
    <t>Weight loss, fatigue, weakness, decreased immunity, and poor wound healing</t>
  </si>
  <si>
    <t>Approximately 4-6% of the population in the USA, with higher rates in hospitals and nursing homes</t>
  </si>
  <si>
    <t>Can significantly improve quality of life by providing essential nutrients; impacts daily functioning and overall well-being positively</t>
  </si>
  <si>
    <t>High efficacy in providing hydration and essential nutrients, especially for patients with difficulty in swallowing or with increased nutritional needs</t>
  </si>
  <si>
    <t>Generally safe when used appropriately; should be monitored in patients with specific dietary restrictions</t>
  </si>
  <si>
    <t>Gastrointestinal discomfort, including diarrhea, nausea, and constipation; allergic reactions in sensitive individuals</t>
  </si>
  <si>
    <t>Approximately $300-$600 depending on usage and frequency</t>
  </si>
  <si>
    <t>Can be used for all age groups, but particularly beneficial for older adults and individuals with chronic illnesses</t>
  </si>
  <si>
    <t>No specific gender preference; used by both males and females</t>
  </si>
  <si>
    <t>ENSURE PLUS LIQUID BUTTER PECAN</t>
  </si>
  <si>
    <t>Unintentional weight loss, Fatigue, Weakness, Nutrient deficiencies</t>
  </si>
  <si>
    <t>Approximately 3-5% of the U.S. population is estimated to experience malnutrition, with higher rates in the elderly and those with chronic diseases.</t>
  </si>
  <si>
    <t>Malnutrition can significantly impair quality of life, leading to decreased mobility, increased risk of infections, and overall poor health status.</t>
  </si>
  <si>
    <t>High efficacy in improving nutritional status when used as part of a comprehensive dietary plan, especially in patients with increased caloric needs.</t>
  </si>
  <si>
    <t>Generally considered safe for most populations; however, individual safety may vary based on underlying health conditions.</t>
  </si>
  <si>
    <t>Rarely reports of gastrointestinal distress such as bloating, diarrhea, or constipation.</t>
  </si>
  <si>
    <t>Approximately $500 to $1,200, depending on frequency of use and insurance coverage.</t>
  </si>
  <si>
    <t>Primarily targeted towards adults and the elderly, but can be used in children under medical supervision.</t>
  </si>
  <si>
    <t>No significant gender preference; suitable for all genders.</t>
  </si>
  <si>
    <t>Nutritional supplement (liquid calorie supplement).</t>
  </si>
  <si>
    <t>ENSURE LIQUID VANILLA</t>
  </si>
  <si>
    <t>Weight loss, fatigue, weakness, decreased muscle mass, and nutrient deficiencies</t>
  </si>
  <si>
    <t>Approximately 3-10% of the general population, higher in elderly and hospitalized patients</t>
  </si>
  <si>
    <t>Increased nutritional intake can improve quality of life, especially for individuals with chronic illnesses or recovery needs</t>
  </si>
  <si>
    <t>Effective for providing supplemental nutrition, with studies showing improved weight gain and nutritional status in at-risk populations</t>
  </si>
  <si>
    <t>Generally considered safe with a low risk of serious adverse effects</t>
  </si>
  <si>
    <t>Gastrointestinal discomfort, nausea, diarrhea, and allergies (rare)</t>
  </si>
  <si>
    <t>Approximately $1000 - $2000 depending on usage frequency</t>
  </si>
  <si>
    <t>Primarily adults and elderly but can be used in all age groups</t>
  </si>
  <si>
    <t>No specific gender predominance; used equally among males and females</t>
  </si>
  <si>
    <t>Nutritional supplement (oral enteral nutrition)</t>
  </si>
  <si>
    <t>ENSURE LIQUID STRAWBERRY</t>
  </si>
  <si>
    <t>Weight loss, fatigue, weakness, decreased muscle mass, and various deficiencies in vitamins and minerals</t>
  </si>
  <si>
    <t>Approximately 5-10% of the general population; higher in hospitalized patients (up to 30-50%)</t>
  </si>
  <si>
    <t>Can be significantly improved when nutritional needs are met; reduced fatigue and improved functionality</t>
  </si>
  <si>
    <t>High; clinical studies show that nutritional supplementation can improve weight and health outcomes in malnourished populations</t>
  </si>
  <si>
    <t>Generally safe for most individuals; intended for oral consumption</t>
  </si>
  <si>
    <t>Minor gastrointestinal disturbances, such as diarrhea or nausea, may occur in some individuals</t>
  </si>
  <si>
    <t>Approximately $1,000 - $1,500 depending on frequency of use and specific dietary needs</t>
  </si>
  <si>
    <t>All age groups; particularly beneficial for elderly individuals, patients with chronic diseases, and those recovering from surgery</t>
  </si>
  <si>
    <t>Both genders are affected equally; malnutrition can occur irrespective of gender</t>
  </si>
  <si>
    <t>Nutritional supplement (liquid nutritional therapy)</t>
  </si>
  <si>
    <t>ENSURE LIQUID CHOCOLATE</t>
  </si>
  <si>
    <t>Weight loss, weakness, fatigue, lack of appetite, and nutrient deficiencies.</t>
  </si>
  <si>
    <t>Approximately 15% of the U.S. population faces malnutrition, with higher rates in older adults, hospitalized patients, and those with chronic illnesses.</t>
  </si>
  <si>
    <t>Can significantly impact quality of life, leading to decreased physical function, increased hospitalizations, and overall poor health outcomes.</t>
  </si>
  <si>
    <t>Effective as a nutritional supplement for improving caloric and nutrient intake, particularly in individuals with dietary restrictions or increased nutritional needs.</t>
  </si>
  <si>
    <t>Generally safe; however, individuals with specific conditions should consult a healthcare provider before use.</t>
  </si>
  <si>
    <t>Possible gastrointestinal issues such as diarrhea or constipation; other rare events may include allergic reactions.</t>
  </si>
  <si>
    <t>Approximately $200-$400, depending on the consumption rate and specific product choices.</t>
  </si>
  <si>
    <t>Primarily utilized in older adults, but can be beneficial for any age group with nutritional deficiencies.</t>
  </si>
  <si>
    <t>Useful for all genders; prevalence of malnutrition can vary based on underlying health issues rather than gender.</t>
  </si>
  <si>
    <t>Nutritional supplement (liquid meal replacement).</t>
  </si>
  <si>
    <t>PIVOT 1.5 CAL LIQUID</t>
  </si>
  <si>
    <t>Weight loss, muscle wasting, fatigue, weakness, and overall decline in health due to inadequate nutrition.</t>
  </si>
  <si>
    <t>Approximately 5% of the general population in the USA is considered at risk for malnutrition, increasing to 20-50% in certain high-risk groups, such as the elderly and hospitalized patients.</t>
  </si>
  <si>
    <t>Nutritional support can significantly improve quality of life by enhancing energy levels, functional capacity, and overall health status.</t>
  </si>
  <si>
    <t>Generally effective for improving nutritional status when used as directed; studies have shown positive outcomes in weight gain and improved health markers.</t>
  </si>
  <si>
    <t>Considered safe for most individuals when used appropriately, but should be used under medical supervision in patients with specific health conditions.</t>
  </si>
  <si>
    <t>Potential adverse events may include gastrointestinal discomfort, diarrhea, or allergic reactions; severity varies based on individual tolerance.</t>
  </si>
  <si>
    <t>Costs for nutritional supplements vary, but PIVOT 1.5 CAL LIQUID can range from $500 to $1,200 per year based on usage.</t>
  </si>
  <si>
    <t>Suitable for a broad range of age groups, with particular importance in the elderly population (65 years and older) and those with specific medical conditions.</t>
  </si>
  <si>
    <t>No specific gender indication; used by all genders as needed.</t>
  </si>
  <si>
    <t>Nutritional supplement (liquid formulation).</t>
  </si>
  <si>
    <t>ENSURE SURGERY LIQUID</t>
  </si>
  <si>
    <t>Weight loss, fatigue, weakness, immune dysfunction, muscle wasting, and poor wound healing</t>
  </si>
  <si>
    <t>Approximately 3-5% of the US population is affected by malnutrition, with higher rates in hospitalized patients and the elderly.</t>
  </si>
  <si>
    <t>Can significantly improve quality of life by enhancing energy levels, physical function, and overall health status.</t>
  </si>
  <si>
    <t>Studies indicate that nutritional supplementation like Ensure can improve weight gain and nutritional status in malnourished individuals, with efficacy rates often reported in the range of 50-70%.</t>
  </si>
  <si>
    <t>Generally regarded as safe when used as directed; however, individual hypersensitivity can occur.</t>
  </si>
  <si>
    <t>Possible gastrointestinal discomfort, diarrhea, nausea, and allergic reactions.</t>
  </si>
  <si>
    <t>Approximately $800 to $1,200, depending on the frequency and quantity of use.</t>
  </si>
  <si>
    <t>All age groups, but especially relevant for the elderly, post-operative patients, and individuals with chronic diseases.</t>
  </si>
  <si>
    <t>Both males and females are equally affected, but certain populations (e.g., the elderly or those with specific conditions) might show variability.</t>
  </si>
  <si>
    <t>ENSURE SURGERY LIQUID VANILLA SHAKE</t>
  </si>
  <si>
    <t>Unintended weight loss, weakness, fatigue, muscle wasting, compromised immune function</t>
  </si>
  <si>
    <t>Approximately 3-5% of the general population, with higher prevalence in hospitalized patients and elderly (up to 30-50%)</t>
  </si>
  <si>
    <t>Significantly impaired; can lead to decreased physical function and increased risk of complications</t>
  </si>
  <si>
    <t>High efficacy in providing essential nutrients, promoting weight gain and recovery in malnourished individuals</t>
  </si>
  <si>
    <t>Generally safe; designed for oral or enteral feeding</t>
  </si>
  <si>
    <t>Minimal; possible gastrointestinal discomfort, diarrhea, or allergic reactions in sensitive individuals</t>
  </si>
  <si>
    <t>Approximately $1,500 - $2,500 depending on the usage and healthcare provider recommendations</t>
  </si>
  <si>
    <t>All age groups, but particularly beneficial for elderly and hospitalized patients</t>
  </si>
  <si>
    <t>No gender-specific differences in usage or efficacy</t>
  </si>
  <si>
    <t>Nutritional supplement (oral nutritional supplement)</t>
  </si>
  <si>
    <t>PEDIALYTE ADVANCED CARE PLUS BERRY FROST</t>
  </si>
  <si>
    <t>Thirst, dry mouth, decreased urine output, dizziness, fatigue, rapid heartbeat</t>
  </si>
  <si>
    <t>Approximately 1 in 5 children experience significant dehydration due to diarrhea each year in the USA</t>
  </si>
  <si>
    <t>Effective management of dehydration leads to improved hydration status, reduced symptoms, and overall enhanced quality of life, especially in pediatric patients.</t>
  </si>
  <si>
    <t>Highly effective in rehydrating individuals suffering from mild to moderate dehydration; studies show improved hydration status and recovery times</t>
  </si>
  <si>
    <t>Generally very safe for use in children and adults; oral rehydration solutions like Pedialyte are recommended as first-line therapy</t>
  </si>
  <si>
    <t>Rare, but may include gastrointestinal discomfort, nausea, and an imbalance of electrolytes if misused or consumed in excessive amounts</t>
  </si>
  <si>
    <t>Approximately $100 to $300, depending on frequency of use and patient needs</t>
  </si>
  <si>
    <t>Primarily used in infants and children, but can be beneficial for adults as well</t>
  </si>
  <si>
    <t>Both genders equally affected, though pediatric use is more common</t>
  </si>
  <si>
    <t>Oral rehydration solution (electrolyte solution)</t>
  </si>
  <si>
    <t>PEDIALYTE ADVANCED CARE PLUS STRAWBERRYFREEZE</t>
  </si>
  <si>
    <t>Dry mouth, extreme thirst, decreased urine output, fatigue, dizziness, confusion</t>
  </si>
  <si>
    <t>Approximately 1 in 7 children experience dehydration due to gastroenteritis annually in the USA</t>
  </si>
  <si>
    <t>Adequate hydration improves overall quality of life, especially in pediatric patients; dehydration can severely impact daily activities</t>
  </si>
  <si>
    <t>High efficacy in rehydration; rapid restoration of electrolyte balance is achieved within hours</t>
  </si>
  <si>
    <t>Generally considered safe for all age groups; specific formulations designed for pediatric use</t>
  </si>
  <si>
    <t>Minimal; may include gastrointestinal discomfort or allergic reactions in sensitive individuals</t>
  </si>
  <si>
    <t>Approximately $250 to $500 depending on frequency of use and severity of condition</t>
  </si>
  <si>
    <t>Primarily children but can be used in adults as well</t>
  </si>
  <si>
    <t>No gender preference; suitable for all genders</t>
  </si>
  <si>
    <t>Oral rehydration solution (ORS)</t>
  </si>
  <si>
    <t>ENSURE ORIGINAL W/FIBER VANILLA</t>
  </si>
  <si>
    <t>Weight loss, fatigue, weakness, digestive issues, poor immune function, and delayed wound healing</t>
  </si>
  <si>
    <t>Approximately 1-2% of the general population, but higher in specific elderly and hospitalized populations (up to 30-60%)</t>
  </si>
  <si>
    <t>Can significantly improve quality of life by supporting nutritional needs, enhancing energy levels, and improving overall health</t>
  </si>
  <si>
    <t>Generally effective for nutritional supplementation, with studies showing improved weight gain and stabilization of nutritional status in malnourished individuals</t>
  </si>
  <si>
    <t>Generally considered safe for human consumption, particularly when used as directed</t>
  </si>
  <si>
    <t>Rare reports of gastrointestinal discomfort, nausea, or allergic reactions; more frequent with excessive use</t>
  </si>
  <si>
    <t>Approximately $800-$1,200 depending on frequency of use and individual needs</t>
  </si>
  <si>
    <t>All age groups, particularly recommended for the elderly, patients with chronic illnesses, and those recovering from surgery or illness</t>
  </si>
  <si>
    <t>No specific gender preference; both males and females may require nutritional supplementation</t>
  </si>
  <si>
    <t>Nutritional supplement (marketed as enteral nutrition)</t>
  </si>
  <si>
    <t>ENSURE PLUS W/FIBER  VANILLA</t>
  </si>
  <si>
    <t>Weight loss, fatigue, weakness, and decreased immunity</t>
  </si>
  <si>
    <t>Approximately 5-10% of adults (varies by demographic and health status)</t>
  </si>
  <si>
    <t>Can be significantly improved with adequate nutrition; malnourished individuals may experience decreased quality of life.</t>
  </si>
  <si>
    <t>Generally effective for providing balanced nutrition and promoting weight gain in individuals with dietary needs.</t>
  </si>
  <si>
    <t>Generally considered safe; formulated for nutritional support.</t>
  </si>
  <si>
    <t>Possible gastrointestinal discomfort, bloating, diarrhea, nausea.</t>
  </si>
  <si>
    <t>Approximately $500-$1,500, depending on usage and purchase source.</t>
  </si>
  <si>
    <t>All ages, commonly used in adults and elderly populations.</t>
  </si>
  <si>
    <t>Both male and female.</t>
  </si>
  <si>
    <t>Nutritional supplement (oral supplement, not a prescribed drug).</t>
  </si>
  <si>
    <t>ENSURE RAPID HYDRATION STRAWBERRY CHILL</t>
  </si>
  <si>
    <t>Thirst, dry mouth, fatigue, dizziness, decreased urine output, headache</t>
  </si>
  <si>
    <t>Approximately 7% of the U.S. population experiences dehydration symptoms, with higher rates in certain groups (e.g., elderly, athletes)</t>
  </si>
  <si>
    <t>Reduced due to fatigue, weakness, and impaired cognitive function in severe cases</t>
  </si>
  <si>
    <t>Generally effective in rehydrating individuals, especially when used properly; specific formulations may exhibit varying effectiveness based on composition</t>
  </si>
  <si>
    <t>Generally safe when used as directed; overconsumption may lead to electrolyte imbalances</t>
  </si>
  <si>
    <t>Minimal; potential for gastrointestinal discomfort (nausea, vomiting) in sensitive individuals</t>
  </si>
  <si>
    <t>Approximately $300 - $600 depending on usage and product selection</t>
  </si>
  <si>
    <t>All age groups, with special attention to children, elderly, and athletes</t>
  </si>
  <si>
    <t>No gender-specific differences noted in use or efficacy</t>
  </si>
  <si>
    <t>TWOCAL HN LIQUID VANILLA, 1000ML</t>
  </si>
  <si>
    <t>Approximately 3-5% of the general population; higher in hospitalized patients (up to 40%)</t>
  </si>
  <si>
    <t>Significantly improved with proper nutritional support, enhancing physical function and overall well-being</t>
  </si>
  <si>
    <t>High efficacy in restoring nutritional status when used as directed</t>
  </si>
  <si>
    <t>Generally safe for use; monitored for individual tolerance and specific dietary restrictions</t>
  </si>
  <si>
    <t>Possible gastrointestinal side effects such as diarrhea, constipation, or nausea, though rare</t>
  </si>
  <si>
    <t>Approximately $1,000 - $1,500 depending on individual needs and insurance coverage</t>
  </si>
  <si>
    <t>Used across all age groups, primarily in adults and elderly patients requiring supplementation</t>
  </si>
  <si>
    <t>No gender preference; applicable to all sexes</t>
  </si>
  <si>
    <t>LIQUACEL LIQUID,APPLE</t>
  </si>
  <si>
    <t>Thirst, dry mouth, fatigue, dizziness, rapid heartbeat, confusion, and decreased urine output</t>
  </si>
  <si>
    <t>Approximately 1.5% of the general population experiences dehydration, with higher rates in older adults and those with certain medical conditions</t>
  </si>
  <si>
    <t>Dehydration can significantly affect quality of life, leading to fatigue and decreased physical performance</t>
  </si>
  <si>
    <t>Effective in rehydrating and restoring electrolyte balance, especially when used for mild to moderate dehydration</t>
  </si>
  <si>
    <t>Generally safe when used as directed; considered suitable for various populations, including pediatric and geriatric patients</t>
  </si>
  <si>
    <t>Rarely, may cause gastrointestinal upset or allergic reactions; usually well-tolerated</t>
  </si>
  <si>
    <t>Approximately $200 to $300 depending on usage and formulation</t>
  </si>
  <si>
    <t>All age groups, particularly beneficial for the elderly and those with increased fluid needs</t>
  </si>
  <si>
    <t>No gender preference or differences in efficacy</t>
  </si>
  <si>
    <t>Nutritional supplement (oral hydration solution)</t>
  </si>
  <si>
    <t>LIQUACEL LIQUID,GRAPE</t>
  </si>
  <si>
    <t>Thirst, dry mouth, weakness, dizziness, fatigue, confusion, nausea, vomiting, diarrhea</t>
  </si>
  <si>
    <t>Approximately 13% of the U.S. population experiences dehydration at some point, higher in specific populations like the elderly and those with chronic diseases.</t>
  </si>
  <si>
    <t>Can be significantly impacted due to weakness and fatigue from dehydration, affecting daily activities and overall health.</t>
  </si>
  <si>
    <t>Efficacious in preventing and treating mild to moderate dehydration when used alongside standard hydration techniques.</t>
  </si>
  <si>
    <t>Generally considered safe when used as directed; however, efficacy may vary based on the patient's specific health conditions.</t>
  </si>
  <si>
    <t>Minimal; some may experience gastrointestinal discomfort or allergic reactions (rare).</t>
  </si>
  <si>
    <t>Approximately $50 to $100, based on the frequency of use and quantity purchased.</t>
  </si>
  <si>
    <t>All age groups, but particularly relevant in children, the elderly, and individuals with chronic illnesses.</t>
  </si>
  <si>
    <t>No specific gender prevalence; dehydration affects both genders equally.</t>
  </si>
  <si>
    <t>Nutritional supplement, electrolyte replacement solution.</t>
  </si>
  <si>
    <t>LIQUACEL LIQUID, GINGER-ALE</t>
  </si>
  <si>
    <t>Dry mouth, fatigue, dizziness, thirst, reduced urine output, weakness</t>
  </si>
  <si>
    <t>Approximately 6% of the US population experiences dehydration annually, with higher rates in elderly individuals and those with chronic illnesses.</t>
  </si>
  <si>
    <t>Can significantly improve with adequate hydration and nutrition, enhancing overall well-being and functionality.</t>
  </si>
  <si>
    <t>Generally effective in restoring hydration and providing calories; suitable for those with difficulty digesting solid foods.</t>
  </si>
  <si>
    <t>Considered safe for most individuals; however, those with specific medical conditions should consult a healthcare provider.</t>
  </si>
  <si>
    <t>Possible mild gastrointestinal upset, such as nausea or diarrhea, primarily if consumed in excess.</t>
  </si>
  <si>
    <t>Approximately $500 to $1,000, depending on the frequency of use and individual needs.</t>
  </si>
  <si>
    <t>All age groups, with particular consideration for children, the elderly, and individuals with chronic illnesses.</t>
  </si>
  <si>
    <t>No significant gender differences in usage; applicable to all genders.</t>
  </si>
  <si>
    <t>LIQUACEL LIQUID, UNFLAVORED</t>
  </si>
  <si>
    <t>Fatigue, weakness, weight loss, muscle wasting, immune dysfunction</t>
  </si>
  <si>
    <t>Approximately 2% of the general population, higher in elderly and hospitalized patients</t>
  </si>
  <si>
    <t>Can be significantly impaired due to weakness and associated conditions; improving nutrition can enhance quality of life.</t>
  </si>
  <si>
    <t>High efficacy in improving nutritional status when used as a dietary supplement under medical supervision</t>
  </si>
  <si>
    <t>Generally considered safe; however, should be used with caution in individuals with specific medical conditions.</t>
  </si>
  <si>
    <t>Rare; potential gastrointestinal discomfort (e.g., bloating or diarrhea), especially if consumed in large amounts</t>
  </si>
  <si>
    <t>Approximately $200-$500 depending on usage and provider recommendations</t>
  </si>
  <si>
    <t>All age groups, particularly beneficial for elderly individuals and those with chronic illness</t>
  </si>
  <si>
    <t>No specific gender preference; affects all genders equally</t>
  </si>
  <si>
    <t>LIQUACEL LIQUID SINGLE SERV,PEACH</t>
  </si>
  <si>
    <t>Weight loss, fatigue, weakness, nutritional deficiencies, poor wound healing.</t>
  </si>
  <si>
    <t>Approximately 1-2% in the general population; higher prevalence in elderly and hospitalized patients (up to 30%).</t>
  </si>
  <si>
    <t>Can be significantly reduced due to weakness and fatigue, affecting daily activities and overall physical and mental well-being.</t>
  </si>
  <si>
    <t>Effective as a nutritional supplement for patients requiring enhanced hydration and caloric intake; specific efficacy data limited but generally indicated for improving nutritional status.</t>
  </si>
  <si>
    <t>Generally considered safe when used as directed; monitoring may be needed for individuals with specific health conditions.</t>
  </si>
  <si>
    <t>Possible gastrointestinal discomfort, bloating, or diarrhea in sensitive individuals.</t>
  </si>
  <si>
    <t>Approximately $1,500 - $2,000 depending on frequency of use and healthcare provider recommendations.</t>
  </si>
  <si>
    <t>Primarily used in adults and elderly populations.</t>
  </si>
  <si>
    <t>No significant gender-specific data; used across all genders.</t>
  </si>
  <si>
    <t>LIQUACEL LIQUID SINGLE SERV,APPLE</t>
  </si>
  <si>
    <t>Weakness, fatigue, confusion, low energy, poor appetite, dry mouth, reduced urinary output</t>
  </si>
  <si>
    <t>Approximately 3-5% of the general population is affected, but rates are significantly higher in elderly and hospitalized patients (up to 50%).</t>
  </si>
  <si>
    <t>Quality of life is significantly decreased due to fatigue, cognitive decline, and susceptibility to infections.</t>
  </si>
  <si>
    <t>Demonstrated to be effective in maintaining nutrition and hydration levels in individuals unable to consume adequate calories or fluids orally.</t>
  </si>
  <si>
    <t>Generally safe for most populations when used as directed, but should be monitored in those with specific dietary restrictions or health conditions.</t>
  </si>
  <si>
    <t>Rarely, gastrointestinal discomfort, bloating, or allergic reactions could occur.</t>
  </si>
  <si>
    <t>Approximately $300-500 depending on usage and supplier.</t>
  </si>
  <si>
    <t>All age groups, but particularly important in the elderly and those with chronic illnesses.</t>
  </si>
  <si>
    <t>No specific gender preference, affects all genders equally.</t>
  </si>
  <si>
    <t>Nutritional supplement (Oral rehydration solution, liquid nutritional supplement).</t>
  </si>
  <si>
    <t>LIQUACEL LIQUID SINGLE SERV,GRAPE</t>
  </si>
  <si>
    <t>Thirst, dry mouth, fatigue, dizziness, decreased urine output</t>
  </si>
  <si>
    <t>Approximately 12% of hospitalized patients experience dehydration</t>
  </si>
  <si>
    <t>Generally improves with hydration, can lead to better overall health and recovery</t>
  </si>
  <si>
    <t>High efficacy for improving hydration status when used as directed</t>
  </si>
  <si>
    <t>Generally safe for most individuals, but should be used under medical supervision for those with specific health conditions</t>
  </si>
  <si>
    <t>Minimal adverse events; however, potential for gastrointestinal discomfort in some individuals</t>
  </si>
  <si>
    <t>Approximately $200 - $300 depending on usage</t>
  </si>
  <si>
    <t>Suitable for all ages, but especially beneficial for infants, elderly, and individuals with chronic conditions</t>
  </si>
  <si>
    <t>No gender-specific indications</t>
  </si>
  <si>
    <t>Nutritional supplement (oral rehydration solution)</t>
  </si>
  <si>
    <t>LIQUACEL LIQUID SINGLE SERV,WATERMELON</t>
  </si>
  <si>
    <t>Thirst, dry mouth, fatigue, dizziness, reduced urine output, confusion</t>
  </si>
  <si>
    <t>Approximately 3% of the U.S. population experiences significant dehydration annually, with higher rates in vulnerable populations such as the elderly and those with chronic illnesses.</t>
  </si>
  <si>
    <t>Dehydration can significantly reduce quality of life, leading to weakness and decreased physical functioning, particularly in elderly patients.</t>
  </si>
  <si>
    <t>High; effective in replenishing fluids and electrolytes in various hydration scenarios.</t>
  </si>
  <si>
    <t>Generally safe when used as directed; suitable for a wide range of patients.</t>
  </si>
  <si>
    <t>Minimal (may include gastrointestinal discomfort or allergic reactions in rare cases).</t>
  </si>
  <si>
    <t>$500 - $1,000 (depending on frequency and quantity used).</t>
  </si>
  <si>
    <t>Suitable for all age groups, but particularly important for the elderly or those with chronic health conditions.</t>
  </si>
  <si>
    <t>No significant gender differences in response or need for hydration therapy.</t>
  </si>
  <si>
    <t>Nutritional supplement (specifically for hydration).</t>
  </si>
  <si>
    <t>LIQUACEL LIQUID SINGLE SERV,GINGER-ALE</t>
  </si>
  <si>
    <t>Increased thirst, dry mouth, fatigue, dizziness, headache, confusion, and reduced urination</t>
  </si>
  <si>
    <t>Approximately 5-10% of the population experiences dehydration at some point, with higher rates among the elderly and those with chronic illnesses.</t>
  </si>
  <si>
    <t>Dehydration can significantly affect quality of life, leading to weakness and decreased cognitive function.</t>
  </si>
  <si>
    <t>Effective in restoring hydration and providing essential nutrients when used appropriately.</t>
  </si>
  <si>
    <t>Generally safe when used as directed; however, individuals with specific health conditions should consult a healthcare provider before use.</t>
  </si>
  <si>
    <t>Rarely causes gastrointestinal discomfort; possible allergic reactions in sensitive individuals.</t>
  </si>
  <si>
    <t>Approximately $200 to $500, depending on frequency of use and dosage requirements.</t>
  </si>
  <si>
    <t>All age groups, but particularly useful for the elderly and those with conditions that predispose them to dehydration.</t>
  </si>
  <si>
    <t>No specific gender predilection, utilized by all genders.</t>
  </si>
  <si>
    <t>Nutritional supplement (delivered in liquid form).</t>
  </si>
  <si>
    <t>KATE FARMS 1.4 LIQUID PLAIN</t>
  </si>
  <si>
    <t>Weight loss, fatigue, weakness, compromised immune function, muscle weakness</t>
  </si>
  <si>
    <t>Approximately 3% of the overall population in the USA experiences malnutrition, with higher prevalence rates in hospitalized patients and the elderly</t>
  </si>
  <si>
    <t>Can significantly improve in patients receiving adequate nutrition, leading to better overall health outcomes and functional status</t>
  </si>
  <si>
    <t>Demonstrated efficacy in improving nutritional status and outcomes when used as a supplement or in enteral feeding regimens</t>
  </si>
  <si>
    <t>Generally regarded as safe with no major toxicity reported; suitable for individuals with varying tolerances, including those with common allergies (e.g., dairy-free, gluten-free)</t>
  </si>
  <si>
    <t>Possible gastrointestinal discomfort, such as bloating, diarrhea, or constipation; allergic reactions are rare</t>
  </si>
  <si>
    <t>Approximately $1,200 to $5,000 depending on usage and patient needs</t>
  </si>
  <si>
    <t>All age groups (pediatric to geriatric)</t>
  </si>
  <si>
    <t>KATE FARMS NUTRITION SHAKE VANILLA</t>
  </si>
  <si>
    <t>Weight loss, fatigue, muscle wasting, weakness, decreased immune function.</t>
  </si>
  <si>
    <t>Approximately 5-10% of the general population; higher rates in hospitalized patients and those with chronic illnesses or cancer.</t>
  </si>
  <si>
    <t>Can significantly improve quality of life by providing essential nutrients for energy and recovery.</t>
  </si>
  <si>
    <t>High efficacy in providing nutritional support and preventing further weight loss; clinically tested in various populations.</t>
  </si>
  <si>
    <t>Generally considered safe with minimal adverse effects when used as directed.</t>
  </si>
  <si>
    <t>Possible gastrointestinal issues, such as diarrhea or constipation, allergies to ingredients.</t>
  </si>
  <si>
    <t>Approximately $1,200-$3,000 depending on the required quantity and areas of use.</t>
  </si>
  <si>
    <t>Adults and children, but often used more frequently in older adults and individuals with chronic illnesses.</t>
  </si>
  <si>
    <t>Both genders equally, but gender-specific conditions may influence use.</t>
  </si>
  <si>
    <t>Nutritional supplement (not classified as a traditional drug).</t>
  </si>
  <si>
    <t>KATE FARMS NUTRITION SHAKE CHOCOLATE</t>
  </si>
  <si>
    <t>Weight loss, fatigue, weakness, difficulty in maintaining proper nutrition</t>
  </si>
  <si>
    <t>Approximately 3% of the general population; higher in elderly and those with chronic diseases</t>
  </si>
  <si>
    <t>Nutritional support can significantly improve quality of life by enhancing energy levels and physical function</t>
  </si>
  <si>
    <t>High (Effective in improving nutritional intake and supporting recovery in malnourished patients)</t>
  </si>
  <si>
    <t>Generally safe; suitable for most individuals but should be tailored for those with specific dietary restrictions or allergies</t>
  </si>
  <si>
    <t>Gastrointestinal discomfort, diarrhea, allergic reactions (rare), and metabolic disturbances in specific cases</t>
  </si>
  <si>
    <t>Approximately $1,200 to $2,500 depending on usage and specific health needs</t>
  </si>
  <si>
    <t>All age groups; especially beneficial for elderly individuals and those with chronic health issues</t>
  </si>
  <si>
    <t>No significant gender difference; used by both males and females</t>
  </si>
  <si>
    <t>Nutritional supplement (medical food)</t>
  </si>
  <si>
    <t>KATE FARMS NUTRITION SHAKE COFFEE</t>
  </si>
  <si>
    <t>Weight loss, fatigue, weakness, muscle wasting, diminished energy levels, impaired immune function</t>
  </si>
  <si>
    <t>Approximately 1-2% of the US population experiences malnutrition, with significantly higher rates in hospitalized patients and those with chronic diseases (up to 50% in certain populations).</t>
  </si>
  <si>
    <t>Malnutrition is associated with significantly reduced quality of life, impacting physical functioning, psychosocial wellbeing, and overall health; improvement in nutrition can lead to enhanced quality of life.</t>
  </si>
  <si>
    <t>High efficacy in improving nutritional status, promoting weight gain, and enhancing energy levels in malnourished patients; specific efficacy can vary based on individual circumstances and total dietary intake.</t>
  </si>
  <si>
    <t>Generally considered safe for most individuals; patients with specific allergies to ingredients (e.g., soy) or those with particular medical conditions should use with caution.</t>
  </si>
  <si>
    <t>Possible gastrointestinal disturbances (e.g., nausea, diarrhea) in sensitive individuals; allergic reactions in those with ingredient sensitivities (e.g., soy, lactose).</t>
  </si>
  <si>
    <t>Approximately $1,200 to $3,000, depending on frequency of use and specific product formulations.</t>
  </si>
  <si>
    <t>Adults, particularly older adults and those with chronic illnesses; applicable across various age groups depending on the condition leading to malnutrition.</t>
  </si>
  <si>
    <t>Both genders are affected, but incidence may be higher in the elderly population and in specific chronic diseases that impact nutritional status.</t>
  </si>
  <si>
    <t>Nutritional supplement (not classified as a traditional drug; considered enteral nutrition product).</t>
  </si>
  <si>
    <t>PROSOURCE TF FREE PACKETS</t>
  </si>
  <si>
    <t>Weight loss, muscle wasting, fatigue, weakness, increased susceptibility to infections, delayed wound healing</t>
  </si>
  <si>
    <t>Approximately 2-3% in the general population, higher in hospitalized patients and those with chronic diseases</t>
  </si>
  <si>
    <t>Poor quality of life due to physical weakness and increased healthcare needs</t>
  </si>
  <si>
    <t>High efficacy in improving nutritional status and recovery in patients with malnutrition when used as directed</t>
  </si>
  <si>
    <t>Generally considered safe; however, should be used under medical supervision for individuals with specific dietary restrictions or conditions</t>
  </si>
  <si>
    <t>Minimal adverse events; possible gastrointestinal discomfort if consumed in excess</t>
  </si>
  <si>
    <t>Approximately $300 - $600 depending on usage and healthcare setting</t>
  </si>
  <si>
    <t>Primarily adults, but can be used in pediatric populations depending on medical necessity</t>
  </si>
  <si>
    <t>Both male and female patients may be affected equally; however, certain demographics may be more susceptible based on underlying conditions</t>
  </si>
  <si>
    <t>PROSOURCE TF20</t>
  </si>
  <si>
    <t>Fatigue, weakness, muscle wasting, immune dysfunction, delayed wound healing</t>
  </si>
  <si>
    <t>Approximately 3-7% of the general population, higher in specific populations such as the elderly and hospitalized patients</t>
  </si>
  <si>
    <t>Significantly lower due to decreased energy levels, reduced physical functioning, and higher risk of complications</t>
  </si>
  <si>
    <t>Generally effective for improving protein intake and nutritional status, with significant improvements noted in clinical settings</t>
  </si>
  <si>
    <t>Generally safe when used as directed, but caution is advised in cases of kidney disease or specific dietary restrictions</t>
  </si>
  <si>
    <t>Gastrointestinal discomfort, diarrhea, allergic reactions (rare)</t>
  </si>
  <si>
    <t>Approximately $700-$1200 depending on specific formulations and treatment duration</t>
  </si>
  <si>
    <t>All ages, with particular focus on older adults and those with specific health conditions</t>
  </si>
  <si>
    <t>No significant gender-specific considerations, used across all genders</t>
  </si>
  <si>
    <t>Nutritional supplement (specifically a protein supplement)</t>
  </si>
  <si>
    <t>PROSOURCE GELATEIN 20,ORANGE (SF)</t>
  </si>
  <si>
    <t>Symptoms may include weight loss, fatigue, muscle weakness, and other signs of nutrient deficiency.</t>
  </si>
  <si>
    <t>Approximately 2% to 13% among adults, higher in hospitalized patients and certain populations (e.g., elderly, patients with chronic diseases).</t>
  </si>
  <si>
    <t>Malnutrition can significantly impair quality of life, affecting physical functionality, mental health, and social interactions.</t>
  </si>
  <si>
    <t>ProSource Gelatein 20 is designed to provide supplemental protein, and efficacy in improving protein status in malnourished patients can be significant when used as directed.</t>
  </si>
  <si>
    <t>Generally considered safe when used as directed; however, individual tolerances may vary based on medical conditions.</t>
  </si>
  <si>
    <t>Possible gastrointestinal disturbances such as nausea, diarrhea, or constipation may occur.</t>
  </si>
  <si>
    <t>Estimated at $500 to $1,500 depending on use and healthcare provider recommendations.</t>
  </si>
  <si>
    <t>Primarily used in adults, but can be applicable across age groups depending on individual nutritional needs.</t>
  </si>
  <si>
    <t>Both genders are affected; however, the prevalence of malnutrition may differ based on underlying health conditions.</t>
  </si>
  <si>
    <t>Medical food (protein supplement).</t>
  </si>
  <si>
    <t>PROSOURCE GELATEIN PLUS LIME W/MCT GEL,ORAL</t>
  </si>
  <si>
    <t>Weight loss, muscle wasting, weakness, fatigue, compromised immune function</t>
  </si>
  <si>
    <t>Approximately 2-3% in the general population; higher in the elderly and hospitalized patients (up to 30% in certain settings)</t>
  </si>
  <si>
    <t>Reduced quality of life, increased dependency on caregivers, decreased physical function, higher risk of complications</t>
  </si>
  <si>
    <t>Effective for patients who cannot meet protein requirements through traditional means; improvements noted in nutritional status and weight gain</t>
  </si>
  <si>
    <t>Generally well-tolerated; risk associated primarily with excessive caloric intake or improper use</t>
  </si>
  <si>
    <t>Gastrointestinal discomfort, such as nausea or diarrhea; rare allergic reactions</t>
  </si>
  <si>
    <t>Approximately $1,500 - $3,000, depending on usage and healthcare setting</t>
  </si>
  <si>
    <t>Primarily used in adult and elderly populations, but can be used in pediatric cases as needed</t>
  </si>
  <si>
    <t>No specific gender preference; applicable to all genders</t>
  </si>
  <si>
    <t>Nutritional product (oral supplement, specifically formulated gel with protein and other nutrients)</t>
  </si>
  <si>
    <t>PROSOURCE GELATEIN PLUS,CHERRY</t>
  </si>
  <si>
    <t>Weakness, weight loss, fatigue, muscle wasting, edema, impaired wound healing</t>
  </si>
  <si>
    <t>Approximately 2-5% of the general population in the USA may experience protein malnutrition, especially in the elderly and hospitalized patients</t>
  </si>
  <si>
    <t>Can significantly improve quality of life by providing essential nutrients and supporting recovery, particularly in patients with chronic illnesses or after surgery</t>
  </si>
  <si>
    <t>Generally recognized as effective for addressing protein deficiencies and improving overall nutritional status</t>
  </si>
  <si>
    <t>Considered safe for most populations when used as directed; however, individuals with specific dietary restrictions should consult healthcare providers</t>
  </si>
  <si>
    <t>Gastrointestinal discomfort, such as bloating, diarrhea, or constipation, especially if consumed in excess</t>
  </si>
  <si>
    <t>Varies, typically around $300-$600 depending on the usage and healthcare setting</t>
  </si>
  <si>
    <t>Typically used across various age groups, particularly in the elderly or those with chronic illnesses</t>
  </si>
  <si>
    <t>No gender-specific restrictions; applicable to both males and females</t>
  </si>
  <si>
    <t>PROSOURCE GELATEIN PLUS,PINEAPPLE</t>
  </si>
  <si>
    <t>Weakness, fatigue, muscle wasting, and other signs of inadequate nutritional intake.</t>
  </si>
  <si>
    <t>Estimates suggest that malnutrition affects approximately 3-5% of the general population but can be higher in specific groups, such as the elderly (up to 20% in nursing homes).</t>
  </si>
  <si>
    <t>Malnutrition can significantly decrease quality of life, impacting physical health, mental status, and overall well-being.</t>
  </si>
  <si>
    <t>Generally considered effective for increasing protein intake and improving nutritional status in malnourished individuals when used as directed.</t>
  </si>
  <si>
    <t>Generally safe when used as directed, but individuals with certain allergies or conditions should consult a healthcare provider first.</t>
  </si>
  <si>
    <t>Possible gastrointestinal disturbances (e.g., nausea, diarrhea) and allergic reactions in susceptible individuals.</t>
  </si>
  <si>
    <t>Approximately $300 to $600, depending on frequency of use and dosage.</t>
  </si>
  <si>
    <t>Primarily adults, particularly older adults and patients with chronic illnesses.</t>
  </si>
  <si>
    <t>No significant gender preference; used by both males and females.</t>
  </si>
  <si>
    <t>Nutritional supplement (protein supplement); not a traditional pharmaceutical drug.</t>
  </si>
  <si>
    <t>FORMULA, MEAL REPLACEMENT</t>
  </si>
  <si>
    <t>Weight loss, fatigue, malaise, nutrient deficiencies</t>
  </si>
  <si>
    <t>Approximately 10% of the U.S. population experiences some form of malnutrition; obesity prevalence is around 42.4%</t>
  </si>
  <si>
    <t>Can improve in individuals experiencing malnutrition or poor diet quality; balanced meal replacement can lead to better energy levels and physical health</t>
  </si>
  <si>
    <t>Varies based on formulation; typically effective in aiding weight management and providing complete nutrition when used appropriately</t>
  </si>
  <si>
    <t>Generally considered safe when used as directed; potential risks if used as sole nutrition source long-term without professional guidance</t>
  </si>
  <si>
    <t>Potential gastrointestinal issues (e.g., bloating, diarrhea), allergic reactions, and nutrient imbalances if not balanced</t>
  </si>
  <si>
    <t>$300 - $1,500 depending on the brand and product type</t>
  </si>
  <si>
    <t>All age groups, commonly used in adults and children with specific dietary needs</t>
  </si>
  <si>
    <t>No significant gender bias, though marketing may target specific demographics</t>
  </si>
  <si>
    <t>Dietary supplements, meal replacement products (not classified as drugs in a traditional pharmacological sense)</t>
  </si>
  <si>
    <t>REAL FOOD BLENDS CHICKEN ENTERAL FEEDING MEAL</t>
  </si>
  <si>
    <t>Symptoms of malnutrition may include weight loss, muscle wasting, fatigue, and weakness. Specific symptoms may vary based on underlying health conditions.</t>
  </si>
  <si>
    <t>Approximately 1-2% of the general population experiences malnutrition, but prevalence is significantly higher in hospitalized patients (up to 30-50%) and elderly individuals.</t>
  </si>
  <si>
    <t>Malnutrition can severely impact quality of life, leading to decreased physical function, increased risk of complications, and diminished overall health status.</t>
  </si>
  <si>
    <t>Real Food Blends enteral feeding products are designed to provide balanced nutrition, and many studies support the efficacy of enteral nutrition in improving nutritional status and patient outcomes when used appropriately.</t>
  </si>
  <si>
    <t>Generally considered safe for enteral feeding patients; however, care must be taken with allergies and intolerances.</t>
  </si>
  <si>
    <t>Possible gastrointestinal issues (e.g., diarrhea, constipation, nausea), particularly in sensitive individuals.</t>
  </si>
  <si>
    <t>Approximately $3,000 to $6,000 per year, depending on individual needs and feeding regimen.</t>
  </si>
  <si>
    <t>All age groups, but commonly used in pediatrics and geriatrics.</t>
  </si>
  <si>
    <t>Nutritional therapy (enteral feeding formula).</t>
  </si>
  <si>
    <t>REAL FOOD BLENDS QUINOA ENTERAL FEEDING MEAL</t>
  </si>
  <si>
    <t>Nutritional deficiencies, weight loss, decreased energy levels, compromised immune function.</t>
  </si>
  <si>
    <t>Approximately 2% to 5% of the population, higher in elderly and hospitalized patients.</t>
  </si>
  <si>
    <t>Can improve quality of life by providing balanced nutrition, enhancing energy levels, and supporting overall health.</t>
  </si>
  <si>
    <t>Demonstrated to effectively provide nutritional support for patients requiring enteral feeding.</t>
  </si>
  <si>
    <t>Generally considered safe for use, though individual tolerance may vary.</t>
  </si>
  <si>
    <t>Potential gastrointestinal discomfort, changes in bowel habits, or allergic reactions to ingredients.</t>
  </si>
  <si>
    <t>Approximately $3,000 to $5,000 depending on dietary needs and insurance coverage.</t>
  </si>
  <si>
    <t>Primarily used in adults and geriatrics, but can also be suitable for children under medical supervision.</t>
  </si>
  <si>
    <t>No specific gender preference; used across all genders.</t>
  </si>
  <si>
    <t>Enteral nutrition product (medical food).</t>
  </si>
  <si>
    <t>REAL FOOD BLENDS BEEF ENTERAL FEEDING MEAL</t>
  </si>
  <si>
    <t>Weight loss, fatigue, weakness, muscle wasting, nutrient deficiency symptoms (e.g., anemia), poor wound healing</t>
  </si>
  <si>
    <t>Approximately 3-5% of the general population, higher in hospitalized and institutionalized patients</t>
  </si>
  <si>
    <t>Varies; generally improves with adequate nutrition support, but may still be affected by underlying health conditions</t>
  </si>
  <si>
    <t>Generally regarded as effective for providing nutritional support in individuals with feeding difficulties; efficacy is dependent on patient response and adherence</t>
  </si>
  <si>
    <t>Generally safe for enteral feeding; however, individual tolerability may vary; less well-tolerated in those with severe gastrointestinal issues</t>
  </si>
  <si>
    <t>Potential gastrointestinal adverse events such as diarrhea, constipation, nausea, and aspiration pneumonia</t>
  </si>
  <si>
    <t>Estimated $500 - $3,000 depending on the required nutritional regimen and insurance coverage</t>
  </si>
  <si>
    <t>All age groups, but particularly targeted toward children and adults with specific nutritional needs</t>
  </si>
  <si>
    <t>Enteral nutrition formula (medical food, specialized nutrition)</t>
  </si>
  <si>
    <t>ARIPIPRAZOLE 2MG TAB</t>
  </si>
  <si>
    <t>Hallucinations, delusions, disorganized thinking, mood swings, agitation, fatigue, changes in sleep patterns</t>
  </si>
  <si>
    <t>Approximately 1% for schizophrenia and 2-3% for bipolar disorder in the USA</t>
  </si>
  <si>
    <t>Patients may experience significant improvement in quality of life with treatment, but symptoms can persist or return, affecting day-to-day functioning.</t>
  </si>
  <si>
    <t>50-70% effective for reducing symptoms in schizophrenia; around 50% in bipolar disorder for manic episodes</t>
  </si>
  <si>
    <t>Akathisia, weight gain, insomnia, anxiety, nausea, dizziness (common), risk of tardive dyskinesia and metabolic syndrome (serious)</t>
  </si>
  <si>
    <t>Approximately $2,500 to $5,000 depending on insurance and dosage</t>
  </si>
  <si>
    <t>Approved for use in adults and adolescents 13 years and older</t>
  </si>
  <si>
    <t>Equally effective in both males and females, though tolerability may vary</t>
  </si>
  <si>
    <t>5% Dextrose Injection, USP VIAFLEX #2B0080</t>
  </si>
  <si>
    <t>Thirst, dry mouth, weakness, confusion, dizziness, low blood sugar symptoms (sweating, shaking, irritability)</t>
  </si>
  <si>
    <t>Common in hospitalized patients; specific prevalence for dehydration and hypoglycemia varies</t>
  </si>
  <si>
    <t>Generally improves quality of life by providing hydration and glucose when administered; critical for patients who cannot ingest.</t>
  </si>
  <si>
    <t>High efficacy for rehydration and correcting low blood sugar levels</t>
  </si>
  <si>
    <t>Generally considered safe when used as directed; risk of fluid overload in certain populations</t>
  </si>
  <si>
    <t>Possible adverse events include fluid overload, hyperglycemia, and local reactions at the injection site</t>
  </si>
  <si>
    <t>Approximately $250-$300 (depending on usage and healthcare setting)</t>
  </si>
  <si>
    <t>All age groups; used in infants, children, adults, and elderly</t>
  </si>
  <si>
    <t>Injectable solution (not a traditional drug), classified as a parenteral nutrition solution</t>
  </si>
  <si>
    <t>0.45% Sodium Chloride Inj,USP Plastic#2B1314X</t>
  </si>
  <si>
    <t>Thirst, dry mucous membranes, reduced urine output, fatigue, confusion, dizziness</t>
  </si>
  <si>
    <t>15% of the general population may experience dehydration at some point annually, particularly in vulnerable groups such as the elderly and those with chronic conditions.</t>
  </si>
  <si>
    <t>Variable; effective treatment can significantly improve quality of life, whereas severe dehydration can lead to hospitalizations and complications.</t>
  </si>
  <si>
    <t>Generally high; suitable for restoring fluid and electrolyte balance effectively</t>
  </si>
  <si>
    <t>Generally considered safe; careful monitoring is essential in patients with renal impairment or heart disorders</t>
  </si>
  <si>
    <t>Rare; possible events include fluid overload, electrolyte imbalance, or localized irritation/infection at the injection site</t>
  </si>
  <si>
    <t>Approximately $100-$200 for actual saline solutions; costs may vary depending on healthcare settings</t>
  </si>
  <si>
    <t>Any age group; particularly important for infants, elderly, and patients with chronic illnesses</t>
  </si>
  <si>
    <t>No gender preference; dehydration can affect all genders equally</t>
  </si>
  <si>
    <t>Electrolyte solution, injectable fluid replacement therapy</t>
  </si>
  <si>
    <t>0.9% Sodium Chloride Inj, USP Plastic#2B1322Q</t>
  </si>
  <si>
    <t>Thirst, dry mouth, fatigue, headache, dizziness, confusion, low blood pressure</t>
  </si>
  <si>
    <t>Approximately 7.9 million hospitalizations in the USA annually related to dehydration or fluid imbalance</t>
  </si>
  <si>
    <t>Variable; effective rehydration can lead to significant improvement in quality of life, especially in geriatric and pediatric populations</t>
  </si>
  <si>
    <t>Highly effective for rehydration and electrolyte replenishment</t>
  </si>
  <si>
    <t>Generally considered very safe with low risk of complications when administered properly</t>
  </si>
  <si>
    <t>Risk of fluid overload, electrolytes imbalance, venous irritation at infusion site, rare allergic reactions</t>
  </si>
  <si>
    <t>Approximately $300 - $1,200 depending on usage and healthcare setting</t>
  </si>
  <si>
    <t>All age groups, with particular attention to pediatrics and geriatrics</t>
  </si>
  <si>
    <t>No gender-specific considerations, used equally among males and females</t>
  </si>
  <si>
    <t>Electrolyte solution (i.e., intravenous fluids, small molecules)</t>
  </si>
  <si>
    <t>0.9% Sodium Chloride Inj, USP Plastic#2B1323Q</t>
  </si>
  <si>
    <t>Thirst, dry mouth, decreased urine output, dizziness, weakness, and confusion (varies by underlying condition)</t>
  </si>
  <si>
    <t>Common, especially in hospitalized patients and those with chronic illnesses, exact percentage difficult to determine</t>
  </si>
  <si>
    <t>Generally neutral to positive for patients receiving appropriate hydration; may improve symptoms of dehydration</t>
  </si>
  <si>
    <t>Highly effective for fluid and electrolyte replenishment when used appropriately</t>
  </si>
  <si>
    <t>Generally considered safe with minimal risks when used as directed</t>
  </si>
  <si>
    <t>Rarely, it can cause fluid overload, hypernatremia, or hypokalemia; allergic reactions are extremely rare</t>
  </si>
  <si>
    <t>Approximately $50-$200 depending on usage and duration of therapy</t>
  </si>
  <si>
    <t>All age groups, but particularly relevant in elderly and pediatric populations</t>
  </si>
  <si>
    <t>No specific gender-related prevalence; used equally in males and females</t>
  </si>
  <si>
    <t>Electrolyte solution, IV infusion therapy</t>
  </si>
  <si>
    <t>0.9% Sodium Chloride Inj, USP Plastic#2B1300</t>
  </si>
  <si>
    <t>Dry mouth, thirst, decreased urine output, dizziness, confusion, muscle cramps, and headache</t>
  </si>
  <si>
    <t>Commonly encountered; exact prevalence depends on the underlying conditions causing dehydration or electrolyte imbalance</t>
  </si>
  <si>
    <t>Generally improves quality of life by correcting electrolyte imbalances and restoring hydration</t>
  </si>
  <si>
    <t>Highly effective for rehydration and sodium replacement in clinically appropriate situations</t>
  </si>
  <si>
    <t>Generally considered safe when used appropriately; risk of fluid overload or electrolyte imbalances exists</t>
  </si>
  <si>
    <t>Rare; may include fluid overload, edema, or electrolyte disturbances (hypernatremia or hyponatremia)</t>
  </si>
  <si>
    <t>Approximately $100 - $500, depending on quantity used and setting (hospital vs outpatient)</t>
  </si>
  <si>
    <t>All age groups; particularly used in pediatric and geriatric populations</t>
  </si>
  <si>
    <t>Both genders equally; use is based on medical need rather than gender</t>
  </si>
  <si>
    <t>Electrolyte solution (crystalloids)</t>
  </si>
  <si>
    <t>0.9% Sodium Chloride Inj, USP Plastic#2B1301</t>
  </si>
  <si>
    <t>Dry mouth, increased thirst, decreased urine output, headache, dizziness, confusion</t>
  </si>
  <si>
    <t>Frequently encountered in various clinical settings; prevalence can vary depending on underlying conditions but dehydration affects approximately 20% of elderly individuals in care settings.</t>
  </si>
  <si>
    <t>Can significantly improve quality of life when used to restore hydration and electrolyte balance, especially in critical care or elderly patients.</t>
  </si>
  <si>
    <t>Highly effective for rehydration and correcting electrolyte imbalances.</t>
  </si>
  <si>
    <t>Generally considered safe when used appropriately; however, considerations must be made in patients with certain conditions such as heart failure or renal impairment.</t>
  </si>
  <si>
    <t>Rare but can include fluid overload, electrolyte imbalance, and allergic reactions.</t>
  </si>
  <si>
    <t>Approximately $300 - $600 per year, but costs may vary based on use and administration settings.</t>
  </si>
  <si>
    <t>All ages; widely used in pediatrics, adults, and geriatric populations.</t>
  </si>
  <si>
    <t>No gender preference; used for all genders as needed.</t>
  </si>
  <si>
    <t>Electrolyte solution (Crystalloid solution).</t>
  </si>
  <si>
    <t>0.9% Sodium Chloride Inj, USP Plastic#2B1302</t>
  </si>
  <si>
    <t>Thirst, dry mouth, fatigue, dizziness, confusion, dry skin, low blood pressure, rapid heartbeat</t>
  </si>
  <si>
    <t>Approximately 1-2% of the general population experiences significant dehydration at any given time, with higher incidence in vulnerable populations (e.g., the elderly, those with chronic illnesses).</t>
  </si>
  <si>
    <t>Variable, as improving hydration and electrolyte balance can significantly enhance daily functioning and wellbeing, especially in affected populations.</t>
  </si>
  <si>
    <t>Highly effective for restoring fluid and electrolyte balance. Typical response is rapid, especially when administered intravenously in clinical settings.</t>
  </si>
  <si>
    <t>Generally considered safe for use; minimal risk when implemented correctly.</t>
  </si>
  <si>
    <t>Rare; potential for fluid overload, electrolyte imbalances if used improperly or in excess.</t>
  </si>
  <si>
    <t>Typically low; costs about $100-$300 per year for ongoing IV therapy in patients requiring it.</t>
  </si>
  <si>
    <t>All age groups, but particular focus on infants, elderly, and patients with chronic illnesses.</t>
  </si>
  <si>
    <t>Small molecule (intravenous solution).</t>
  </si>
  <si>
    <t>0.9% Sodium Chloride Inj, USP VIAFLEX#2B1306</t>
  </si>
  <si>
    <t>Dry mouth, increased thirst, decreased urine output, fatigue, dizziness, confusion, muscle cramps</t>
  </si>
  <si>
    <t>Common in various populations, particularly among the elderly and those with chronic illnesses, specific prevalence data is not directly quantifiable</t>
  </si>
  <si>
    <t>Generally improves with adequate hydration, essential for overall health, especially in older adults</t>
  </si>
  <si>
    <t>Highly effective in restoring fluid and electrolyte balance, particularly in acute situations</t>
  </si>
  <si>
    <t>Considered safe when used appropriately, but can cause fluid overload in certain populations</t>
  </si>
  <si>
    <t>Possible fluid overload, electrolyte imbalances, particularly in patients with renal dysfunction</t>
  </si>
  <si>
    <t>Approximately $200 to $500 depending on the quantity used and healthcare settings</t>
  </si>
  <si>
    <t>All age groups, with particular emphasis on infants, elderly, and individuals with chronic illnesses</t>
  </si>
  <si>
    <t>No gender-specific restrictions; applicable to all genders</t>
  </si>
  <si>
    <t>Electrolyte solutions (conventional IV fluids)</t>
  </si>
  <si>
    <t>0.9% Sodium Chloride Inj, USP VIAFLEX#2B1307</t>
  </si>
  <si>
    <t>Thirst, dry mouth, decreased urine output, fatigue, confusion, muscle cramps</t>
  </si>
  <si>
    <t>Common; dehydration occurs in varying degrees in many patients, especially among the elderly and those with certain medical conditions. Specific prevalence data varies widely.</t>
  </si>
  <si>
    <t>Can significantly improve quality of life when used for necessary hydration and electrolyte balance, particularly in vulnerable populations.</t>
  </si>
  <si>
    <t>Highly effective for rehydration and correcting electrolyte imbalances when used appropriately.</t>
  </si>
  <si>
    <t>Generally considered safe; therapeutic use of normal saline is well-established; however, careful monitoring is required.</t>
  </si>
  <si>
    <t>Potential for fluid overload, electrolyte imbalances, venous thrombosis, and local irritation at the infusion site.</t>
  </si>
  <si>
    <t>Costs can vary; around $100-$500 depending on the duration and setting of treatment, including administration costs.</t>
  </si>
  <si>
    <t>All age groups; particularly critical in pediatrics and geriatrics.</t>
  </si>
  <si>
    <t>Both males and females; no significant gender-specific differences in usage.</t>
  </si>
  <si>
    <t>Intravenous fluid replacement therapy (solution/electrolyte).</t>
  </si>
  <si>
    <t>2.5%Dextrose and 0.45%Sodium CL Inj #2B1024X</t>
  </si>
  <si>
    <t>Thirst, dry mouth, decreased urine output, dizziness, confusion, muscle cramps</t>
  </si>
  <si>
    <t>Dehydration occurs in about 1% to 5% of the general population, but incidence rates can be higher in certain populations (e.g., older adults, athletes).</t>
  </si>
  <si>
    <t>Can significantly decrease quality of life if severe, leading to hospitalization or chronic issues; mild dehydration may have minimal impact.</t>
  </si>
  <si>
    <t>Highly effective in restoring hydration levels and correcting electrolyte imbalances, particularly in acute settings.</t>
  </si>
  <si>
    <t>Generally considered safe when administered properly; however, caution is advised in patients with renal impairment or heart failure.</t>
  </si>
  <si>
    <t>Rarely, fluid overload, hypernatremia, or electrolyte imbalances.</t>
  </si>
  <si>
    <t>Approximate costs range from $50 to $200 for hospital settings; outpatient costs would be lower.</t>
  </si>
  <si>
    <t>All ages, but particularly important in young children, older adults, and athletes.</t>
  </si>
  <si>
    <t>No specific gender preference; affects both men and women equally.</t>
  </si>
  <si>
    <t>Electrolyte solution (IV fluids).</t>
  </si>
  <si>
    <t>5%Dextrose and 0.45%Sodium CL Inj#2B1073Q</t>
  </si>
  <si>
    <t>Thirst, dry mouth, fatigue, dizziness, confusion, rapid heart rate</t>
  </si>
  <si>
    <t>Commonly occurs in various populations; acute dehydration can affect up to 19% of the general population annually, particularly in summer months or in cases of illness.</t>
  </si>
  <si>
    <t>Severe cases can lead to significant impairment in daily activities and overall well-being; restoration of hydration leads to rapid improvement.</t>
  </si>
  <si>
    <t>High for rehydrating and correcting electrolyte imbalances; provides rapid restoration of fluid and glucose levels.</t>
  </si>
  <si>
    <t>Generally considered safe when used appropriately; caution in patients with renal insufficiency, heart failure, or significant electrolyte imbalances.</t>
  </si>
  <si>
    <t>Rare; potential for fluid overload, hyperglycemia, or electrolyte imbalances if not monitored properly.</t>
  </si>
  <si>
    <t>Approximately $500-$1,500 depending on setting and frequency of administration (hospital/clinic vs. outpatient care).</t>
  </si>
  <si>
    <t>All age groups; more critical in infants, elderly, and those with chronic illnesses.</t>
  </si>
  <si>
    <t>No significant gender predisposition; affects all equally.</t>
  </si>
  <si>
    <t>Isotonic intravenous solution (not classified as a drug but used as a parenteral fluid therapy).</t>
  </si>
  <si>
    <t>5%Dextrose and 0.9%Sodium CL Inj #2B1063Q</t>
  </si>
  <si>
    <t>Thirst, fatigue, dizziness, confusion, muscle cramps</t>
  </si>
  <si>
    <t>Exact prevalence data for dehydration is difficult to determine, but mild dehydration often affects about 75% of the population at some point; severe dehydration can occur in vulnerable populations such as infants and the elderly.</t>
  </si>
  <si>
    <t>Quality of life can decline significantly if dehydration and electrolyte imbalances occur, particularly in vulnerable individuals; recovery typically restores normal quality of life.</t>
  </si>
  <si>
    <t>Highly effective for rehydration and restoring electrolyte balance when administered appropriately.</t>
  </si>
  <si>
    <t>Generally safe for most populations; however, should be used cautiously in those with certain conditions like heart failure or renal impairment.</t>
  </si>
  <si>
    <t>Fluid overload, electrolyte imbalances, and allergic reactions (rare); risk increases with volume and rate of administration.</t>
  </si>
  <si>
    <t>Approximately $300-$500 (cost can vary significantly based on setting, including hospital vs outpatient use)</t>
  </si>
  <si>
    <t>All age groups, but caution is advised especially in infants, elderly, and those with existing medical conditions.</t>
  </si>
  <si>
    <t>No significant gender differences in usage; however, specific population groups may be at higher risk for dehydration.</t>
  </si>
  <si>
    <t>Intravenous fluid therapy (solution for rehydration and electrolyte balance)</t>
  </si>
  <si>
    <t>5%Dextrose and 0.9%Sodium CL Inj #2B1064X</t>
  </si>
  <si>
    <t>Thirst, dry mouth, fatigue, dizziness, low blood pressure, confusion</t>
  </si>
  <si>
    <t>Common in various conditions, particularly among hospitalized patients or those with severe illnesses</t>
  </si>
  <si>
    <t>Can significantly improve quality of life when used correctly to restore fluid and electrolyte balance</t>
  </si>
  <si>
    <t>Highly effective for fluid replacement and correcting electrolyte imbalances when administered properly</t>
  </si>
  <si>
    <t>Generally considered safe when used as directed, with monitoring of electrolyte levels</t>
  </si>
  <si>
    <t>Rarely may cause fluid overload, electrolyte disturbances, or allergic reactions</t>
  </si>
  <si>
    <t>Approximately $500-$2000 depending on administration settings and additional treatments</t>
  </si>
  <si>
    <t>All age groups, used particularly in pediatric and geriatric patients</t>
  </si>
  <si>
    <t>Intravenous solution (not classified as a small molecule or therapeutic drug, but rather a hydration therapy)</t>
  </si>
  <si>
    <t>Lactated Ringer's Inj, USP VIAFLEX #2B2322Q</t>
  </si>
  <si>
    <t>Dehydration symptoms include thirst, dry mouth, dizziness, low blood pressure, and confusion. Electrolyte imbalance symptoms can include muscle cramps, fatigue, and irregular heartbeat.</t>
  </si>
  <si>
    <t>Approximately 13% of adults in the USA experience dehydration, often due to various health conditions, heat exposure, or vigorous exercise. Electrolyte imbalances vary but affect millions, especially older adults and those with chronic illnesses.</t>
  </si>
  <si>
    <t>Quality of life can be significantly improved with proper hydration and electrolyte balance, as they are essential for organ function and overall well-being.</t>
  </si>
  <si>
    <t>Highly effective in restoring fluid and electrolyte levels in patients with dehydration and electrolyte disturbances.</t>
  </si>
  <si>
    <t>Generally considered safe when administered correctly, but caution is needed in patients with renal impairment or heart failure.</t>
  </si>
  <si>
    <t>Possible adverse events include fluid overload, electrolyte disturbances, and allergic reactions.</t>
  </si>
  <si>
    <t>Approximately $500 - $1,000 for hospital settings, depending on administration frequency and duration of treatment.</t>
  </si>
  <si>
    <t>All age groups can be affected, especially infants, elderly, and individuals with chronic conditions.</t>
  </si>
  <si>
    <t>No significant gender preference; both males and females can experience dehydration and electrolyte imbalance equally.</t>
  </si>
  <si>
    <t>Intravenous fluid therapy (electrolyte solution).</t>
  </si>
  <si>
    <t>Lactated Ringer's Inj, USP Plastic #2B2323Q</t>
  </si>
  <si>
    <t>Thirst, dry mouth, decreased urine output, fatigue, dizziness, confusion</t>
  </si>
  <si>
    <t>Approximately 2-3% of the U.S. population experiences issues related to dehydration annually, with higher rates in specific groups such as the elderly and those with chronic illnesses.</t>
  </si>
  <si>
    <t>Fluid and electrolyte balance can significantly impact quality of life; dehydration can lead to weakness and cognitive impairment.</t>
  </si>
  <si>
    <t>Very effective for rapidly restoring fluid and electrolyte balance in patients.</t>
  </si>
  <si>
    <t>Generally regarded as safe when used as instructed; monitoring is necessary, especially in patients with compromised renal function.</t>
  </si>
  <si>
    <t>Possible adverse events include electrolyte imbalances, phlebitis, or fluid overload.</t>
  </si>
  <si>
    <t>Costs can vary but can be approximately $500 to $1,000 depending on frequency of use and setting (hospital outpatient vs. emergency care).</t>
  </si>
  <si>
    <t>Used across all age groups; special consideration is given to the elderly and young children.</t>
  </si>
  <si>
    <t>No specific gender predisposition; used in all genders.</t>
  </si>
  <si>
    <t>Fluid and electrolyte replacement solution.</t>
  </si>
  <si>
    <t>Lactated Ringer's and 5% Dextrose Inj#2B2074X</t>
  </si>
  <si>
    <t>Thirst, dry mouth, reduced urine output, fatigue, dizziness, confusion, rapid heartbeat</t>
  </si>
  <si>
    <t>Approximately 1-5% of the population experiences dehydration in clinical settings; more common in specific populations, such as the elderly and those with certain medical conditions.</t>
  </si>
  <si>
    <t>Treatment with Lactated Ringer's and 5% Dextrose can significantly improve quality of life by alleviating symptoms of dehydration and restoring electrolyte balance.</t>
  </si>
  <si>
    <t>Highly effective in rehydrating and correcting electrolyte imbalances; efficacy supported by numerous clinical studies.</t>
  </si>
  <si>
    <t>Generally considered safe when used under medical supervision; potential risks exist if not dosed correctly, such as fluid overload or electrolyte imbalance.</t>
  </si>
  <si>
    <t>Rarely includes fluid overload, electrolyte disturbances, and local reactions at the injection site.</t>
  </si>
  <si>
    <t>Costs can range from $1,000 to $5,000 depending on usage frequency and healthcare setting.</t>
  </si>
  <si>
    <t>All age groups, particularly those at risk for dehydration (e.g., elderly, infants, those with chronic illnesses)</t>
  </si>
  <si>
    <t>No specific gender predominance; used across all genders.</t>
  </si>
  <si>
    <t>IV solution (electrolyte solution)</t>
  </si>
  <si>
    <t>PLASMA-LYTE A Inj, pH 7.4, USP#2B2544X</t>
  </si>
  <si>
    <t>Symptoms may include fatigue, weakness, muscle cramps, irregular heartbeat, confusion, and changes in blood pressure.</t>
  </si>
  <si>
    <t>The prevalence of electrolyte imbalance varies but can be quite common in hospitalized patients, especially those with chronic illnesses; estimated prevalence is around 10% to 20% in hospitalized adults.</t>
  </si>
  <si>
    <t>Quality of life can be significantly impaired in individuals with severe electrolyte imbalance, affecting physical and cognitive functions.</t>
  </si>
  <si>
    <t>High; plasma-derived solutions like PLASMA-LYTE A are effective for restoring fluid and electrolytes in patients.</t>
  </si>
  <si>
    <t>Generally safe; however, it should be administered under medical supervision to monitor for signs of fluid overload or electrolyte imbalances.</t>
  </si>
  <si>
    <t>Potential adverse events include fluid overload, electrolyte disturbances, allergic reactions, and metabolic alkalosis.</t>
  </si>
  <si>
    <t>The cost of therapy can vary based on usage; estimated costs can range from $100 to several thousand dollars depending on usage and healthcare facility protocols.</t>
  </si>
  <si>
    <t>All age groups, especially older adults and those with chronic health conditions.</t>
  </si>
  <si>
    <t>No specific gender predilection; used in both males and females.</t>
  </si>
  <si>
    <t>Electrolyte solution (intravenous solution).</t>
  </si>
  <si>
    <t>CLINISOL SF 15 % #2B6189</t>
  </si>
  <si>
    <t>Headache, confusion, seizures, muscle weakness, fatigue, nausea, vomiting</t>
  </si>
  <si>
    <t>Approximately 1-2% of the general population, with higher rates in hospitalized patients</t>
  </si>
  <si>
    <t>May be significantly affected due to cognitive symptoms and physical instability</t>
  </si>
  <si>
    <t>Generally effective in rapidly correcting sodium levels, especially in acute cases</t>
  </si>
  <si>
    <t>Generally safe when used appropriately; however, rapid correction can lead to complications</t>
  </si>
  <si>
    <t>Possible adverse events include infusion site reactions, headache, nausea, and electrolyte imbalances</t>
  </si>
  <si>
    <t>Approximately $1,000 to $1,500, depending on duration and treatment setting</t>
  </si>
  <si>
    <t>All age groups, more commonly seen in older adults</t>
  </si>
  <si>
    <t>No significant gender disparity; however, prevalence may be higher in certain populations such as geriatric patients</t>
  </si>
  <si>
    <t>Electrolyte solution</t>
  </si>
  <si>
    <t>5% DEXTROSE INJ USP #2B0041</t>
  </si>
  <si>
    <t>Fatigue, weakness, confusion, dizziness, dry mouth, and thirst (related to dehydration or hypoglycemia)</t>
  </si>
  <si>
    <t>Approximately 6-10% of the population experiences dehydration-related conditions annually, but specific prevalence for hypoglycemia varies widely, affecting around 1-5% of the population, often related to diabetes</t>
  </si>
  <si>
    <t>Quality of life impacts vary; well-managed hydration and glucose control can significantly improve quality of life, while severe cases can lead to decreased well-being</t>
  </si>
  <si>
    <t>Highly effective for restoring hydration and managing blood glucose levels in patients when indicated</t>
  </si>
  <si>
    <t>Generally considered safe when used as directed; monitoring is essential for patients at risk of fluid overload or those with uncontrolled diabetes</t>
  </si>
  <si>
    <t>Potential adverse events may include hyperglycemia, fluid overload, electrolyte imbalances, and local reactions at injection sites</t>
  </si>
  <si>
    <t>Approximately $100 to $300 depending on the specific formulation, quantity, and healthcare settings</t>
  </si>
  <si>
    <t>All age groups, but particularly relevant in pediatric and elderly populations</t>
  </si>
  <si>
    <t>No significant gender preference; however, prevalence of conditions leading to use may differ by gender</t>
  </si>
  <si>
    <t>Electrolyte solution; considered a parenteral therapy (not a small molecule or monoclonal antibody)</t>
  </si>
  <si>
    <t>0.9% SODIUM CHLORIDE INJ USP #2B0042</t>
  </si>
  <si>
    <t>Thirst, dry mouth, fatigue, confusion, dizziness, rapid heartbeat, low blood pressure</t>
  </si>
  <si>
    <t>U.S. prevalence varies depending on underlying conditions; dehydration alone can affect an estimated 5% of the population, especially in older adults.</t>
  </si>
  <si>
    <t>Can significantly improve quality of life when used to correct electrolyte imbalances and ensure proper hydration.</t>
  </si>
  <si>
    <t>Highly effective in rehydrating patients and correcting electrolyte imbalances, with rapid onset of action.</t>
  </si>
  <si>
    <t>Generally safe; sodium chloride is a commonly used electrolyte solution.</t>
  </si>
  <si>
    <t>Rarely, can cause fluid overload, hypernatremia, or peripheral edema, particularly in patients with compromised renal function.</t>
  </si>
  <si>
    <t>Approximately $500 to $1,500, depending on frequency and volume of administration.</t>
  </si>
  <si>
    <t>All age groups; however, infants and older adults are particularly at risk for dehydration.</t>
  </si>
  <si>
    <t>No significant gender differences in usage or effects.</t>
  </si>
  <si>
    <t>Electrolyte solution (Intravenous therapy).</t>
  </si>
  <si>
    <t>0.9% SODIUM CHLORIDE INJ USP #2B0043</t>
  </si>
  <si>
    <t>Thirst, dry mouth, fatigue, dizziness, confusion, less frequent urination</t>
  </si>
  <si>
    <t>Approximately 5-10% of hospitalized patients experience dehydration</t>
  </si>
  <si>
    <t>Fluid and electrolyte imbalances can significantly affect quality of life, leading to complications; however, treatment with sodium chloride generally improves quality of life when properly administered.</t>
  </si>
  <si>
    <t>Very effective for rehydration and correcting electrolyte imbalances when administered properly.</t>
  </si>
  <si>
    <t>Generally safe, but must be monitored for electrolyte levels, fluid overload, and specific contraindications.</t>
  </si>
  <si>
    <t>Hypernatremia, fluid overload, hypertension, peripheral edema</t>
  </si>
  <si>
    <t>Approximately $300-$600 (cost can vary based on dosage and frequency of administration)</t>
  </si>
  <si>
    <t>All age groups; particularly used in infants, elderly, and hospitalized patients</t>
  </si>
  <si>
    <t>Electrolyte solution (including small molecules)</t>
  </si>
  <si>
    <t>TRAVASOL 10% W/O ELECTROLYTES 2000ML #1B6626P</t>
  </si>
  <si>
    <t>Weight loss, weakness, fatigue, impaired immune response, delayed wound healing, and muscle wasting.</t>
  </si>
  <si>
    <t>Approximately 3-7% of hospitalized patients are malnourished; this can rise to 30-50% in critically ill patients.</t>
  </si>
  <si>
    <t>Malnutrition significantly decreases quality of life, leading to increased fatigue, decreased muscle strength, and impaired physical and cognitive function.</t>
  </si>
  <si>
    <t>Effective in providing necessary nutrients and caloric intake for patients unable to meet their nutritional needs by standard means.</t>
  </si>
  <si>
    <t>Generally considered safe when administered correctly; monitoring is required for complications related to nutrient imbalances.</t>
  </si>
  <si>
    <t>Possible adverse events include hyperglycemia, electrolyte imbalance, gastrointestinal disturbances, and infection risks.</t>
  </si>
  <si>
    <t>Estimated at $3,000 to $8,000 depending on patient needs and duration of therapy.</t>
  </si>
  <si>
    <t>Used across all age groups, especially in pediatric and geriatric populations.</t>
  </si>
  <si>
    <t>Both genders are affected by malnutrition, though prevalence and outcomes can vary slightly based on underlying conditions.</t>
  </si>
  <si>
    <t>Parenteral nutrition (intravenous) solution.</t>
  </si>
  <si>
    <t>CLINIMIX 4.25%/D5W SULFIT FREE#2B7704</t>
  </si>
  <si>
    <t>Fatigue, weakness, weight loss, muscle wasting, immune dysfunction, delayed wound healing</t>
  </si>
  <si>
    <t>An estimated 3% of the U.S. population is affected by malnutrition, especially in the elderly and hospitalized patients.</t>
  </si>
  <si>
    <t>Poor quality of life associated with malnutrition, including diminished physical and cognitive function.</t>
  </si>
  <si>
    <t>Clinically shown to improve nutritional status in patients requiring parenteral nutrition; efficacy varies based on underlying conditions.</t>
  </si>
  <si>
    <t>Generally considered safe when used as directed; monitoring required for fluid and electrolyte balance.</t>
  </si>
  <si>
    <t>Potential adverse events include hyperglycemia, electrolyte imbalances, gastrointestinal disturbances, and infection risk at infusion sites.</t>
  </si>
  <si>
    <t>Average annual cost for parenteral nutrition can exceed $10,000, depending on the individual’s nutritional needs and care setting.</t>
  </si>
  <si>
    <t>Primarily used in adults and elderly, but can be applicable to pediatric patients as well.</t>
  </si>
  <si>
    <t>No gender-specific indications; used in both males and females.</t>
  </si>
  <si>
    <t>Parenteral nutrition solution (electrolytes, carbohydrates, amino acids).</t>
  </si>
  <si>
    <t>CLINIMIX 5%-D20W(SULFITE-FREE)#2B7710</t>
  </si>
  <si>
    <t>Symptoms may include unintentional weight loss, muscle wasting, weakness, fatigue, and an overall decline in health status due to nutrient deficiencies.</t>
  </si>
  <si>
    <t>Approximately 3% of the U.S. population experiences malnutrition, with higher rates in hospitalized patients and elderly individuals.</t>
  </si>
  <si>
    <t>Quality of life improves significantly with adequate nutritional support, as it helps restore strength and health.</t>
  </si>
  <si>
    <t>CLINIMIX generally shows good efficacy in improving nutritional status when used as directed.</t>
  </si>
  <si>
    <t>Generally considered safe when used appropriately; however, it should be used with caution in patients with certain conditions.</t>
  </si>
  <si>
    <t>Possible adverse events may include hyperglycemia, fluid overload, and infection at the catheter site.</t>
  </si>
  <si>
    <t>Estimated annual therapy costs can range from $5,000 to $20,000 depending on the patient's needs and duration of therapy.</t>
  </si>
  <si>
    <t>Used across all age groups, but particularly important in infants, children, and the elderly.</t>
  </si>
  <si>
    <t>Commonly used in both genders, with no specific gender-related usage patterns.</t>
  </si>
  <si>
    <t>Parenteral nutrition solution (not classified as a small molecule, gene therapy, or monoclonal antibody).</t>
  </si>
  <si>
    <t>DEXTROSE 5% INJ,BAG 100ML #EZPB0041</t>
  </si>
  <si>
    <t>Weakness, dizziness, confusion, irritability, excessive thirst, dry mouth, fatigue</t>
  </si>
  <si>
    <t>Varies widely depending on specific conditions; dehydration is common, affecting approximately 30% of hospitalized patients in the USA.</t>
  </si>
  <si>
    <t>Generally improves quality of life when used appropriately for managing hydration and glucose levels, particularly in elderly and critically ill patients.</t>
  </si>
  <si>
    <t>Highly effective for hydration and replenishing blood glucose levels, particularly in acute settings.</t>
  </si>
  <si>
    <t>Generally considered safe when used as directed; however, caution is needed in patients with specific conditions like diabetes.</t>
  </si>
  <si>
    <t>Possible adverse events include hyperglycemia, fluid overload, and electrolyte imbalances.</t>
  </si>
  <si>
    <t>Approximately $200-$500 depending on frequency of use and healthcare setting.</t>
  </si>
  <si>
    <t>All age groups, commonly used in pediatrics and geriatrics.</t>
  </si>
  <si>
    <t>No specific gender preference or difference in efficacy.</t>
  </si>
  <si>
    <t>Small molecule (dextrose solution).</t>
  </si>
  <si>
    <t>NEXTERONE 360MG/200ML PREMIX #2G3450</t>
  </si>
  <si>
    <t>Palpitations, dizziness, shortness of breath, chest pain, fainting, sudden cardiac arrest</t>
  </si>
  <si>
    <t>Approximately 1 in 300 adults will experience sudden cardiac arrest; specifics on ventricular arrhythmias are less defined but are significant among the population with heart conditions.</t>
  </si>
  <si>
    <t>Can be significantly impacted due to the risk of life-threatening events and ongoing management of heart conditions; quality of life may improve with effective treatment.</t>
  </si>
  <si>
    <t>Generally effective in managing symptomatic ventricular tachycardia and preventing recurrence.</t>
  </si>
  <si>
    <t>Overall considered safe when used as indicated, but requires monitoring due to potential for serious side effects.</t>
  </si>
  <si>
    <t>Common adverse events include hypotension, bradycardia, and infusion site reactions. Serious adverse events may include cardiac arrhythmias and liver damage.</t>
  </si>
  <si>
    <t>Estimated annual therapy costs can exceed $25,000; varies considerably based on the number of infusions and additional medications required.</t>
  </si>
  <si>
    <t>Primarily adults; however, may be used in pediatric patients in specific cases (such as congenital heart disease).</t>
  </si>
  <si>
    <t>Both males and females, but higher prevalence in males with a history of heart disease.</t>
  </si>
  <si>
    <t>Antiarrhythmic (specifically a class III agent) - intravenous formulation.</t>
  </si>
  <si>
    <t>Y-TYPE TUR IRRIGATION SET#2C4005</t>
  </si>
  <si>
    <t>Blood in urine, frequent urination, urgency, pelvic pain, difficulty urinating</t>
  </si>
  <si>
    <t>Bladder cancer affects about 19 per 100,000 men and 5 per 100,000 women annually; BPH is prevalent in approximately 50% of men over 50 years of age.</t>
  </si>
  <si>
    <t>Can be significantly affected due to symptoms such as incontinence and urinary obstruction.</t>
  </si>
  <si>
    <t>High efficacy in the removal of bladder tumors or treatment of obstructive symptoms in BPH undergoing TUR procedures.</t>
  </si>
  <si>
    <t>Generally safe when used properly; however, like any medical procedure or device, it carries some risk when used improperly.</t>
  </si>
  <si>
    <t>Possible complications include bleeding, infection, and fluid absorption issues in TUR procedures.</t>
  </si>
  <si>
    <t>Costs vary widely but can total upwards of $30,000 including surgery, follow-up, and complications.</t>
  </si>
  <si>
    <t>Typically used in adults, most common in men aged 60 years and older.</t>
  </si>
  <si>
    <t>More common in men, especially for BPH; bladder cancer affects both genders but is more prevalent in men.</t>
  </si>
  <si>
    <t>Medical device (not a drug); surgical tool for irrigation in TUR procedures.</t>
  </si>
  <si>
    <t>Y-TYPE TUR-BLADDER IRRIGATION#2C4041</t>
  </si>
  <si>
    <t>Hematuria (blood in urine), frequent urination, painful urination, pelvic pain, back pain</t>
  </si>
  <si>
    <t>Approximately 70,000 new cases annually in the USA</t>
  </si>
  <si>
    <t>Can be significantly affected by the disease; ongoing treatments and symptom management (e.g., urinary function, pain management) are crucial for maintaining quality of life.</t>
  </si>
  <si>
    <t>The efficacy of intravesical therapies (like Y-TYPE TUR-BLADDER IRRIGATION) is generally around 60-70% in reducing recurrence rates.</t>
  </si>
  <si>
    <t>Generally considered safe; however, careful patient selection is important to reduce complications.</t>
  </si>
  <si>
    <t>Common adverse events can include urinary tract infections, bladder irritation, and hematuria.</t>
  </si>
  <si>
    <t>Approximately $30,000 to $70,000 depending on the treatment regimen and patient's health status.</t>
  </si>
  <si>
    <t>Primarily affects adults, typically over 50 years old.</t>
  </si>
  <si>
    <t>More prevalent in men than women (4:1 ratio).</t>
  </si>
  <si>
    <t>Intravesical therapy (specific formulation for bladder irrigation during treatment).</t>
  </si>
  <si>
    <t>VALGANCICLOVIR HCL 450MG TAB</t>
  </si>
  <si>
    <t>Fever, fatigue, muscle aches, sore throat, swollen lymph nodes, and in severe cases, vision problems or organ dysfunction.</t>
  </si>
  <si>
    <t>Approximately 60-70% of the general population in the USA has evidence of prior CMV infection; however, the annual incidence in immunocompromised individuals can be significantly higher (up to 30% in transplant patients).</t>
  </si>
  <si>
    <t>CMV infection can lead to significant morbidity in affected individuals, including chronic health issues that can lower quality of life, particularly in immunocompromised patients.</t>
  </si>
  <si>
    <t>Valganciclovir is effective in reducing the incidence of CMV disease in at-risk patient populations; treatment efficacy ranges from 50-90% in preventing CMV disease post-transplant.</t>
  </si>
  <si>
    <t>Generally considered safe when monitored appropriately, but should be used with caution in patients with renal impairment or those on other nephrotoxic medications.</t>
  </si>
  <si>
    <t>Common adverse events include diarrhea, nausea, vomiting, headache, and hematologic effects such as leukopenia and thrombocytopenia. Rare but serious effects include seizures and renal toxicity.</t>
  </si>
  <si>
    <t>Approximately $10,000 - $25,000, depending on the duration of treatment and dosage.</t>
  </si>
  <si>
    <t>Primarily adults, including those receiving organ transplants or those with HIV/AIDS; can be used in pediatric patients who are immunocompromised.</t>
  </si>
  <si>
    <t>No specific gender predominance, though incidence correlates with underlying immunity conditions.</t>
  </si>
  <si>
    <t>Antiviral medication (small molecule).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</si>
</sst>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K1075"/>
  <sheetViews>
    <sheetView tabSelected="1" workbookViewId="0">
      <selection activeCell="C1" sqref="A1:XFD1"/>
    </sheetView>
  </sheetViews>
  <sheetFormatPr defaultRowHeight="14.5" x14ac:dyDescent="0.35"/>
  <cols>
    <col min="28" max="28" width="11.81640625" bestFit="1" customWidth="1"/>
    <col min="30" max="30" width="11.81640625" bestFit="1" customWidth="1"/>
    <col min="32" max="32" width="11.81640625" bestFit="1" customWidth="1"/>
    <col min="34" max="34" width="11.81640625" bestFit="1" customWidth="1"/>
    <col min="36" max="36" width="11.81640625" bestFit="1" customWidth="1"/>
  </cols>
  <sheetData>
    <row r="1" spans="1:37"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row>
    <row r="2" spans="1:37" x14ac:dyDescent="0.35">
      <c r="A2" t="s">
        <v>37</v>
      </c>
      <c r="B2">
        <v>15211.18</v>
      </c>
      <c r="C2" t="s">
        <v>38</v>
      </c>
      <c r="D2" t="s">
        <v>39</v>
      </c>
      <c r="E2" t="s">
        <v>40</v>
      </c>
      <c r="F2">
        <v>1.0000000000000001E-5</v>
      </c>
      <c r="G2" t="s">
        <v>41</v>
      </c>
      <c r="H2">
        <v>0.3</v>
      </c>
      <c r="I2">
        <v>0.1</v>
      </c>
      <c r="J2" t="s">
        <v>42</v>
      </c>
      <c r="K2" t="s">
        <v>43</v>
      </c>
      <c r="L2" t="s">
        <v>44</v>
      </c>
      <c r="M2" t="s">
        <v>45</v>
      </c>
      <c r="N2">
        <v>105785.82010430199</v>
      </c>
      <c r="O2">
        <v>107055.2499455536</v>
      </c>
      <c r="P2">
        <v>112086.8466929946</v>
      </c>
      <c r="Q2">
        <v>121053.79442843419</v>
      </c>
      <c r="R2">
        <v>126017</v>
      </c>
      <c r="S2" t="s">
        <v>46</v>
      </c>
      <c r="T2" t="s">
        <v>47</v>
      </c>
      <c r="U2" t="s">
        <v>48</v>
      </c>
      <c r="V2" t="s">
        <v>49</v>
      </c>
      <c r="W2">
        <v>338996155</v>
      </c>
      <c r="X2">
        <v>339500751</v>
      </c>
      <c r="Y2">
        <v>340560751</v>
      </c>
      <c r="Z2">
        <v>341660751</v>
      </c>
      <c r="AA2">
        <v>343660751</v>
      </c>
      <c r="AB2">
        <f>$W2*$N2*$F2</f>
        <v>358609862.68880081</v>
      </c>
      <c r="AC2">
        <f>$W2*$F2</f>
        <v>3389.9615500000004</v>
      </c>
      <c r="AD2">
        <f>$X2*$O2*$F2</f>
        <v>363453377.55008161</v>
      </c>
      <c r="AE2">
        <f>$X2*$F2</f>
        <v>3395.0075100000004</v>
      </c>
      <c r="AF2">
        <f>$Y2*$P2*$F2</f>
        <v>381723806.86988115</v>
      </c>
      <c r="AG2">
        <f>$Y2*$F2</f>
        <v>3405.6075100000003</v>
      </c>
      <c r="AH2">
        <f>$Z2*$Q2*$F2</f>
        <v>413593303.15818447</v>
      </c>
      <c r="AI2">
        <f>$Z2*$F2</f>
        <v>3416.6075100000003</v>
      </c>
      <c r="AJ2">
        <f>$AA2*$R2*$F2</f>
        <v>433070968.58767003</v>
      </c>
      <c r="AK2">
        <f>$AA2*$F2</f>
        <v>3436.6075100000003</v>
      </c>
    </row>
    <row r="3" spans="1:37" x14ac:dyDescent="0.35">
      <c r="A3" t="s">
        <v>50</v>
      </c>
      <c r="B3">
        <v>21768.880000000001</v>
      </c>
      <c r="C3" t="s">
        <v>38</v>
      </c>
      <c r="D3" t="s">
        <v>51</v>
      </c>
      <c r="E3" t="s">
        <v>52</v>
      </c>
      <c r="F3">
        <v>1.0000000000000001E-5</v>
      </c>
      <c r="G3" t="s">
        <v>53</v>
      </c>
      <c r="H3">
        <v>0.4</v>
      </c>
      <c r="I3">
        <v>0.5</v>
      </c>
      <c r="J3" t="s">
        <v>54</v>
      </c>
      <c r="K3" t="s">
        <v>55</v>
      </c>
      <c r="L3" t="s">
        <v>56</v>
      </c>
      <c r="M3" t="s">
        <v>57</v>
      </c>
      <c r="N3">
        <v>105785.82010430199</v>
      </c>
      <c r="O3">
        <v>107055.2499455536</v>
      </c>
      <c r="P3">
        <v>112086.8466929946</v>
      </c>
      <c r="Q3">
        <v>121053.79442843419</v>
      </c>
      <c r="R3">
        <v>126017</v>
      </c>
      <c r="S3" t="s">
        <v>58</v>
      </c>
      <c r="T3" t="s">
        <v>59</v>
      </c>
      <c r="U3" t="s">
        <v>60</v>
      </c>
      <c r="V3" t="s">
        <v>49</v>
      </c>
      <c r="W3">
        <v>338996155</v>
      </c>
      <c r="X3">
        <v>339500751</v>
      </c>
      <c r="Y3">
        <v>340560751</v>
      </c>
      <c r="Z3">
        <v>341660751</v>
      </c>
      <c r="AA3">
        <v>343660751</v>
      </c>
      <c r="AB3">
        <f t="shared" ref="AB3:AB66" si="0">$W3*$N3*$F3</f>
        <v>358609862.68880081</v>
      </c>
      <c r="AC3">
        <f t="shared" ref="AC3:AC66" si="1">$W3*$F3</f>
        <v>3389.9615500000004</v>
      </c>
      <c r="AD3">
        <f t="shared" ref="AD3:AD66" si="2">$X3*$O3*$F3</f>
        <v>363453377.55008161</v>
      </c>
      <c r="AE3">
        <f t="shared" ref="AE3:AE66" si="3">$X3*$F3</f>
        <v>3395.0075100000004</v>
      </c>
      <c r="AF3">
        <f t="shared" ref="AF3:AF66" si="4">$Y3*$P3*$F3</f>
        <v>381723806.86988115</v>
      </c>
      <c r="AG3">
        <f t="shared" ref="AG3:AG66" si="5">$Y3*$F3</f>
        <v>3405.6075100000003</v>
      </c>
      <c r="AH3">
        <f t="shared" ref="AH3:AH66" si="6">$Z3*$Q3*$F3</f>
        <v>413593303.15818447</v>
      </c>
      <c r="AI3">
        <f t="shared" ref="AI3:AI66" si="7">$Z3*$F3</f>
        <v>3416.6075100000003</v>
      </c>
      <c r="AJ3">
        <f t="shared" ref="AJ3:AJ66" si="8">$AA3*$R3*$F3</f>
        <v>433070968.58767003</v>
      </c>
      <c r="AK3">
        <f t="shared" ref="AK3:AK66" si="9">$AA3*$F3</f>
        <v>3436.6075100000003</v>
      </c>
    </row>
    <row r="4" spans="1:37" x14ac:dyDescent="0.35">
      <c r="A4" t="s">
        <v>61</v>
      </c>
      <c r="B4">
        <v>31098.400000000001</v>
      </c>
      <c r="C4" t="s">
        <v>38</v>
      </c>
      <c r="D4" t="s">
        <v>62</v>
      </c>
      <c r="E4" t="s">
        <v>63</v>
      </c>
      <c r="F4">
        <v>1.0000000000000001E-5</v>
      </c>
      <c r="G4" t="s">
        <v>64</v>
      </c>
      <c r="H4">
        <v>0.6</v>
      </c>
      <c r="I4">
        <v>0.25</v>
      </c>
      <c r="J4" t="s">
        <v>65</v>
      </c>
      <c r="K4" t="s">
        <v>66</v>
      </c>
      <c r="L4" t="s">
        <v>67</v>
      </c>
      <c r="M4" t="s">
        <v>68</v>
      </c>
      <c r="N4">
        <v>105785.82010430199</v>
      </c>
      <c r="O4">
        <v>107055.2499455536</v>
      </c>
      <c r="P4">
        <v>112086.8466929946</v>
      </c>
      <c r="Q4">
        <v>121053.79442843419</v>
      </c>
      <c r="R4">
        <v>126017</v>
      </c>
      <c r="S4" t="s">
        <v>69</v>
      </c>
      <c r="T4" t="s">
        <v>70</v>
      </c>
      <c r="U4" t="s">
        <v>71</v>
      </c>
      <c r="V4" t="s">
        <v>49</v>
      </c>
      <c r="W4">
        <v>338996155</v>
      </c>
      <c r="X4">
        <v>339500751</v>
      </c>
      <c r="Y4">
        <v>340560751</v>
      </c>
      <c r="Z4">
        <v>341660751</v>
      </c>
      <c r="AA4">
        <v>343660751</v>
      </c>
      <c r="AB4">
        <f t="shared" si="0"/>
        <v>358609862.68880081</v>
      </c>
      <c r="AC4">
        <f t="shared" si="1"/>
        <v>3389.9615500000004</v>
      </c>
      <c r="AD4">
        <f t="shared" si="2"/>
        <v>363453377.55008161</v>
      </c>
      <c r="AE4">
        <f t="shared" si="3"/>
        <v>3395.0075100000004</v>
      </c>
      <c r="AF4">
        <f t="shared" si="4"/>
        <v>381723806.86988115</v>
      </c>
      <c r="AG4">
        <f t="shared" si="5"/>
        <v>3405.6075100000003</v>
      </c>
      <c r="AH4">
        <f t="shared" si="6"/>
        <v>413593303.15818447</v>
      </c>
      <c r="AI4">
        <f t="shared" si="7"/>
        <v>3416.6075100000003</v>
      </c>
      <c r="AJ4">
        <f t="shared" si="8"/>
        <v>433070968.58767003</v>
      </c>
      <c r="AK4">
        <f t="shared" si="9"/>
        <v>3436.6075100000003</v>
      </c>
    </row>
    <row r="5" spans="1:37" x14ac:dyDescent="0.35">
      <c r="A5" t="s">
        <v>72</v>
      </c>
      <c r="B5">
        <v>54084.18</v>
      </c>
      <c r="C5" t="s">
        <v>38</v>
      </c>
      <c r="D5" t="s">
        <v>73</v>
      </c>
      <c r="E5" t="s">
        <v>74</v>
      </c>
      <c r="F5">
        <v>1.0000000000000001E-5</v>
      </c>
      <c r="G5" t="s">
        <v>75</v>
      </c>
      <c r="H5">
        <v>0.5</v>
      </c>
      <c r="I5">
        <v>0.3</v>
      </c>
      <c r="J5" t="s">
        <v>76</v>
      </c>
      <c r="K5" t="s">
        <v>77</v>
      </c>
      <c r="L5" t="s">
        <v>78</v>
      </c>
      <c r="M5" t="s">
        <v>79</v>
      </c>
      <c r="N5">
        <v>105785.82010430199</v>
      </c>
      <c r="O5">
        <v>107055.2499455536</v>
      </c>
      <c r="P5">
        <v>112086.8466929946</v>
      </c>
      <c r="Q5">
        <v>121053.79442843419</v>
      </c>
      <c r="R5">
        <v>126017</v>
      </c>
      <c r="S5" t="s">
        <v>80</v>
      </c>
      <c r="T5" t="s">
        <v>47</v>
      </c>
      <c r="U5" t="s">
        <v>81</v>
      </c>
      <c r="V5" t="s">
        <v>49</v>
      </c>
      <c r="W5">
        <v>338996155</v>
      </c>
      <c r="X5">
        <v>339500751</v>
      </c>
      <c r="Y5">
        <v>340560751</v>
      </c>
      <c r="Z5">
        <v>341660751</v>
      </c>
      <c r="AA5">
        <v>343660751</v>
      </c>
      <c r="AB5">
        <f t="shared" si="0"/>
        <v>358609862.68880081</v>
      </c>
      <c r="AC5">
        <f t="shared" si="1"/>
        <v>3389.9615500000004</v>
      </c>
      <c r="AD5">
        <f t="shared" si="2"/>
        <v>363453377.55008161</v>
      </c>
      <c r="AE5">
        <f t="shared" si="3"/>
        <v>3395.0075100000004</v>
      </c>
      <c r="AF5">
        <f t="shared" si="4"/>
        <v>381723806.86988115</v>
      </c>
      <c r="AG5">
        <f t="shared" si="5"/>
        <v>3405.6075100000003</v>
      </c>
      <c r="AH5">
        <f t="shared" si="6"/>
        <v>413593303.15818447</v>
      </c>
      <c r="AI5">
        <f t="shared" si="7"/>
        <v>3416.6075100000003</v>
      </c>
      <c r="AJ5">
        <f t="shared" si="8"/>
        <v>433070968.58767003</v>
      </c>
      <c r="AK5">
        <f t="shared" si="9"/>
        <v>3436.6075100000003</v>
      </c>
    </row>
    <row r="6" spans="1:37" x14ac:dyDescent="0.35">
      <c r="A6" t="s">
        <v>82</v>
      </c>
      <c r="B6">
        <v>58.15</v>
      </c>
      <c r="C6" t="s">
        <v>83</v>
      </c>
      <c r="D6" t="s">
        <v>84</v>
      </c>
      <c r="E6" t="s">
        <v>85</v>
      </c>
      <c r="F6">
        <v>4.5999999999999999E-2</v>
      </c>
      <c r="G6" t="s">
        <v>86</v>
      </c>
      <c r="H6">
        <v>10.199999999999999</v>
      </c>
      <c r="J6" t="s">
        <v>87</v>
      </c>
      <c r="K6" t="s">
        <v>88</v>
      </c>
      <c r="L6" t="s">
        <v>89</v>
      </c>
      <c r="M6" t="s">
        <v>90</v>
      </c>
      <c r="N6">
        <v>963.93530786561541</v>
      </c>
      <c r="O6">
        <v>975.50253156000281</v>
      </c>
      <c r="P6">
        <v>1021.351150543323</v>
      </c>
      <c r="Q6">
        <v>1103.059242586789</v>
      </c>
      <c r="R6">
        <v>1148.2846715328469</v>
      </c>
      <c r="S6" t="s">
        <v>91</v>
      </c>
      <c r="T6" t="s">
        <v>92</v>
      </c>
      <c r="U6" t="s">
        <v>93</v>
      </c>
      <c r="V6" t="s">
        <v>94</v>
      </c>
      <c r="W6">
        <v>265472419.80000001</v>
      </c>
      <c r="X6">
        <v>266439117.80000001</v>
      </c>
      <c r="Y6">
        <v>267499117.80000001</v>
      </c>
      <c r="Z6">
        <v>268599117.80000001</v>
      </c>
      <c r="AA6">
        <v>270179117.80000001</v>
      </c>
      <c r="AB6">
        <f t="shared" si="0"/>
        <v>11771318980.648174</v>
      </c>
      <c r="AC6">
        <f t="shared" si="1"/>
        <v>12211731.310800001</v>
      </c>
      <c r="AD6">
        <f t="shared" si="2"/>
        <v>11955953560.343636</v>
      </c>
      <c r="AE6">
        <f t="shared" si="3"/>
        <v>12256199.4188</v>
      </c>
      <c r="AF6">
        <f t="shared" si="4"/>
        <v>12567684459.780279</v>
      </c>
      <c r="AG6">
        <f t="shared" si="5"/>
        <v>12304959.4188</v>
      </c>
      <c r="AH6">
        <f t="shared" si="6"/>
        <v>13628914014.237593</v>
      </c>
      <c r="AI6">
        <f t="shared" si="7"/>
        <v>12355559.4188</v>
      </c>
      <c r="AJ6">
        <f t="shared" si="8"/>
        <v>14271156818.748339</v>
      </c>
      <c r="AK6">
        <f t="shared" si="9"/>
        <v>12428239.4188</v>
      </c>
    </row>
    <row r="7" spans="1:37" x14ac:dyDescent="0.35">
      <c r="A7" t="s">
        <v>95</v>
      </c>
      <c r="B7">
        <v>60.51</v>
      </c>
      <c r="C7" t="s">
        <v>83</v>
      </c>
      <c r="D7" t="s">
        <v>84</v>
      </c>
      <c r="E7" t="s">
        <v>96</v>
      </c>
      <c r="F7">
        <v>4.5999999999999999E-2</v>
      </c>
      <c r="G7" t="s">
        <v>97</v>
      </c>
      <c r="H7">
        <v>0.3</v>
      </c>
      <c r="I7">
        <v>10.3</v>
      </c>
      <c r="J7" t="s">
        <v>98</v>
      </c>
      <c r="K7" t="s">
        <v>99</v>
      </c>
      <c r="L7" t="s">
        <v>100</v>
      </c>
      <c r="M7" t="s">
        <v>101</v>
      </c>
      <c r="N7">
        <v>963.93530786561541</v>
      </c>
      <c r="O7">
        <v>975.50253156000281</v>
      </c>
      <c r="P7">
        <v>1021.351150543323</v>
      </c>
      <c r="Q7">
        <v>1103.059242586789</v>
      </c>
      <c r="R7">
        <v>1148.2846715328469</v>
      </c>
      <c r="S7" t="s">
        <v>102</v>
      </c>
      <c r="T7" t="s">
        <v>103</v>
      </c>
      <c r="U7" t="s">
        <v>104</v>
      </c>
      <c r="V7" t="s">
        <v>94</v>
      </c>
      <c r="W7">
        <v>265472419.80000001</v>
      </c>
      <c r="X7">
        <v>266439117.80000001</v>
      </c>
      <c r="Y7">
        <v>267499117.80000001</v>
      </c>
      <c r="Z7">
        <v>268599117.80000001</v>
      </c>
      <c r="AA7">
        <v>270179117.80000001</v>
      </c>
      <c r="AB7">
        <f t="shared" si="0"/>
        <v>11771318980.648174</v>
      </c>
      <c r="AC7">
        <f t="shared" si="1"/>
        <v>12211731.310800001</v>
      </c>
      <c r="AD7">
        <f t="shared" si="2"/>
        <v>11955953560.343636</v>
      </c>
      <c r="AE7">
        <f t="shared" si="3"/>
        <v>12256199.4188</v>
      </c>
      <c r="AF7">
        <f t="shared" si="4"/>
        <v>12567684459.780279</v>
      </c>
      <c r="AG7">
        <f t="shared" si="5"/>
        <v>12304959.4188</v>
      </c>
      <c r="AH7">
        <f t="shared" si="6"/>
        <v>13628914014.237593</v>
      </c>
      <c r="AI7">
        <f t="shared" si="7"/>
        <v>12355559.4188</v>
      </c>
      <c r="AJ7">
        <f t="shared" si="8"/>
        <v>14271156818.748339</v>
      </c>
      <c r="AK7">
        <f t="shared" si="9"/>
        <v>12428239.4188</v>
      </c>
    </row>
    <row r="8" spans="1:37" x14ac:dyDescent="0.35">
      <c r="A8" t="s">
        <v>105</v>
      </c>
      <c r="B8">
        <v>58.53</v>
      </c>
      <c r="C8" t="s">
        <v>83</v>
      </c>
      <c r="D8" t="s">
        <v>106</v>
      </c>
      <c r="E8" t="s">
        <v>107</v>
      </c>
      <c r="F8">
        <v>4.5999999999999999E-2</v>
      </c>
      <c r="G8" t="s">
        <v>108</v>
      </c>
      <c r="H8">
        <v>0.3</v>
      </c>
      <c r="I8">
        <v>0.15</v>
      </c>
      <c r="J8" t="s">
        <v>109</v>
      </c>
      <c r="K8" t="s">
        <v>110</v>
      </c>
      <c r="L8" t="s">
        <v>111</v>
      </c>
      <c r="M8" t="s">
        <v>112</v>
      </c>
      <c r="N8">
        <v>963.93530786561541</v>
      </c>
      <c r="O8">
        <v>975.50253156000281</v>
      </c>
      <c r="P8">
        <v>1021.351150543323</v>
      </c>
      <c r="Q8">
        <v>1103.059242586789</v>
      </c>
      <c r="R8">
        <v>1148.2846715328469</v>
      </c>
      <c r="S8" t="s">
        <v>113</v>
      </c>
      <c r="T8" t="s">
        <v>114</v>
      </c>
      <c r="U8" t="s">
        <v>115</v>
      </c>
      <c r="V8" t="s">
        <v>94</v>
      </c>
      <c r="W8">
        <v>265472419.80000001</v>
      </c>
      <c r="X8">
        <v>266439117.80000001</v>
      </c>
      <c r="Y8">
        <v>267499117.80000001</v>
      </c>
      <c r="Z8">
        <v>268599117.80000001</v>
      </c>
      <c r="AA8">
        <v>270179117.80000001</v>
      </c>
      <c r="AB8">
        <f t="shared" si="0"/>
        <v>11771318980.648174</v>
      </c>
      <c r="AC8">
        <f t="shared" si="1"/>
        <v>12211731.310800001</v>
      </c>
      <c r="AD8">
        <f t="shared" si="2"/>
        <v>11955953560.343636</v>
      </c>
      <c r="AE8">
        <f t="shared" si="3"/>
        <v>12256199.4188</v>
      </c>
      <c r="AF8">
        <f t="shared" si="4"/>
        <v>12567684459.780279</v>
      </c>
      <c r="AG8">
        <f t="shared" si="5"/>
        <v>12304959.4188</v>
      </c>
      <c r="AH8">
        <f t="shared" si="6"/>
        <v>13628914014.237593</v>
      </c>
      <c r="AI8">
        <f t="shared" si="7"/>
        <v>12355559.4188</v>
      </c>
      <c r="AJ8">
        <f t="shared" si="8"/>
        <v>14271156818.748339</v>
      </c>
      <c r="AK8">
        <f t="shared" si="9"/>
        <v>12428239.4188</v>
      </c>
    </row>
    <row r="9" spans="1:37" x14ac:dyDescent="0.35">
      <c r="A9" t="s">
        <v>116</v>
      </c>
      <c r="B9">
        <v>57.5</v>
      </c>
      <c r="C9" t="s">
        <v>83</v>
      </c>
      <c r="D9" t="s">
        <v>117</v>
      </c>
      <c r="E9" t="s">
        <v>118</v>
      </c>
      <c r="F9">
        <v>4.5999999999999999E-2</v>
      </c>
      <c r="G9" t="s">
        <v>119</v>
      </c>
      <c r="H9">
        <v>0.1</v>
      </c>
      <c r="I9">
        <v>0.05</v>
      </c>
      <c r="J9" t="s">
        <v>120</v>
      </c>
      <c r="K9" t="s">
        <v>121</v>
      </c>
      <c r="L9" t="s">
        <v>122</v>
      </c>
      <c r="M9" t="s">
        <v>123</v>
      </c>
      <c r="N9">
        <v>963.93530786561541</v>
      </c>
      <c r="O9">
        <v>975.50253156000281</v>
      </c>
      <c r="P9">
        <v>1021.351150543323</v>
      </c>
      <c r="Q9">
        <v>1103.059242586789</v>
      </c>
      <c r="R9">
        <v>1148.2846715328469</v>
      </c>
      <c r="S9" t="s">
        <v>124</v>
      </c>
      <c r="T9" t="s">
        <v>125</v>
      </c>
      <c r="U9" t="s">
        <v>126</v>
      </c>
      <c r="V9" t="s">
        <v>94</v>
      </c>
      <c r="W9">
        <v>265472419.80000001</v>
      </c>
      <c r="X9">
        <v>266439117.80000001</v>
      </c>
      <c r="Y9">
        <v>267499117.80000001</v>
      </c>
      <c r="Z9">
        <v>268599117.80000001</v>
      </c>
      <c r="AA9">
        <v>270179117.80000001</v>
      </c>
      <c r="AB9">
        <f t="shared" si="0"/>
        <v>11771318980.648174</v>
      </c>
      <c r="AC9">
        <f t="shared" si="1"/>
        <v>12211731.310800001</v>
      </c>
      <c r="AD9">
        <f t="shared" si="2"/>
        <v>11955953560.343636</v>
      </c>
      <c r="AE9">
        <f t="shared" si="3"/>
        <v>12256199.4188</v>
      </c>
      <c r="AF9">
        <f t="shared" si="4"/>
        <v>12567684459.780279</v>
      </c>
      <c r="AG9">
        <f t="shared" si="5"/>
        <v>12304959.4188</v>
      </c>
      <c r="AH9">
        <f t="shared" si="6"/>
        <v>13628914014.237593</v>
      </c>
      <c r="AI9">
        <f t="shared" si="7"/>
        <v>12355559.4188</v>
      </c>
      <c r="AJ9">
        <f t="shared" si="8"/>
        <v>14271156818.748339</v>
      </c>
      <c r="AK9">
        <f t="shared" si="9"/>
        <v>12428239.4188</v>
      </c>
    </row>
    <row r="10" spans="1:37" x14ac:dyDescent="0.35">
      <c r="A10" t="s">
        <v>127</v>
      </c>
      <c r="B10">
        <v>56.82</v>
      </c>
      <c r="C10" t="s">
        <v>83</v>
      </c>
      <c r="D10" t="s">
        <v>128</v>
      </c>
      <c r="E10" t="s">
        <v>129</v>
      </c>
      <c r="F10">
        <v>4.5999999999999999E-2</v>
      </c>
      <c r="G10" t="s">
        <v>130</v>
      </c>
      <c r="H10">
        <v>0.2</v>
      </c>
      <c r="I10">
        <v>0.05</v>
      </c>
      <c r="J10" t="s">
        <v>131</v>
      </c>
      <c r="K10" t="s">
        <v>132</v>
      </c>
      <c r="L10" t="s">
        <v>133</v>
      </c>
      <c r="M10" t="s">
        <v>134</v>
      </c>
      <c r="N10">
        <v>963.93530786561541</v>
      </c>
      <c r="O10">
        <v>975.50253156000281</v>
      </c>
      <c r="P10">
        <v>1021.351150543323</v>
      </c>
      <c r="Q10">
        <v>1103.059242586789</v>
      </c>
      <c r="R10">
        <v>1148.2846715328469</v>
      </c>
      <c r="S10" t="s">
        <v>135</v>
      </c>
      <c r="T10" t="s">
        <v>136</v>
      </c>
      <c r="U10" t="s">
        <v>137</v>
      </c>
      <c r="V10" t="s">
        <v>94</v>
      </c>
      <c r="W10">
        <v>265472419.80000001</v>
      </c>
      <c r="X10">
        <v>266439117.80000001</v>
      </c>
      <c r="Y10">
        <v>267499117.80000001</v>
      </c>
      <c r="Z10">
        <v>268599117.80000001</v>
      </c>
      <c r="AA10">
        <v>270179117.80000001</v>
      </c>
      <c r="AB10">
        <f t="shared" si="0"/>
        <v>11771318980.648174</v>
      </c>
      <c r="AC10">
        <f t="shared" si="1"/>
        <v>12211731.310800001</v>
      </c>
      <c r="AD10">
        <f t="shared" si="2"/>
        <v>11955953560.343636</v>
      </c>
      <c r="AE10">
        <f t="shared" si="3"/>
        <v>12256199.4188</v>
      </c>
      <c r="AF10">
        <f t="shared" si="4"/>
        <v>12567684459.780279</v>
      </c>
      <c r="AG10">
        <f t="shared" si="5"/>
        <v>12304959.4188</v>
      </c>
      <c r="AH10">
        <f t="shared" si="6"/>
        <v>13628914014.237593</v>
      </c>
      <c r="AI10">
        <f t="shared" si="7"/>
        <v>12355559.4188</v>
      </c>
      <c r="AJ10">
        <f t="shared" si="8"/>
        <v>14271156818.748339</v>
      </c>
      <c r="AK10">
        <f t="shared" si="9"/>
        <v>12428239.4188</v>
      </c>
    </row>
    <row r="11" spans="1:37" x14ac:dyDescent="0.35">
      <c r="A11" t="s">
        <v>138</v>
      </c>
      <c r="B11">
        <v>56.47</v>
      </c>
      <c r="C11" t="s">
        <v>83</v>
      </c>
      <c r="D11" t="s">
        <v>139</v>
      </c>
      <c r="E11" t="s">
        <v>140</v>
      </c>
      <c r="F11">
        <v>4.5999999999999999E-2</v>
      </c>
      <c r="G11" t="s">
        <v>141</v>
      </c>
      <c r="H11">
        <v>0.15</v>
      </c>
      <c r="I11">
        <v>0.01</v>
      </c>
      <c r="J11" t="s">
        <v>142</v>
      </c>
      <c r="K11" t="s">
        <v>143</v>
      </c>
      <c r="L11" t="s">
        <v>144</v>
      </c>
      <c r="M11" t="s">
        <v>145</v>
      </c>
      <c r="N11">
        <v>963.93530786561541</v>
      </c>
      <c r="O11">
        <v>975.50253156000281</v>
      </c>
      <c r="P11">
        <v>1021.351150543323</v>
      </c>
      <c r="Q11">
        <v>1103.059242586789</v>
      </c>
      <c r="R11">
        <v>1148.2846715328469</v>
      </c>
      <c r="S11" t="s">
        <v>146</v>
      </c>
      <c r="T11" t="s">
        <v>147</v>
      </c>
      <c r="U11" t="s">
        <v>126</v>
      </c>
      <c r="V11" t="s">
        <v>94</v>
      </c>
      <c r="W11">
        <v>265472419.80000001</v>
      </c>
      <c r="X11">
        <v>266439117.80000001</v>
      </c>
      <c r="Y11">
        <v>267499117.80000001</v>
      </c>
      <c r="Z11">
        <v>268599117.80000001</v>
      </c>
      <c r="AA11">
        <v>270179117.80000001</v>
      </c>
      <c r="AB11">
        <f t="shared" si="0"/>
        <v>11771318980.648174</v>
      </c>
      <c r="AC11">
        <f t="shared" si="1"/>
        <v>12211731.310800001</v>
      </c>
      <c r="AD11">
        <f t="shared" si="2"/>
        <v>11955953560.343636</v>
      </c>
      <c r="AE11">
        <f t="shared" si="3"/>
        <v>12256199.4188</v>
      </c>
      <c r="AF11">
        <f t="shared" si="4"/>
        <v>12567684459.780279</v>
      </c>
      <c r="AG11">
        <f t="shared" si="5"/>
        <v>12304959.4188</v>
      </c>
      <c r="AH11">
        <f t="shared" si="6"/>
        <v>13628914014.237593</v>
      </c>
      <c r="AI11">
        <f t="shared" si="7"/>
        <v>12355559.4188</v>
      </c>
      <c r="AJ11">
        <f t="shared" si="8"/>
        <v>14271156818.748339</v>
      </c>
      <c r="AK11">
        <f t="shared" si="9"/>
        <v>12428239.4188</v>
      </c>
    </row>
    <row r="12" spans="1:37" x14ac:dyDescent="0.35">
      <c r="A12" t="s">
        <v>148</v>
      </c>
      <c r="B12">
        <v>60.79</v>
      </c>
      <c r="C12" t="s">
        <v>83</v>
      </c>
      <c r="D12" t="s">
        <v>149</v>
      </c>
      <c r="E12" t="s">
        <v>150</v>
      </c>
      <c r="F12">
        <v>4.5999999999999999E-2</v>
      </c>
      <c r="G12" t="s">
        <v>151</v>
      </c>
      <c r="H12">
        <v>15.2</v>
      </c>
      <c r="I12">
        <v>15.2</v>
      </c>
      <c r="J12" t="s">
        <v>152</v>
      </c>
      <c r="K12" t="s">
        <v>153</v>
      </c>
      <c r="L12" t="s">
        <v>154</v>
      </c>
      <c r="M12" t="s">
        <v>155</v>
      </c>
      <c r="N12">
        <v>963.93530786561541</v>
      </c>
      <c r="O12">
        <v>975.50253156000281</v>
      </c>
      <c r="P12">
        <v>1021.351150543323</v>
      </c>
      <c r="Q12">
        <v>1103.059242586789</v>
      </c>
      <c r="R12">
        <v>1148.2846715328469</v>
      </c>
      <c r="S12" t="s">
        <v>156</v>
      </c>
      <c r="T12" t="s">
        <v>157</v>
      </c>
      <c r="U12" t="s">
        <v>115</v>
      </c>
      <c r="V12" t="s">
        <v>94</v>
      </c>
      <c r="W12">
        <v>265472419.80000001</v>
      </c>
      <c r="X12">
        <v>266439117.80000001</v>
      </c>
      <c r="Y12">
        <v>267499117.80000001</v>
      </c>
      <c r="Z12">
        <v>268599117.80000001</v>
      </c>
      <c r="AA12">
        <v>270179117.80000001</v>
      </c>
      <c r="AB12">
        <f t="shared" si="0"/>
        <v>11771318980.648174</v>
      </c>
      <c r="AC12">
        <f t="shared" si="1"/>
        <v>12211731.310800001</v>
      </c>
      <c r="AD12">
        <f t="shared" si="2"/>
        <v>11955953560.343636</v>
      </c>
      <c r="AE12">
        <f t="shared" si="3"/>
        <v>12256199.4188</v>
      </c>
      <c r="AF12">
        <f t="shared" si="4"/>
        <v>12567684459.780279</v>
      </c>
      <c r="AG12">
        <f t="shared" si="5"/>
        <v>12304959.4188</v>
      </c>
      <c r="AH12">
        <f t="shared" si="6"/>
        <v>13628914014.237593</v>
      </c>
      <c r="AI12">
        <f t="shared" si="7"/>
        <v>12355559.4188</v>
      </c>
      <c r="AJ12">
        <f t="shared" si="8"/>
        <v>14271156818.748339</v>
      </c>
      <c r="AK12">
        <f t="shared" si="9"/>
        <v>12428239.4188</v>
      </c>
    </row>
    <row r="13" spans="1:37" x14ac:dyDescent="0.35">
      <c r="A13" t="s">
        <v>158</v>
      </c>
      <c r="B13">
        <v>54.34</v>
      </c>
      <c r="C13" t="s">
        <v>83</v>
      </c>
      <c r="D13" t="s">
        <v>159</v>
      </c>
      <c r="E13" t="s">
        <v>118</v>
      </c>
      <c r="F13">
        <v>4.5999999999999999E-2</v>
      </c>
      <c r="G13" t="s">
        <v>160</v>
      </c>
      <c r="H13">
        <v>0.2</v>
      </c>
      <c r="I13">
        <v>0.11</v>
      </c>
      <c r="J13" t="s">
        <v>161</v>
      </c>
      <c r="K13" t="s">
        <v>162</v>
      </c>
      <c r="L13" t="s">
        <v>163</v>
      </c>
      <c r="M13" t="s">
        <v>164</v>
      </c>
      <c r="N13">
        <v>963.93530786561541</v>
      </c>
      <c r="O13">
        <v>975.50253156000281</v>
      </c>
      <c r="P13">
        <v>1021.351150543323</v>
      </c>
      <c r="Q13">
        <v>1103.059242586789</v>
      </c>
      <c r="R13">
        <v>1148.2846715328469</v>
      </c>
      <c r="S13" t="s">
        <v>165</v>
      </c>
      <c r="T13" t="s">
        <v>166</v>
      </c>
      <c r="U13" t="s">
        <v>126</v>
      </c>
      <c r="V13" t="s">
        <v>94</v>
      </c>
      <c r="W13">
        <v>265472419.80000001</v>
      </c>
      <c r="X13">
        <v>266439117.80000001</v>
      </c>
      <c r="Y13">
        <v>267499117.80000001</v>
      </c>
      <c r="Z13">
        <v>268599117.80000001</v>
      </c>
      <c r="AA13">
        <v>270179117.80000001</v>
      </c>
      <c r="AB13">
        <f t="shared" si="0"/>
        <v>11771318980.648174</v>
      </c>
      <c r="AC13">
        <f t="shared" si="1"/>
        <v>12211731.310800001</v>
      </c>
      <c r="AD13">
        <f t="shared" si="2"/>
        <v>11955953560.343636</v>
      </c>
      <c r="AE13">
        <f t="shared" si="3"/>
        <v>12256199.4188</v>
      </c>
      <c r="AF13">
        <f t="shared" si="4"/>
        <v>12567684459.780279</v>
      </c>
      <c r="AG13">
        <f t="shared" si="5"/>
        <v>12304959.4188</v>
      </c>
      <c r="AH13">
        <f t="shared" si="6"/>
        <v>13628914014.237593</v>
      </c>
      <c r="AI13">
        <f t="shared" si="7"/>
        <v>12355559.4188</v>
      </c>
      <c r="AJ13">
        <f t="shared" si="8"/>
        <v>14271156818.748339</v>
      </c>
      <c r="AK13">
        <f t="shared" si="9"/>
        <v>12428239.4188</v>
      </c>
    </row>
    <row r="14" spans="1:37" x14ac:dyDescent="0.35">
      <c r="A14" t="s">
        <v>167</v>
      </c>
      <c r="B14">
        <v>56.19</v>
      </c>
      <c r="C14" t="s">
        <v>83</v>
      </c>
      <c r="D14" t="s">
        <v>84</v>
      </c>
      <c r="E14" t="s">
        <v>168</v>
      </c>
      <c r="F14">
        <v>4.5999999999999999E-2</v>
      </c>
      <c r="G14" t="s">
        <v>169</v>
      </c>
      <c r="H14">
        <v>0.1</v>
      </c>
      <c r="I14">
        <v>0.12</v>
      </c>
      <c r="J14" t="s">
        <v>170</v>
      </c>
      <c r="K14" t="s">
        <v>171</v>
      </c>
      <c r="L14" t="s">
        <v>172</v>
      </c>
      <c r="M14" t="s">
        <v>173</v>
      </c>
      <c r="N14">
        <v>963.93530786561541</v>
      </c>
      <c r="O14">
        <v>975.50253156000281</v>
      </c>
      <c r="P14">
        <v>1021.351150543323</v>
      </c>
      <c r="Q14">
        <v>1103.059242586789</v>
      </c>
      <c r="R14">
        <v>1148.2846715328469</v>
      </c>
      <c r="S14" t="s">
        <v>174</v>
      </c>
      <c r="T14" t="s">
        <v>175</v>
      </c>
      <c r="U14" t="s">
        <v>176</v>
      </c>
      <c r="V14" t="s">
        <v>94</v>
      </c>
      <c r="W14">
        <v>265472419.80000001</v>
      </c>
      <c r="X14">
        <v>266439117.80000001</v>
      </c>
      <c r="Y14">
        <v>267499117.80000001</v>
      </c>
      <c r="Z14">
        <v>268599117.80000001</v>
      </c>
      <c r="AA14">
        <v>270179117.80000001</v>
      </c>
      <c r="AB14">
        <f t="shared" si="0"/>
        <v>11771318980.648174</v>
      </c>
      <c r="AC14">
        <f t="shared" si="1"/>
        <v>12211731.310800001</v>
      </c>
      <c r="AD14">
        <f t="shared" si="2"/>
        <v>11955953560.343636</v>
      </c>
      <c r="AE14">
        <f t="shared" si="3"/>
        <v>12256199.4188</v>
      </c>
      <c r="AF14">
        <f t="shared" si="4"/>
        <v>12567684459.780279</v>
      </c>
      <c r="AG14">
        <f t="shared" si="5"/>
        <v>12304959.4188</v>
      </c>
      <c r="AH14">
        <f t="shared" si="6"/>
        <v>13628914014.237593</v>
      </c>
      <c r="AI14">
        <f t="shared" si="7"/>
        <v>12355559.4188</v>
      </c>
      <c r="AJ14">
        <f t="shared" si="8"/>
        <v>14271156818.748339</v>
      </c>
      <c r="AK14">
        <f t="shared" si="9"/>
        <v>12428239.4188</v>
      </c>
    </row>
    <row r="15" spans="1:37" x14ac:dyDescent="0.35">
      <c r="A15" t="s">
        <v>177</v>
      </c>
      <c r="B15">
        <v>55.62</v>
      </c>
      <c r="C15" t="s">
        <v>83</v>
      </c>
      <c r="D15" t="s">
        <v>178</v>
      </c>
      <c r="E15" t="s">
        <v>179</v>
      </c>
      <c r="F15">
        <v>4.5999999999999999E-2</v>
      </c>
      <c r="G15" t="s">
        <v>180</v>
      </c>
      <c r="H15">
        <v>0.2</v>
      </c>
      <c r="J15" t="s">
        <v>181</v>
      </c>
      <c r="K15" t="s">
        <v>182</v>
      </c>
      <c r="L15" t="s">
        <v>183</v>
      </c>
      <c r="M15" t="s">
        <v>184</v>
      </c>
      <c r="N15">
        <v>963.93530786561541</v>
      </c>
      <c r="O15">
        <v>975.50253156000281</v>
      </c>
      <c r="P15">
        <v>1021.351150543323</v>
      </c>
      <c r="Q15">
        <v>1103.059242586789</v>
      </c>
      <c r="R15">
        <v>1148.2846715328469</v>
      </c>
      <c r="S15" t="s">
        <v>185</v>
      </c>
      <c r="T15" t="s">
        <v>186</v>
      </c>
      <c r="U15" t="s">
        <v>115</v>
      </c>
      <c r="V15" t="s">
        <v>94</v>
      </c>
      <c r="W15">
        <v>265472419.80000001</v>
      </c>
      <c r="X15">
        <v>266439117.80000001</v>
      </c>
      <c r="Y15">
        <v>267499117.80000001</v>
      </c>
      <c r="Z15">
        <v>268599117.80000001</v>
      </c>
      <c r="AA15">
        <v>270179117.80000001</v>
      </c>
      <c r="AB15">
        <f t="shared" si="0"/>
        <v>11771318980.648174</v>
      </c>
      <c r="AC15">
        <f t="shared" si="1"/>
        <v>12211731.310800001</v>
      </c>
      <c r="AD15">
        <f t="shared" si="2"/>
        <v>11955953560.343636</v>
      </c>
      <c r="AE15">
        <f t="shared" si="3"/>
        <v>12256199.4188</v>
      </c>
      <c r="AF15">
        <f t="shared" si="4"/>
        <v>12567684459.780279</v>
      </c>
      <c r="AG15">
        <f t="shared" si="5"/>
        <v>12304959.4188</v>
      </c>
      <c r="AH15">
        <f t="shared" si="6"/>
        <v>13628914014.237593</v>
      </c>
      <c r="AI15">
        <f t="shared" si="7"/>
        <v>12355559.4188</v>
      </c>
      <c r="AJ15">
        <f t="shared" si="8"/>
        <v>14271156818.748339</v>
      </c>
      <c r="AK15">
        <f t="shared" si="9"/>
        <v>12428239.4188</v>
      </c>
    </row>
    <row r="16" spans="1:37" x14ac:dyDescent="0.35">
      <c r="A16" t="s">
        <v>187</v>
      </c>
      <c r="B16">
        <v>57.77</v>
      </c>
      <c r="C16" t="s">
        <v>83</v>
      </c>
      <c r="D16" t="s">
        <v>188</v>
      </c>
      <c r="E16" t="s">
        <v>189</v>
      </c>
      <c r="F16">
        <v>4.5999999999999999E-2</v>
      </c>
      <c r="G16" t="s">
        <v>190</v>
      </c>
      <c r="H16">
        <v>0.3</v>
      </c>
      <c r="I16">
        <v>0.1</v>
      </c>
      <c r="J16" t="s">
        <v>191</v>
      </c>
      <c r="K16" t="s">
        <v>192</v>
      </c>
      <c r="L16" t="s">
        <v>193</v>
      </c>
      <c r="M16" t="s">
        <v>194</v>
      </c>
      <c r="N16">
        <v>963.93530786561541</v>
      </c>
      <c r="O16">
        <v>975.50253156000281</v>
      </c>
      <c r="P16">
        <v>1021.351150543323</v>
      </c>
      <c r="Q16">
        <v>1103.059242586789</v>
      </c>
      <c r="R16">
        <v>1148.2846715328469</v>
      </c>
      <c r="S16" t="s">
        <v>195</v>
      </c>
      <c r="T16" t="s">
        <v>196</v>
      </c>
      <c r="U16" t="s">
        <v>137</v>
      </c>
      <c r="V16" t="s">
        <v>94</v>
      </c>
      <c r="W16">
        <v>265472419.80000001</v>
      </c>
      <c r="X16">
        <v>266439117.80000001</v>
      </c>
      <c r="Y16">
        <v>267499117.80000001</v>
      </c>
      <c r="Z16">
        <v>268599117.80000001</v>
      </c>
      <c r="AA16">
        <v>270179117.80000001</v>
      </c>
      <c r="AB16">
        <f t="shared" si="0"/>
        <v>11771318980.648174</v>
      </c>
      <c r="AC16">
        <f t="shared" si="1"/>
        <v>12211731.310800001</v>
      </c>
      <c r="AD16">
        <f t="shared" si="2"/>
        <v>11955953560.343636</v>
      </c>
      <c r="AE16">
        <f t="shared" si="3"/>
        <v>12256199.4188</v>
      </c>
      <c r="AF16">
        <f t="shared" si="4"/>
        <v>12567684459.780279</v>
      </c>
      <c r="AG16">
        <f t="shared" si="5"/>
        <v>12304959.4188</v>
      </c>
      <c r="AH16">
        <f t="shared" si="6"/>
        <v>13628914014.237593</v>
      </c>
      <c r="AI16">
        <f t="shared" si="7"/>
        <v>12355559.4188</v>
      </c>
      <c r="AJ16">
        <f t="shared" si="8"/>
        <v>14271156818.748339</v>
      </c>
      <c r="AK16">
        <f t="shared" si="9"/>
        <v>12428239.4188</v>
      </c>
    </row>
    <row r="17" spans="1:37" x14ac:dyDescent="0.35">
      <c r="A17" t="s">
        <v>197</v>
      </c>
      <c r="B17">
        <v>58.43</v>
      </c>
      <c r="C17" t="s">
        <v>83</v>
      </c>
      <c r="D17" t="s">
        <v>198</v>
      </c>
      <c r="E17" t="s">
        <v>199</v>
      </c>
      <c r="F17">
        <v>4.5999999999999999E-2</v>
      </c>
      <c r="G17" t="s">
        <v>200</v>
      </c>
      <c r="H17">
        <v>5.2</v>
      </c>
      <c r="I17">
        <v>0.15</v>
      </c>
      <c r="J17" t="s">
        <v>201</v>
      </c>
      <c r="K17" t="s">
        <v>202</v>
      </c>
      <c r="L17" t="s">
        <v>203</v>
      </c>
      <c r="M17" t="s">
        <v>204</v>
      </c>
      <c r="N17">
        <v>963.93530786561541</v>
      </c>
      <c r="O17">
        <v>975.50253156000281</v>
      </c>
      <c r="P17">
        <v>1021.351150543323</v>
      </c>
      <c r="Q17">
        <v>1103.059242586789</v>
      </c>
      <c r="R17">
        <v>1148.2846715328469</v>
      </c>
      <c r="S17" t="s">
        <v>205</v>
      </c>
      <c r="T17" t="s">
        <v>206</v>
      </c>
      <c r="U17" t="s">
        <v>115</v>
      </c>
      <c r="V17" t="s">
        <v>94</v>
      </c>
      <c r="W17">
        <v>265472419.80000001</v>
      </c>
      <c r="X17">
        <v>266439117.80000001</v>
      </c>
      <c r="Y17">
        <v>267499117.80000001</v>
      </c>
      <c r="Z17">
        <v>268599117.80000001</v>
      </c>
      <c r="AA17">
        <v>270179117.80000001</v>
      </c>
      <c r="AB17">
        <f t="shared" si="0"/>
        <v>11771318980.648174</v>
      </c>
      <c r="AC17">
        <f t="shared" si="1"/>
        <v>12211731.310800001</v>
      </c>
      <c r="AD17">
        <f t="shared" si="2"/>
        <v>11955953560.343636</v>
      </c>
      <c r="AE17">
        <f t="shared" si="3"/>
        <v>12256199.4188</v>
      </c>
      <c r="AF17">
        <f t="shared" si="4"/>
        <v>12567684459.780279</v>
      </c>
      <c r="AG17">
        <f t="shared" si="5"/>
        <v>12304959.4188</v>
      </c>
      <c r="AH17">
        <f t="shared" si="6"/>
        <v>13628914014.237593</v>
      </c>
      <c r="AI17">
        <f t="shared" si="7"/>
        <v>12355559.4188</v>
      </c>
      <c r="AJ17">
        <f t="shared" si="8"/>
        <v>14271156818.748339</v>
      </c>
      <c r="AK17">
        <f t="shared" si="9"/>
        <v>12428239.4188</v>
      </c>
    </row>
    <row r="18" spans="1:37" x14ac:dyDescent="0.35">
      <c r="A18" t="s">
        <v>207</v>
      </c>
      <c r="B18">
        <v>74.87</v>
      </c>
      <c r="C18" t="s">
        <v>208</v>
      </c>
      <c r="D18" t="s">
        <v>209</v>
      </c>
      <c r="E18" t="s">
        <v>210</v>
      </c>
      <c r="F18">
        <v>3.1E-2</v>
      </c>
      <c r="G18" t="s">
        <v>211</v>
      </c>
      <c r="H18">
        <v>0.3</v>
      </c>
      <c r="J18" t="s">
        <v>212</v>
      </c>
      <c r="K18" t="s">
        <v>213</v>
      </c>
      <c r="L18" t="s">
        <v>214</v>
      </c>
      <c r="M18" t="s">
        <v>215</v>
      </c>
      <c r="N18">
        <v>1106.1651733936201</v>
      </c>
      <c r="O18">
        <v>1119.4391554743429</v>
      </c>
      <c r="P18">
        <v>1172.0527957816371</v>
      </c>
      <c r="Q18">
        <v>1265.817019444168</v>
      </c>
      <c r="R18">
        <v>1317.7155172413791</v>
      </c>
      <c r="S18" t="s">
        <v>216</v>
      </c>
      <c r="T18" t="s">
        <v>217</v>
      </c>
      <c r="U18" t="s">
        <v>218</v>
      </c>
      <c r="V18" t="s">
        <v>94</v>
      </c>
      <c r="W18">
        <v>265472419.80000001</v>
      </c>
      <c r="X18">
        <v>266439117.80000001</v>
      </c>
      <c r="Y18">
        <v>267499117.80000001</v>
      </c>
      <c r="Z18">
        <v>268599117.80000001</v>
      </c>
      <c r="AA18">
        <v>270179117.80000001</v>
      </c>
      <c r="AB18">
        <f t="shared" si="0"/>
        <v>9103346703.6580181</v>
      </c>
      <c r="AC18">
        <f t="shared" si="1"/>
        <v>8229645.0138000008</v>
      </c>
      <c r="AD18">
        <f t="shared" si="2"/>
        <v>9246133811.4761906</v>
      </c>
      <c r="AE18">
        <f t="shared" si="3"/>
        <v>8259612.6518000001</v>
      </c>
      <c r="AF18">
        <f t="shared" si="4"/>
        <v>9719215755.4849567</v>
      </c>
      <c r="AG18">
        <f t="shared" si="5"/>
        <v>8292472.6518000001</v>
      </c>
      <c r="AH18">
        <f t="shared" si="6"/>
        <v>10539917376.286798</v>
      </c>
      <c r="AI18">
        <f t="shared" si="7"/>
        <v>8326572.6518000001</v>
      </c>
      <c r="AJ18">
        <f t="shared" si="8"/>
        <v>11036595694.749041</v>
      </c>
      <c r="AK18">
        <f t="shared" si="9"/>
        <v>8375552.6518000001</v>
      </c>
    </row>
    <row r="19" spans="1:37" x14ac:dyDescent="0.35">
      <c r="A19" t="s">
        <v>219</v>
      </c>
      <c r="B19">
        <v>95.98</v>
      </c>
      <c r="C19" t="s">
        <v>208</v>
      </c>
      <c r="D19" t="s">
        <v>220</v>
      </c>
      <c r="E19" t="s">
        <v>221</v>
      </c>
      <c r="F19">
        <v>3.1E-2</v>
      </c>
      <c r="G19" t="s">
        <v>222</v>
      </c>
      <c r="H19">
        <v>0.3</v>
      </c>
      <c r="I19">
        <v>0.01</v>
      </c>
      <c r="J19" t="s">
        <v>223</v>
      </c>
      <c r="K19" t="s">
        <v>224</v>
      </c>
      <c r="L19" t="s">
        <v>225</v>
      </c>
      <c r="M19" t="s">
        <v>226</v>
      </c>
      <c r="N19">
        <v>1106.1651733936201</v>
      </c>
      <c r="O19">
        <v>1119.4391554743429</v>
      </c>
      <c r="P19">
        <v>1172.0527957816371</v>
      </c>
      <c r="Q19">
        <v>1265.817019444168</v>
      </c>
      <c r="R19">
        <v>1317.7155172413791</v>
      </c>
      <c r="S19" t="s">
        <v>227</v>
      </c>
      <c r="T19" t="s">
        <v>228</v>
      </c>
      <c r="U19" t="s">
        <v>229</v>
      </c>
      <c r="V19" t="s">
        <v>94</v>
      </c>
      <c r="W19">
        <v>265472419.80000001</v>
      </c>
      <c r="X19">
        <v>266439117.80000001</v>
      </c>
      <c r="Y19">
        <v>267499117.80000001</v>
      </c>
      <c r="Z19">
        <v>268599117.80000001</v>
      </c>
      <c r="AA19">
        <v>270179117.80000001</v>
      </c>
      <c r="AB19">
        <f t="shared" si="0"/>
        <v>9103346703.6580181</v>
      </c>
      <c r="AC19">
        <f t="shared" si="1"/>
        <v>8229645.0138000008</v>
      </c>
      <c r="AD19">
        <f t="shared" si="2"/>
        <v>9246133811.4761906</v>
      </c>
      <c r="AE19">
        <f t="shared" si="3"/>
        <v>8259612.6518000001</v>
      </c>
      <c r="AF19">
        <f t="shared" si="4"/>
        <v>9719215755.4849567</v>
      </c>
      <c r="AG19">
        <f t="shared" si="5"/>
        <v>8292472.6518000001</v>
      </c>
      <c r="AH19">
        <f t="shared" si="6"/>
        <v>10539917376.286798</v>
      </c>
      <c r="AI19">
        <f t="shared" si="7"/>
        <v>8326572.6518000001</v>
      </c>
      <c r="AJ19">
        <f t="shared" si="8"/>
        <v>11036595694.749041</v>
      </c>
      <c r="AK19">
        <f t="shared" si="9"/>
        <v>8375552.6518000001</v>
      </c>
    </row>
    <row r="20" spans="1:37" x14ac:dyDescent="0.35">
      <c r="A20" t="s">
        <v>230</v>
      </c>
      <c r="B20">
        <v>114.99</v>
      </c>
      <c r="C20" t="s">
        <v>231</v>
      </c>
      <c r="D20" t="s">
        <v>232</v>
      </c>
      <c r="E20" t="s">
        <v>233</v>
      </c>
      <c r="F20">
        <v>0.191</v>
      </c>
      <c r="G20" t="s">
        <v>234</v>
      </c>
      <c r="H20">
        <v>0.3</v>
      </c>
      <c r="I20">
        <v>0.05</v>
      </c>
      <c r="J20" t="s">
        <v>235</v>
      </c>
      <c r="K20" t="s">
        <v>236</v>
      </c>
      <c r="L20" t="s">
        <v>237</v>
      </c>
      <c r="M20" t="s">
        <v>238</v>
      </c>
      <c r="N20">
        <v>725.9551939635088</v>
      </c>
      <c r="O20">
        <v>734.66665629107092</v>
      </c>
      <c r="P20">
        <v>769.19598913675122</v>
      </c>
      <c r="Q20">
        <v>830.73166826769136</v>
      </c>
      <c r="R20">
        <v>864.79166666666663</v>
      </c>
      <c r="S20" t="s">
        <v>239</v>
      </c>
      <c r="T20" t="s">
        <v>240</v>
      </c>
      <c r="U20" t="s">
        <v>241</v>
      </c>
      <c r="V20" t="s">
        <v>94</v>
      </c>
      <c r="W20">
        <v>265472419.80000001</v>
      </c>
      <c r="X20">
        <v>266439117.80000001</v>
      </c>
      <c r="Y20">
        <v>267499117.80000001</v>
      </c>
      <c r="Z20">
        <v>268599117.80000001</v>
      </c>
      <c r="AA20">
        <v>270179117.80000001</v>
      </c>
      <c r="AB20">
        <f t="shared" si="0"/>
        <v>36809726663.503365</v>
      </c>
      <c r="AC20">
        <f t="shared" si="1"/>
        <v>50705232.1818</v>
      </c>
      <c r="AD20">
        <f t="shared" si="2"/>
        <v>37387091733.840332</v>
      </c>
      <c r="AE20">
        <f t="shared" si="3"/>
        <v>50889871.499800004</v>
      </c>
      <c r="AF20">
        <f t="shared" si="4"/>
        <v>39300016465.291451</v>
      </c>
      <c r="AG20">
        <f t="shared" si="5"/>
        <v>51092331.499800004</v>
      </c>
      <c r="AH20">
        <f t="shared" si="6"/>
        <v>42618554506.017815</v>
      </c>
      <c r="AI20">
        <f t="shared" si="7"/>
        <v>51302431.499800004</v>
      </c>
      <c r="AJ20">
        <f t="shared" si="8"/>
        <v>44626892069.931206</v>
      </c>
      <c r="AK20">
        <f t="shared" si="9"/>
        <v>51604211.499800004</v>
      </c>
    </row>
    <row r="21" spans="1:37" x14ac:dyDescent="0.35">
      <c r="A21" t="s">
        <v>242</v>
      </c>
      <c r="B21">
        <v>457.29</v>
      </c>
      <c r="C21" t="s">
        <v>243</v>
      </c>
      <c r="D21" t="s">
        <v>244</v>
      </c>
      <c r="E21" t="s">
        <v>245</v>
      </c>
      <c r="F21">
        <v>0.45</v>
      </c>
      <c r="G21" t="s">
        <v>246</v>
      </c>
      <c r="H21">
        <v>0.2</v>
      </c>
      <c r="I21">
        <v>0.1</v>
      </c>
      <c r="J21" t="s">
        <v>247</v>
      </c>
      <c r="K21" t="s">
        <v>248</v>
      </c>
      <c r="L21" t="s">
        <v>249</v>
      </c>
      <c r="M21" t="s">
        <v>250</v>
      </c>
      <c r="N21">
        <v>207.765543345856</v>
      </c>
      <c r="O21">
        <v>210.25872986600629</v>
      </c>
      <c r="P21">
        <v>220.1408901697086</v>
      </c>
      <c r="Q21">
        <v>237.75216138328531</v>
      </c>
      <c r="R21">
        <v>247.5</v>
      </c>
      <c r="S21" t="s">
        <v>251</v>
      </c>
      <c r="T21" t="s">
        <v>252</v>
      </c>
      <c r="U21" t="s">
        <v>253</v>
      </c>
      <c r="V21" t="s">
        <v>49</v>
      </c>
      <c r="W21">
        <v>338996155</v>
      </c>
      <c r="X21">
        <v>339500751</v>
      </c>
      <c r="Y21">
        <v>340560751</v>
      </c>
      <c r="Z21">
        <v>341660751</v>
      </c>
      <c r="AA21">
        <v>343660751</v>
      </c>
      <c r="AB21">
        <f t="shared" si="0"/>
        <v>31694274151.07896</v>
      </c>
      <c r="AC21">
        <f t="shared" si="1"/>
        <v>152548269.75</v>
      </c>
      <c r="AD21">
        <f t="shared" si="2"/>
        <v>32122348512.216869</v>
      </c>
      <c r="AE21">
        <f t="shared" si="3"/>
        <v>152775337.95000002</v>
      </c>
      <c r="AF21">
        <f t="shared" si="4"/>
        <v>33737106096.902012</v>
      </c>
      <c r="AG21">
        <f t="shared" si="5"/>
        <v>153252337.95000002</v>
      </c>
      <c r="AH21">
        <f t="shared" si="6"/>
        <v>36553761904.53891</v>
      </c>
      <c r="AI21">
        <f t="shared" si="7"/>
        <v>153747337.95000002</v>
      </c>
      <c r="AJ21">
        <f t="shared" si="8"/>
        <v>38275216142.625</v>
      </c>
      <c r="AK21">
        <f t="shared" si="9"/>
        <v>154647337.95000002</v>
      </c>
    </row>
    <row r="22" spans="1:37" x14ac:dyDescent="0.35">
      <c r="A22" t="s">
        <v>254</v>
      </c>
      <c r="B22">
        <v>7259.88</v>
      </c>
      <c r="C22" t="s">
        <v>255</v>
      </c>
      <c r="D22" t="s">
        <v>256</v>
      </c>
      <c r="E22" t="s">
        <v>257</v>
      </c>
      <c r="F22">
        <v>4.1999999999999998E-5</v>
      </c>
      <c r="G22" t="s">
        <v>258</v>
      </c>
      <c r="H22">
        <v>0.7</v>
      </c>
      <c r="I22">
        <v>25.3</v>
      </c>
      <c r="J22" t="s">
        <v>259</v>
      </c>
      <c r="K22" t="s">
        <v>260</v>
      </c>
      <c r="L22" t="s">
        <v>261</v>
      </c>
      <c r="M22" t="s">
        <v>262</v>
      </c>
      <c r="N22">
        <v>118710.1325836446</v>
      </c>
      <c r="O22">
        <v>120134.6541746483</v>
      </c>
      <c r="P22">
        <v>125780.9829208568</v>
      </c>
      <c r="Q22">
        <v>135843.46155452539</v>
      </c>
      <c r="R22">
        <v>141413.04347826089</v>
      </c>
      <c r="S22" t="s">
        <v>263</v>
      </c>
      <c r="T22" t="s">
        <v>264</v>
      </c>
      <c r="U22" t="s">
        <v>265</v>
      </c>
      <c r="V22" t="s">
        <v>94</v>
      </c>
      <c r="W22">
        <v>265472419.80000001</v>
      </c>
      <c r="X22">
        <v>266439117.80000001</v>
      </c>
      <c r="Y22">
        <v>267499117.80000001</v>
      </c>
      <c r="Z22">
        <v>268599117.80000001</v>
      </c>
      <c r="AA22">
        <v>270179117.80000001</v>
      </c>
      <c r="AB22">
        <f t="shared" si="0"/>
        <v>1323599178.3738763</v>
      </c>
      <c r="AC22">
        <f t="shared" si="1"/>
        <v>11149.8416316</v>
      </c>
      <c r="AD22">
        <f t="shared" si="2"/>
        <v>1344359993.571058</v>
      </c>
      <c r="AE22">
        <f t="shared" si="3"/>
        <v>11190.4429476</v>
      </c>
      <c r="AF22">
        <f t="shared" si="4"/>
        <v>1413144682.6285346</v>
      </c>
      <c r="AG22">
        <f t="shared" si="5"/>
        <v>11234.962947599999</v>
      </c>
      <c r="AH22">
        <f t="shared" si="6"/>
        <v>1532472225.1626368</v>
      </c>
      <c r="AI22">
        <f t="shared" si="7"/>
        <v>11281.1629476</v>
      </c>
      <c r="AJ22">
        <f t="shared" si="8"/>
        <v>1604687755.9595218</v>
      </c>
      <c r="AK22">
        <f t="shared" si="9"/>
        <v>11347.5229476</v>
      </c>
    </row>
    <row r="23" spans="1:37" x14ac:dyDescent="0.35">
      <c r="A23" t="s">
        <v>266</v>
      </c>
      <c r="B23">
        <v>7259.88</v>
      </c>
      <c r="C23" t="s">
        <v>255</v>
      </c>
      <c r="D23" t="s">
        <v>267</v>
      </c>
      <c r="E23" t="s">
        <v>268</v>
      </c>
      <c r="F23">
        <v>4.1999999999999998E-5</v>
      </c>
      <c r="G23" t="s">
        <v>269</v>
      </c>
      <c r="H23">
        <v>0.7</v>
      </c>
      <c r="I23">
        <v>30.3</v>
      </c>
      <c r="J23" t="s">
        <v>270</v>
      </c>
      <c r="K23" t="s">
        <v>271</v>
      </c>
      <c r="L23" t="s">
        <v>272</v>
      </c>
      <c r="M23" t="s">
        <v>273</v>
      </c>
      <c r="N23">
        <v>118710.1325836446</v>
      </c>
      <c r="O23">
        <v>120134.6541746483</v>
      </c>
      <c r="P23">
        <v>125780.9829208568</v>
      </c>
      <c r="Q23">
        <v>135843.46155452539</v>
      </c>
      <c r="R23">
        <v>141413.04347826089</v>
      </c>
      <c r="S23" t="s">
        <v>274</v>
      </c>
      <c r="T23" t="s">
        <v>275</v>
      </c>
      <c r="U23" t="s">
        <v>276</v>
      </c>
      <c r="V23" t="s">
        <v>94</v>
      </c>
      <c r="W23">
        <v>265472419.80000001</v>
      </c>
      <c r="X23">
        <v>266439117.80000001</v>
      </c>
      <c r="Y23">
        <v>267499117.80000001</v>
      </c>
      <c r="Z23">
        <v>268599117.80000001</v>
      </c>
      <c r="AA23">
        <v>270179117.80000001</v>
      </c>
      <c r="AB23">
        <f t="shared" si="0"/>
        <v>1323599178.3738763</v>
      </c>
      <c r="AC23">
        <f t="shared" si="1"/>
        <v>11149.8416316</v>
      </c>
      <c r="AD23">
        <f t="shared" si="2"/>
        <v>1344359993.571058</v>
      </c>
      <c r="AE23">
        <f t="shared" si="3"/>
        <v>11190.4429476</v>
      </c>
      <c r="AF23">
        <f t="shared" si="4"/>
        <v>1413144682.6285346</v>
      </c>
      <c r="AG23">
        <f t="shared" si="5"/>
        <v>11234.962947599999</v>
      </c>
      <c r="AH23">
        <f t="shared" si="6"/>
        <v>1532472225.1626368</v>
      </c>
      <c r="AI23">
        <f t="shared" si="7"/>
        <v>11281.1629476</v>
      </c>
      <c r="AJ23">
        <f t="shared" si="8"/>
        <v>1604687755.9595218</v>
      </c>
      <c r="AK23">
        <f t="shared" si="9"/>
        <v>11347.5229476</v>
      </c>
    </row>
    <row r="24" spans="1:37" x14ac:dyDescent="0.35">
      <c r="A24" t="s">
        <v>277</v>
      </c>
      <c r="B24">
        <v>1261.08</v>
      </c>
      <c r="C24" t="s">
        <v>278</v>
      </c>
      <c r="D24" t="s">
        <v>279</v>
      </c>
      <c r="E24" t="s">
        <v>280</v>
      </c>
      <c r="F24">
        <v>1.2999999999999999E-5</v>
      </c>
      <c r="G24" t="s">
        <v>281</v>
      </c>
      <c r="H24">
        <v>0.2</v>
      </c>
      <c r="I24">
        <v>5.0999999999999996</v>
      </c>
      <c r="J24" t="s">
        <v>282</v>
      </c>
      <c r="K24" t="s">
        <v>283</v>
      </c>
      <c r="L24" t="s">
        <v>284</v>
      </c>
      <c r="M24" t="s">
        <v>285</v>
      </c>
      <c r="N24">
        <v>117659.73818356229</v>
      </c>
      <c r="O24">
        <v>119071.655041765</v>
      </c>
      <c r="P24">
        <v>124668.022828728</v>
      </c>
      <c r="Q24">
        <v>134641.46465502621</v>
      </c>
      <c r="R24">
        <v>140161.76470588229</v>
      </c>
      <c r="S24" t="s">
        <v>286</v>
      </c>
      <c r="T24" t="s">
        <v>287</v>
      </c>
      <c r="U24" t="s">
        <v>288</v>
      </c>
      <c r="V24" t="s">
        <v>49</v>
      </c>
      <c r="W24">
        <v>338996155</v>
      </c>
      <c r="X24">
        <v>339500751</v>
      </c>
      <c r="Y24">
        <v>340560751</v>
      </c>
      <c r="Z24">
        <v>341660751</v>
      </c>
      <c r="AA24">
        <v>343660751</v>
      </c>
      <c r="AB24">
        <f t="shared" si="0"/>
        <v>518520584.95294595</v>
      </c>
      <c r="AC24">
        <f t="shared" si="1"/>
        <v>4406.9500149999994</v>
      </c>
      <c r="AD24">
        <f t="shared" si="2"/>
        <v>525523912.02339798</v>
      </c>
      <c r="AE24">
        <f t="shared" si="3"/>
        <v>4413.509763</v>
      </c>
      <c r="AF24">
        <f t="shared" si="4"/>
        <v>551941461.24307775</v>
      </c>
      <c r="AG24">
        <f t="shared" si="5"/>
        <v>4427.2897629999998</v>
      </c>
      <c r="AH24">
        <f t="shared" si="6"/>
        <v>598022151.08709073</v>
      </c>
      <c r="AI24">
        <f t="shared" si="7"/>
        <v>4441.5897629999999</v>
      </c>
      <c r="AJ24">
        <f t="shared" si="8"/>
        <v>626185265.16401446</v>
      </c>
      <c r="AK24">
        <f t="shared" si="9"/>
        <v>4467.5897629999999</v>
      </c>
    </row>
    <row r="25" spans="1:37" x14ac:dyDescent="0.35">
      <c r="A25" t="s">
        <v>289</v>
      </c>
      <c r="B25">
        <v>49.53</v>
      </c>
      <c r="C25" t="s">
        <v>290</v>
      </c>
      <c r="D25" t="s">
        <v>291</v>
      </c>
      <c r="E25" t="s">
        <v>292</v>
      </c>
      <c r="F25">
        <v>1.6E-2</v>
      </c>
      <c r="G25" t="s">
        <v>293</v>
      </c>
      <c r="H25">
        <v>0.2</v>
      </c>
      <c r="I25">
        <v>0.01</v>
      </c>
      <c r="J25" t="s">
        <v>294</v>
      </c>
      <c r="K25" t="s">
        <v>295</v>
      </c>
      <c r="L25" t="s">
        <v>296</v>
      </c>
      <c r="M25" t="s">
        <v>297</v>
      </c>
      <c r="N25">
        <v>582.68173772575199</v>
      </c>
      <c r="O25">
        <v>589.67391857846098</v>
      </c>
      <c r="P25">
        <v>617.38859275164862</v>
      </c>
      <c r="Q25">
        <v>666.77968017178057</v>
      </c>
      <c r="R25">
        <v>694.11764705882354</v>
      </c>
      <c r="S25" t="s">
        <v>298</v>
      </c>
      <c r="T25" t="s">
        <v>299</v>
      </c>
      <c r="U25" t="s">
        <v>300</v>
      </c>
      <c r="V25" t="s">
        <v>49</v>
      </c>
      <c r="W25">
        <v>338996155</v>
      </c>
      <c r="X25">
        <v>339500751</v>
      </c>
      <c r="Y25">
        <v>340560751</v>
      </c>
      <c r="Z25">
        <v>341660751</v>
      </c>
      <c r="AA25">
        <v>343660751</v>
      </c>
      <c r="AB25">
        <f t="shared" si="0"/>
        <v>3160429898.8439741</v>
      </c>
      <c r="AC25">
        <f t="shared" si="1"/>
        <v>5423938.4800000004</v>
      </c>
      <c r="AD25">
        <f t="shared" si="2"/>
        <v>3203115811.240006</v>
      </c>
      <c r="AE25">
        <f t="shared" si="3"/>
        <v>5432012.0159999998</v>
      </c>
      <c r="AF25">
        <f t="shared" si="4"/>
        <v>3364133164.9013534</v>
      </c>
      <c r="AG25">
        <f t="shared" si="5"/>
        <v>5448972.0159999998</v>
      </c>
      <c r="AH25">
        <f t="shared" si="6"/>
        <v>3644999140.4644861</v>
      </c>
      <c r="AI25">
        <f t="shared" si="7"/>
        <v>5466572.0159999998</v>
      </c>
      <c r="AJ25">
        <f t="shared" si="8"/>
        <v>3816655869.9294119</v>
      </c>
      <c r="AK25">
        <f t="shared" si="9"/>
        <v>5498572.0159999998</v>
      </c>
    </row>
    <row r="26" spans="1:37" x14ac:dyDescent="0.35">
      <c r="A26" t="s">
        <v>301</v>
      </c>
      <c r="B26">
        <v>0.78</v>
      </c>
      <c r="C26" t="s">
        <v>278</v>
      </c>
      <c r="D26" t="s">
        <v>302</v>
      </c>
      <c r="E26" t="s">
        <v>303</v>
      </c>
      <c r="F26">
        <v>1.2999999999999999E-5</v>
      </c>
      <c r="G26" t="s">
        <v>304</v>
      </c>
      <c r="H26">
        <v>1530.2</v>
      </c>
      <c r="I26">
        <v>105.51</v>
      </c>
      <c r="J26" t="s">
        <v>305</v>
      </c>
      <c r="K26" t="s">
        <v>306</v>
      </c>
      <c r="L26" t="s">
        <v>307</v>
      </c>
      <c r="M26" t="s">
        <v>308</v>
      </c>
      <c r="N26">
        <v>117659.73818356229</v>
      </c>
      <c r="O26">
        <v>119071.655041765</v>
      </c>
      <c r="P26">
        <v>124668.022828728</v>
      </c>
      <c r="Q26">
        <v>134641.46465502621</v>
      </c>
      <c r="R26">
        <v>140161.76470588229</v>
      </c>
      <c r="S26" t="s">
        <v>309</v>
      </c>
      <c r="T26" t="s">
        <v>310</v>
      </c>
      <c r="U26" t="s">
        <v>311</v>
      </c>
      <c r="V26" t="s">
        <v>49</v>
      </c>
      <c r="W26">
        <v>338996155</v>
      </c>
      <c r="X26">
        <v>339500751</v>
      </c>
      <c r="Y26">
        <v>340560751</v>
      </c>
      <c r="Z26">
        <v>341660751</v>
      </c>
      <c r="AA26">
        <v>343660751</v>
      </c>
      <c r="AB26">
        <f t="shared" si="0"/>
        <v>518520584.95294595</v>
      </c>
      <c r="AC26">
        <f t="shared" si="1"/>
        <v>4406.9500149999994</v>
      </c>
      <c r="AD26">
        <f t="shared" si="2"/>
        <v>525523912.02339798</v>
      </c>
      <c r="AE26">
        <f t="shared" si="3"/>
        <v>4413.509763</v>
      </c>
      <c r="AF26">
        <f t="shared" si="4"/>
        <v>551941461.24307775</v>
      </c>
      <c r="AG26">
        <f t="shared" si="5"/>
        <v>4427.2897629999998</v>
      </c>
      <c r="AH26">
        <f t="shared" si="6"/>
        <v>598022151.08709073</v>
      </c>
      <c r="AI26">
        <f t="shared" si="7"/>
        <v>4441.5897629999999</v>
      </c>
      <c r="AJ26">
        <f t="shared" si="8"/>
        <v>626185265.16401446</v>
      </c>
      <c r="AK26">
        <f t="shared" si="9"/>
        <v>4467.5897629999999</v>
      </c>
    </row>
    <row r="27" spans="1:37" x14ac:dyDescent="0.35">
      <c r="A27" t="s">
        <v>312</v>
      </c>
      <c r="B27">
        <v>45.67</v>
      </c>
      <c r="C27" t="s">
        <v>313</v>
      </c>
      <c r="D27" t="s">
        <v>314</v>
      </c>
      <c r="E27" t="s">
        <v>315</v>
      </c>
      <c r="F27">
        <v>0.05</v>
      </c>
      <c r="G27" t="s">
        <v>316</v>
      </c>
      <c r="H27">
        <v>0.3</v>
      </c>
      <c r="I27">
        <v>15.2</v>
      </c>
      <c r="J27" t="s">
        <v>317</v>
      </c>
      <c r="K27" t="s">
        <v>318</v>
      </c>
      <c r="L27" t="s">
        <v>319</v>
      </c>
      <c r="M27" t="s">
        <v>320</v>
      </c>
      <c r="N27">
        <v>2615.6406066244381</v>
      </c>
      <c r="O27">
        <v>2647.0282939039312</v>
      </c>
      <c r="P27">
        <v>2771.4386237174158</v>
      </c>
      <c r="Q27">
        <v>2993.153713614809</v>
      </c>
      <c r="R27">
        <v>3115.8730158730159</v>
      </c>
      <c r="S27" t="s">
        <v>321</v>
      </c>
      <c r="T27" t="s">
        <v>322</v>
      </c>
      <c r="U27" t="s">
        <v>323</v>
      </c>
      <c r="V27" t="s">
        <v>49</v>
      </c>
      <c r="W27">
        <v>338996155</v>
      </c>
      <c r="X27">
        <v>339500751</v>
      </c>
      <c r="Y27">
        <v>340560751</v>
      </c>
      <c r="Z27">
        <v>341660751</v>
      </c>
      <c r="AA27">
        <v>343660751</v>
      </c>
      <c r="AB27">
        <f t="shared" si="0"/>
        <v>44334605425.377602</v>
      </c>
      <c r="AC27">
        <f t="shared" si="1"/>
        <v>16949807.75</v>
      </c>
      <c r="AD27">
        <f t="shared" si="2"/>
        <v>44933404684.931671</v>
      </c>
      <c r="AE27">
        <f t="shared" si="3"/>
        <v>16975037.550000001</v>
      </c>
      <c r="AF27">
        <f t="shared" si="4"/>
        <v>47192160952.180481</v>
      </c>
      <c r="AG27">
        <f t="shared" si="5"/>
        <v>17028037.550000001</v>
      </c>
      <c r="AH27">
        <f t="shared" si="6"/>
        <v>51132157282.603729</v>
      </c>
      <c r="AI27">
        <f t="shared" si="7"/>
        <v>17083037.550000001</v>
      </c>
      <c r="AJ27">
        <f t="shared" si="8"/>
        <v>53540163032.777779</v>
      </c>
      <c r="AK27">
        <f t="shared" si="9"/>
        <v>17183037.550000001</v>
      </c>
    </row>
    <row r="28" spans="1:37" x14ac:dyDescent="0.35">
      <c r="A28" t="s">
        <v>324</v>
      </c>
      <c r="B28">
        <v>669.35</v>
      </c>
      <c r="C28" t="s">
        <v>325</v>
      </c>
      <c r="D28" t="s">
        <v>326</v>
      </c>
      <c r="E28" t="s">
        <v>327</v>
      </c>
      <c r="F28">
        <v>0.12</v>
      </c>
      <c r="G28" t="s">
        <v>328</v>
      </c>
      <c r="H28">
        <v>40.299999999999997</v>
      </c>
      <c r="J28" t="s">
        <v>329</v>
      </c>
      <c r="K28" t="s">
        <v>330</v>
      </c>
      <c r="L28" t="s">
        <v>331</v>
      </c>
      <c r="M28" t="s">
        <v>332</v>
      </c>
      <c r="N28">
        <v>4512.0799817534398</v>
      </c>
      <c r="O28">
        <v>4566.2249415344813</v>
      </c>
      <c r="P28">
        <v>4780.8375137866014</v>
      </c>
      <c r="Q28">
        <v>5163.3045148895299</v>
      </c>
      <c r="R28">
        <v>5375</v>
      </c>
      <c r="S28" t="s">
        <v>333</v>
      </c>
      <c r="T28" t="s">
        <v>334</v>
      </c>
      <c r="U28" t="s">
        <v>335</v>
      </c>
      <c r="V28" t="s">
        <v>94</v>
      </c>
      <c r="W28">
        <v>265472419.80000001</v>
      </c>
      <c r="X28">
        <v>266439117.80000001</v>
      </c>
      <c r="Y28">
        <v>267499117.80000001</v>
      </c>
      <c r="Z28">
        <v>268599117.80000001</v>
      </c>
      <c r="AA28">
        <v>270179117.80000001</v>
      </c>
      <c r="AB28">
        <f t="shared" si="0"/>
        <v>143739934930.46707</v>
      </c>
      <c r="AC28">
        <f t="shared" si="1"/>
        <v>31856690.376000002</v>
      </c>
      <c r="AD28">
        <f t="shared" si="2"/>
        <v>145994513411.85648</v>
      </c>
      <c r="AE28">
        <f t="shared" si="3"/>
        <v>31972694.136</v>
      </c>
      <c r="AF28">
        <f t="shared" si="4"/>
        <v>153464378073.96735</v>
      </c>
      <c r="AG28">
        <f t="shared" si="5"/>
        <v>32099894.136</v>
      </c>
      <c r="AH28">
        <f t="shared" si="6"/>
        <v>166423084515.85016</v>
      </c>
      <c r="AI28">
        <f t="shared" si="7"/>
        <v>32231894.136</v>
      </c>
      <c r="AJ28">
        <f t="shared" si="8"/>
        <v>174265530981</v>
      </c>
      <c r="AK28">
        <f t="shared" si="9"/>
        <v>32421494.136</v>
      </c>
    </row>
    <row r="29" spans="1:37" x14ac:dyDescent="0.35">
      <c r="A29" t="s">
        <v>336</v>
      </c>
      <c r="B29">
        <v>401.73</v>
      </c>
      <c r="C29" t="s">
        <v>337</v>
      </c>
      <c r="D29" t="s">
        <v>338</v>
      </c>
      <c r="E29" t="s">
        <v>339</v>
      </c>
      <c r="F29">
        <v>3.0000000000000001E-5</v>
      </c>
      <c r="G29" t="s">
        <v>340</v>
      </c>
      <c r="H29">
        <v>0.3</v>
      </c>
      <c r="J29" t="s">
        <v>341</v>
      </c>
      <c r="K29" t="s">
        <v>342</v>
      </c>
      <c r="L29" t="s">
        <v>343</v>
      </c>
      <c r="M29" t="s">
        <v>344</v>
      </c>
      <c r="N29">
        <v>10213.390346294609</v>
      </c>
      <c r="O29">
        <v>10335.951030450149</v>
      </c>
      <c r="P29">
        <v>10821.740728881299</v>
      </c>
      <c r="Q29">
        <v>11687.479987191809</v>
      </c>
      <c r="R29">
        <v>12166.66666666667</v>
      </c>
      <c r="S29" t="s">
        <v>345</v>
      </c>
      <c r="T29" t="s">
        <v>346</v>
      </c>
      <c r="U29" t="s">
        <v>335</v>
      </c>
      <c r="V29" t="s">
        <v>94</v>
      </c>
      <c r="W29">
        <v>265472419.80000001</v>
      </c>
      <c r="X29">
        <v>266439117.80000001</v>
      </c>
      <c r="Y29">
        <v>267499117.80000001</v>
      </c>
      <c r="Z29">
        <v>268599117.80000001</v>
      </c>
      <c r="AA29">
        <v>270179117.80000001</v>
      </c>
      <c r="AB29">
        <f t="shared" si="0"/>
        <v>81341203.4877837</v>
      </c>
      <c r="AC29">
        <f t="shared" si="1"/>
        <v>7964.1725940000006</v>
      </c>
      <c r="AD29">
        <f t="shared" si="2"/>
        <v>82617050.225314155</v>
      </c>
      <c r="AE29">
        <f t="shared" si="3"/>
        <v>7993.1735340000005</v>
      </c>
      <c r="AF29">
        <f t="shared" si="4"/>
        <v>86844182.941082299</v>
      </c>
      <c r="AG29">
        <f t="shared" si="5"/>
        <v>8024.9735340000007</v>
      </c>
      <c r="AH29">
        <f t="shared" si="6"/>
        <v>94177404.41594626</v>
      </c>
      <c r="AI29">
        <f t="shared" si="7"/>
        <v>8057.9735340000007</v>
      </c>
      <c r="AJ29">
        <f t="shared" si="8"/>
        <v>98615377.997000024</v>
      </c>
      <c r="AK29">
        <f t="shared" si="9"/>
        <v>8105.3735340000003</v>
      </c>
    </row>
    <row r="30" spans="1:37" x14ac:dyDescent="0.35">
      <c r="A30" t="s">
        <v>347</v>
      </c>
      <c r="B30">
        <v>17429.150000000001</v>
      </c>
      <c r="C30" t="s">
        <v>348</v>
      </c>
      <c r="D30" t="s">
        <v>349</v>
      </c>
      <c r="E30" t="s">
        <v>350</v>
      </c>
      <c r="F30">
        <v>5.0000000000000001E-4</v>
      </c>
      <c r="G30" t="s">
        <v>351</v>
      </c>
      <c r="H30">
        <v>30.2</v>
      </c>
      <c r="I30">
        <v>30.15</v>
      </c>
      <c r="J30" t="s">
        <v>352</v>
      </c>
      <c r="K30" t="s">
        <v>353</v>
      </c>
      <c r="L30" t="s">
        <v>354</v>
      </c>
      <c r="M30" t="s">
        <v>355</v>
      </c>
      <c r="N30">
        <v>128436.8813410747</v>
      </c>
      <c r="O30">
        <v>129978.1239171676</v>
      </c>
      <c r="P30">
        <v>136087.09574127439</v>
      </c>
      <c r="Q30">
        <v>146974.06340057639</v>
      </c>
      <c r="R30">
        <v>153000</v>
      </c>
      <c r="S30" t="s">
        <v>356</v>
      </c>
      <c r="T30" t="s">
        <v>357</v>
      </c>
      <c r="U30" t="s">
        <v>358</v>
      </c>
      <c r="V30" t="s">
        <v>94</v>
      </c>
      <c r="W30">
        <v>265472419.80000001</v>
      </c>
      <c r="X30">
        <v>266439117.80000001</v>
      </c>
      <c r="Y30">
        <v>267499117.80000001</v>
      </c>
      <c r="Z30">
        <v>268599117.80000001</v>
      </c>
      <c r="AA30">
        <v>270179117.80000001</v>
      </c>
      <c r="AB30">
        <f t="shared" si="0"/>
        <v>17048224840.590286</v>
      </c>
      <c r="AC30">
        <f t="shared" si="1"/>
        <v>132736.20990000002</v>
      </c>
      <c r="AD30">
        <f t="shared" si="2"/>
        <v>17315628334.894611</v>
      </c>
      <c r="AE30">
        <f t="shared" si="3"/>
        <v>133219.5589</v>
      </c>
      <c r="AF30">
        <f t="shared" si="4"/>
        <v>18201589027.377522</v>
      </c>
      <c r="AG30">
        <f t="shared" si="5"/>
        <v>133749.5589</v>
      </c>
      <c r="AH30">
        <f t="shared" si="6"/>
        <v>19738551884.438042</v>
      </c>
      <c r="AI30">
        <f t="shared" si="7"/>
        <v>134299.5589</v>
      </c>
      <c r="AJ30">
        <f t="shared" si="8"/>
        <v>20668702511.700001</v>
      </c>
      <c r="AK30">
        <f t="shared" si="9"/>
        <v>135089.5589</v>
      </c>
    </row>
    <row r="31" spans="1:37" x14ac:dyDescent="0.35">
      <c r="A31" t="s">
        <v>359</v>
      </c>
      <c r="B31">
        <v>14104.96</v>
      </c>
      <c r="C31" t="s">
        <v>360</v>
      </c>
      <c r="D31" t="s">
        <v>361</v>
      </c>
      <c r="E31" t="s">
        <v>362</v>
      </c>
      <c r="F31">
        <v>3.4999999999999999E-6</v>
      </c>
      <c r="G31" t="s">
        <v>363</v>
      </c>
      <c r="H31">
        <v>0.25</v>
      </c>
      <c r="I31">
        <v>1.52</v>
      </c>
      <c r="J31" t="s">
        <v>364</v>
      </c>
      <c r="K31" t="s">
        <v>365</v>
      </c>
      <c r="L31" t="s">
        <v>366</v>
      </c>
      <c r="M31" t="s">
        <v>367</v>
      </c>
      <c r="N31">
        <v>54010.646702514663</v>
      </c>
      <c r="O31">
        <v>54658.774462944843</v>
      </c>
      <c r="P31">
        <v>57227.736862703241</v>
      </c>
      <c r="Q31">
        <v>61805.955811719497</v>
      </c>
      <c r="R31">
        <v>64340</v>
      </c>
      <c r="S31" t="s">
        <v>368</v>
      </c>
      <c r="T31" t="s">
        <v>369</v>
      </c>
      <c r="U31" t="s">
        <v>370</v>
      </c>
      <c r="V31" t="s">
        <v>49</v>
      </c>
      <c r="W31">
        <v>338996155</v>
      </c>
      <c r="X31">
        <v>339500751</v>
      </c>
      <c r="Y31">
        <v>340560751</v>
      </c>
      <c r="Z31">
        <v>341660751</v>
      </c>
      <c r="AA31">
        <v>343660751</v>
      </c>
      <c r="AB31">
        <v>64082905.464255638</v>
      </c>
      <c r="AC31">
        <f t="shared" si="1"/>
        <v>1186.4865425</v>
      </c>
      <c r="AD31">
        <f t="shared" si="2"/>
        <v>64948432.426182881</v>
      </c>
      <c r="AE31">
        <f t="shared" si="3"/>
        <v>1188.2526284999999</v>
      </c>
      <c r="AF31">
        <f t="shared" si="4"/>
        <v>68213323.653974101</v>
      </c>
      <c r="AG31">
        <f t="shared" si="5"/>
        <v>1191.9626284999999</v>
      </c>
      <c r="AH31">
        <f t="shared" si="6"/>
        <v>73908342.476167142</v>
      </c>
      <c r="AI31">
        <f t="shared" si="7"/>
        <v>1195.8126285000001</v>
      </c>
      <c r="AJ31">
        <f t="shared" si="8"/>
        <v>77388964.517690003</v>
      </c>
      <c r="AK31">
        <f t="shared" si="9"/>
        <v>1202.8126285000001</v>
      </c>
    </row>
    <row r="32" spans="1:37" x14ac:dyDescent="0.35">
      <c r="A32" t="s">
        <v>371</v>
      </c>
      <c r="B32">
        <v>312.49</v>
      </c>
      <c r="C32" t="s">
        <v>372</v>
      </c>
      <c r="D32" t="s">
        <v>373</v>
      </c>
      <c r="E32" t="s">
        <v>374</v>
      </c>
      <c r="F32">
        <v>5.0000000000000001E-4</v>
      </c>
      <c r="G32" t="s">
        <v>375</v>
      </c>
      <c r="H32">
        <v>50.5</v>
      </c>
      <c r="I32">
        <v>0.01</v>
      </c>
      <c r="J32" t="s">
        <v>376</v>
      </c>
      <c r="K32" t="s">
        <v>377</v>
      </c>
      <c r="L32" t="s">
        <v>378</v>
      </c>
      <c r="M32" t="s">
        <v>379</v>
      </c>
      <c r="N32">
        <v>6885.5439810146627</v>
      </c>
      <c r="O32">
        <v>6968.1705087868386</v>
      </c>
      <c r="P32">
        <v>7295.6745226998191</v>
      </c>
      <c r="Q32">
        <v>7879.328484515805</v>
      </c>
      <c r="R32">
        <v>8202.3809523809523</v>
      </c>
      <c r="S32" t="s">
        <v>380</v>
      </c>
      <c r="T32" t="s">
        <v>381</v>
      </c>
      <c r="U32" t="s">
        <v>382</v>
      </c>
      <c r="V32" t="s">
        <v>94</v>
      </c>
      <c r="W32">
        <v>265472419.80000001</v>
      </c>
      <c r="X32">
        <v>266439117.80000001</v>
      </c>
      <c r="Y32">
        <v>267499117.80000001</v>
      </c>
      <c r="Z32">
        <v>268599117.80000001</v>
      </c>
      <c r="AA32">
        <v>270179117.80000001</v>
      </c>
      <c r="AB32">
        <f t="shared" si="0"/>
        <v>913961011.13964391</v>
      </c>
      <c r="AC32">
        <f t="shared" si="1"/>
        <v>132736.20990000002</v>
      </c>
      <c r="AD32">
        <f t="shared" si="2"/>
        <v>928296601.52057135</v>
      </c>
      <c r="AE32">
        <f t="shared" si="3"/>
        <v>133219.5589</v>
      </c>
      <c r="AF32">
        <f t="shared" si="4"/>
        <v>975793249.28906882</v>
      </c>
      <c r="AG32">
        <f t="shared" si="5"/>
        <v>133749.5589</v>
      </c>
      <c r="AH32">
        <f t="shared" si="6"/>
        <v>1058190339.8986781</v>
      </c>
      <c r="AI32">
        <f t="shared" si="7"/>
        <v>134299.5589</v>
      </c>
      <c r="AJ32">
        <f t="shared" si="8"/>
        <v>1108056024.7869048</v>
      </c>
      <c r="AK32">
        <f t="shared" si="9"/>
        <v>135089.5589</v>
      </c>
    </row>
    <row r="33" spans="1:37" x14ac:dyDescent="0.35">
      <c r="A33" t="s">
        <v>383</v>
      </c>
      <c r="B33">
        <v>1991.27</v>
      </c>
      <c r="C33" t="s">
        <v>278</v>
      </c>
      <c r="D33" t="s">
        <v>384</v>
      </c>
      <c r="E33" t="s">
        <v>385</v>
      </c>
      <c r="F33">
        <v>1.2999999999999999E-5</v>
      </c>
      <c r="G33" t="s">
        <v>386</v>
      </c>
      <c r="H33">
        <v>15.3</v>
      </c>
      <c r="I33">
        <v>5.0999999999999996</v>
      </c>
      <c r="J33" t="s">
        <v>387</v>
      </c>
      <c r="K33" t="s">
        <v>388</v>
      </c>
      <c r="L33" t="s">
        <v>389</v>
      </c>
      <c r="M33" t="s">
        <v>390</v>
      </c>
      <c r="N33">
        <v>117659.73818356229</v>
      </c>
      <c r="O33">
        <v>119071.655041765</v>
      </c>
      <c r="P33">
        <v>124668.022828728</v>
      </c>
      <c r="Q33">
        <v>134641.46465502621</v>
      </c>
      <c r="R33">
        <v>140161.76470588229</v>
      </c>
      <c r="S33" t="s">
        <v>391</v>
      </c>
      <c r="T33" t="s">
        <v>392</v>
      </c>
      <c r="U33" t="s">
        <v>393</v>
      </c>
      <c r="V33" t="s">
        <v>49</v>
      </c>
      <c r="W33">
        <v>338996155</v>
      </c>
      <c r="X33">
        <v>339500751</v>
      </c>
      <c r="Y33">
        <v>340560751</v>
      </c>
      <c r="Z33">
        <v>341660751</v>
      </c>
      <c r="AA33">
        <v>343660751</v>
      </c>
      <c r="AB33">
        <f t="shared" si="0"/>
        <v>518520584.95294595</v>
      </c>
      <c r="AC33">
        <f t="shared" si="1"/>
        <v>4406.9500149999994</v>
      </c>
      <c r="AD33">
        <f t="shared" si="2"/>
        <v>525523912.02339798</v>
      </c>
      <c r="AE33">
        <f t="shared" si="3"/>
        <v>4413.509763</v>
      </c>
      <c r="AF33">
        <f t="shared" si="4"/>
        <v>551941461.24307775</v>
      </c>
      <c r="AG33">
        <f t="shared" si="5"/>
        <v>4427.2897629999998</v>
      </c>
      <c r="AH33">
        <f t="shared" si="6"/>
        <v>598022151.08709073</v>
      </c>
      <c r="AI33">
        <f t="shared" si="7"/>
        <v>4441.5897629999999</v>
      </c>
      <c r="AJ33">
        <f t="shared" si="8"/>
        <v>626185265.16401446</v>
      </c>
      <c r="AK33">
        <f t="shared" si="9"/>
        <v>4467.5897629999999</v>
      </c>
    </row>
    <row r="34" spans="1:37" x14ac:dyDescent="0.35">
      <c r="A34" t="s">
        <v>394</v>
      </c>
      <c r="B34">
        <v>493.22</v>
      </c>
      <c r="C34" t="s">
        <v>290</v>
      </c>
      <c r="D34" t="s">
        <v>395</v>
      </c>
      <c r="E34" t="s">
        <v>396</v>
      </c>
      <c r="F34">
        <v>1.6E-2</v>
      </c>
      <c r="G34" t="s">
        <v>397</v>
      </c>
      <c r="H34">
        <v>0.3</v>
      </c>
      <c r="I34">
        <v>1.02</v>
      </c>
      <c r="J34" t="s">
        <v>398</v>
      </c>
      <c r="K34" t="s">
        <v>399</v>
      </c>
      <c r="L34" t="s">
        <v>400</v>
      </c>
      <c r="M34" t="s">
        <v>401</v>
      </c>
      <c r="N34">
        <v>582.68173772575199</v>
      </c>
      <c r="O34">
        <v>589.67391857846098</v>
      </c>
      <c r="P34">
        <v>617.38859275164862</v>
      </c>
      <c r="Q34">
        <v>666.77968017178057</v>
      </c>
      <c r="R34">
        <v>694.11764705882354</v>
      </c>
      <c r="S34" t="s">
        <v>402</v>
      </c>
      <c r="T34" t="s">
        <v>403</v>
      </c>
      <c r="U34" t="s">
        <v>404</v>
      </c>
      <c r="V34" t="s">
        <v>49</v>
      </c>
      <c r="W34">
        <v>338996155</v>
      </c>
      <c r="X34">
        <v>339500751</v>
      </c>
      <c r="Y34">
        <v>340560751</v>
      </c>
      <c r="Z34">
        <v>341660751</v>
      </c>
      <c r="AA34">
        <v>343660751</v>
      </c>
      <c r="AB34">
        <f t="shared" si="0"/>
        <v>3160429898.8439741</v>
      </c>
      <c r="AC34">
        <f t="shared" si="1"/>
        <v>5423938.4800000004</v>
      </c>
      <c r="AD34">
        <f t="shared" si="2"/>
        <v>3203115811.240006</v>
      </c>
      <c r="AE34">
        <f t="shared" si="3"/>
        <v>5432012.0159999998</v>
      </c>
      <c r="AF34">
        <f t="shared" si="4"/>
        <v>3364133164.9013534</v>
      </c>
      <c r="AG34">
        <f t="shared" si="5"/>
        <v>5448972.0159999998</v>
      </c>
      <c r="AH34">
        <f t="shared" si="6"/>
        <v>3644999140.4644861</v>
      </c>
      <c r="AI34">
        <f t="shared" si="7"/>
        <v>5466572.0159999998</v>
      </c>
      <c r="AJ34">
        <f t="shared" si="8"/>
        <v>3816655869.9294119</v>
      </c>
      <c r="AK34">
        <f t="shared" si="9"/>
        <v>5498572.0159999998</v>
      </c>
    </row>
    <row r="35" spans="1:37" x14ac:dyDescent="0.35">
      <c r="A35" t="s">
        <v>405</v>
      </c>
      <c r="B35">
        <v>215.7</v>
      </c>
      <c r="C35" t="s">
        <v>406</v>
      </c>
      <c r="D35" t="s">
        <v>407</v>
      </c>
      <c r="E35" t="s">
        <v>408</v>
      </c>
      <c r="F35">
        <v>4.5999999999999999E-2</v>
      </c>
      <c r="G35" t="s">
        <v>409</v>
      </c>
      <c r="H35">
        <v>0.3</v>
      </c>
      <c r="I35">
        <v>0.12</v>
      </c>
      <c r="J35" t="s">
        <v>410</v>
      </c>
      <c r="K35" t="s">
        <v>411</v>
      </c>
      <c r="L35" t="s">
        <v>412</v>
      </c>
      <c r="M35" t="s">
        <v>413</v>
      </c>
      <c r="N35">
        <v>963.93530786561541</v>
      </c>
      <c r="O35">
        <v>975.50253156000281</v>
      </c>
      <c r="P35">
        <v>1021.351150543323</v>
      </c>
      <c r="Q35">
        <v>1103.059242586789</v>
      </c>
      <c r="R35">
        <v>1148.2846715328469</v>
      </c>
      <c r="S35" t="s">
        <v>414</v>
      </c>
      <c r="T35" t="s">
        <v>415</v>
      </c>
      <c r="U35" t="s">
        <v>416</v>
      </c>
      <c r="V35" t="s">
        <v>94</v>
      </c>
      <c r="W35">
        <v>265472419.80000001</v>
      </c>
      <c r="X35">
        <v>266439117.80000001</v>
      </c>
      <c r="Y35">
        <v>267499117.80000001</v>
      </c>
      <c r="Z35">
        <v>268599117.80000001</v>
      </c>
      <c r="AA35">
        <v>270179117.80000001</v>
      </c>
      <c r="AB35">
        <f t="shared" si="0"/>
        <v>11771318980.648174</v>
      </c>
      <c r="AC35">
        <f t="shared" si="1"/>
        <v>12211731.310800001</v>
      </c>
      <c r="AD35">
        <f t="shared" si="2"/>
        <v>11955953560.343636</v>
      </c>
      <c r="AE35">
        <f t="shared" si="3"/>
        <v>12256199.4188</v>
      </c>
      <c r="AF35">
        <f t="shared" si="4"/>
        <v>12567684459.780279</v>
      </c>
      <c r="AG35">
        <f t="shared" si="5"/>
        <v>12304959.4188</v>
      </c>
      <c r="AH35">
        <f t="shared" si="6"/>
        <v>13628914014.237593</v>
      </c>
      <c r="AI35">
        <f t="shared" si="7"/>
        <v>12355559.4188</v>
      </c>
      <c r="AJ35">
        <f t="shared" si="8"/>
        <v>14271156818.748339</v>
      </c>
      <c r="AK35">
        <f t="shared" si="9"/>
        <v>12428239.4188</v>
      </c>
    </row>
    <row r="36" spans="1:37" x14ac:dyDescent="0.35">
      <c r="A36" t="s">
        <v>417</v>
      </c>
      <c r="B36">
        <v>9.11</v>
      </c>
      <c r="C36" t="s">
        <v>418</v>
      </c>
      <c r="D36" t="s">
        <v>419</v>
      </c>
      <c r="E36" t="s">
        <v>420</v>
      </c>
      <c r="F36">
        <v>0.16200000000000001</v>
      </c>
      <c r="G36" t="s">
        <v>421</v>
      </c>
      <c r="H36">
        <v>0.3</v>
      </c>
      <c r="I36">
        <v>0</v>
      </c>
      <c r="J36" t="s">
        <v>422</v>
      </c>
      <c r="K36" t="s">
        <v>423</v>
      </c>
      <c r="L36" t="s">
        <v>424</v>
      </c>
      <c r="M36" t="s">
        <v>425</v>
      </c>
      <c r="N36">
        <v>76.950201239205967</v>
      </c>
      <c r="O36">
        <v>77.873603654076433</v>
      </c>
      <c r="P36">
        <v>81.533663025818015</v>
      </c>
      <c r="Q36">
        <v>88.056356067883456</v>
      </c>
      <c r="R36">
        <v>91.666666666666671</v>
      </c>
      <c r="S36" t="s">
        <v>426</v>
      </c>
      <c r="T36" t="s">
        <v>427</v>
      </c>
      <c r="U36" t="s">
        <v>428</v>
      </c>
      <c r="V36" t="s">
        <v>49</v>
      </c>
      <c r="W36">
        <v>338996155</v>
      </c>
      <c r="X36">
        <v>339500751</v>
      </c>
      <c r="Y36">
        <v>340560751</v>
      </c>
      <c r="Z36">
        <v>341660751</v>
      </c>
      <c r="AA36">
        <v>343660751</v>
      </c>
      <c r="AB36">
        <f t="shared" si="0"/>
        <v>4225903220.1438637</v>
      </c>
      <c r="AC36">
        <f t="shared" si="1"/>
        <v>54917377.109999999</v>
      </c>
      <c r="AD36">
        <f t="shared" si="2"/>
        <v>4282979801.6289172</v>
      </c>
      <c r="AE36">
        <f t="shared" si="3"/>
        <v>54999121.662</v>
      </c>
      <c r="AF36">
        <f t="shared" si="4"/>
        <v>4498280812.92027</v>
      </c>
      <c r="AG36">
        <f t="shared" si="5"/>
        <v>55170841.662</v>
      </c>
      <c r="AH36">
        <f t="shared" si="6"/>
        <v>4873834920.6051874</v>
      </c>
      <c r="AI36">
        <f t="shared" si="7"/>
        <v>55349041.662</v>
      </c>
      <c r="AJ36">
        <f t="shared" si="8"/>
        <v>5103362152.3500004</v>
      </c>
      <c r="AK36">
        <f t="shared" si="9"/>
        <v>55673041.662</v>
      </c>
    </row>
    <row r="37" spans="1:37" x14ac:dyDescent="0.35">
      <c r="A37" t="s">
        <v>429</v>
      </c>
      <c r="B37">
        <v>897.18</v>
      </c>
      <c r="C37" t="s">
        <v>360</v>
      </c>
      <c r="D37" t="s">
        <v>430</v>
      </c>
      <c r="E37" t="s">
        <v>431</v>
      </c>
      <c r="F37">
        <v>3.4999999999999999E-6</v>
      </c>
      <c r="G37" t="s">
        <v>432</v>
      </c>
      <c r="H37">
        <v>0.5</v>
      </c>
      <c r="I37">
        <v>0.25</v>
      </c>
      <c r="J37" t="s">
        <v>433</v>
      </c>
      <c r="K37" t="s">
        <v>434</v>
      </c>
      <c r="L37" t="s">
        <v>435</v>
      </c>
      <c r="M37" t="s">
        <v>436</v>
      </c>
      <c r="N37">
        <v>54010.646702514663</v>
      </c>
      <c r="O37">
        <v>54658.774462944843</v>
      </c>
      <c r="P37">
        <v>57227.736862703241</v>
      </c>
      <c r="Q37">
        <v>61805.955811719497</v>
      </c>
      <c r="R37">
        <v>64340</v>
      </c>
      <c r="S37" t="s">
        <v>437</v>
      </c>
      <c r="T37" t="s">
        <v>438</v>
      </c>
      <c r="U37" t="s">
        <v>439</v>
      </c>
      <c r="V37" t="s">
        <v>49</v>
      </c>
      <c r="W37">
        <v>338996155</v>
      </c>
      <c r="X37">
        <v>339500751</v>
      </c>
      <c r="Y37">
        <v>340560751</v>
      </c>
      <c r="Z37">
        <v>341660751</v>
      </c>
      <c r="AA37">
        <v>343660751</v>
      </c>
      <c r="AB37">
        <v>64082905.464255638</v>
      </c>
      <c r="AC37">
        <f t="shared" si="1"/>
        <v>1186.4865425</v>
      </c>
      <c r="AD37">
        <f t="shared" si="2"/>
        <v>64948432.426182881</v>
      </c>
      <c r="AE37">
        <f t="shared" si="3"/>
        <v>1188.2526284999999</v>
      </c>
      <c r="AF37">
        <f t="shared" si="4"/>
        <v>68213323.653974101</v>
      </c>
      <c r="AG37">
        <f t="shared" si="5"/>
        <v>1191.9626284999999</v>
      </c>
      <c r="AH37">
        <f t="shared" si="6"/>
        <v>73908342.476167142</v>
      </c>
      <c r="AI37">
        <f t="shared" si="7"/>
        <v>1195.8126285000001</v>
      </c>
      <c r="AJ37">
        <f t="shared" si="8"/>
        <v>77388964.517690003</v>
      </c>
      <c r="AK37">
        <f t="shared" si="9"/>
        <v>1202.8126285000001</v>
      </c>
    </row>
    <row r="38" spans="1:37" x14ac:dyDescent="0.35">
      <c r="A38" t="s">
        <v>440</v>
      </c>
      <c r="B38">
        <v>5588.19</v>
      </c>
      <c r="C38" t="s">
        <v>441</v>
      </c>
      <c r="D38" t="s">
        <v>442</v>
      </c>
      <c r="E38" t="s">
        <v>443</v>
      </c>
      <c r="F38">
        <v>3.2399999999999998E-2</v>
      </c>
      <c r="G38" t="s">
        <v>444</v>
      </c>
      <c r="H38">
        <v>0.2</v>
      </c>
      <c r="J38" t="s">
        <v>445</v>
      </c>
      <c r="K38" t="s">
        <v>446</v>
      </c>
      <c r="L38" t="s">
        <v>447</v>
      </c>
      <c r="M38" t="s">
        <v>448</v>
      </c>
      <c r="N38">
        <v>8841.5781223847625</v>
      </c>
      <c r="O38">
        <v>8947.6770598533803</v>
      </c>
      <c r="P38">
        <v>9368.2178816664891</v>
      </c>
      <c r="Q38">
        <v>10117.67531219981</v>
      </c>
      <c r="R38">
        <v>10532.5</v>
      </c>
      <c r="S38" t="s">
        <v>449</v>
      </c>
      <c r="T38" t="s">
        <v>450</v>
      </c>
      <c r="U38" t="s">
        <v>451</v>
      </c>
      <c r="V38" t="s">
        <v>49</v>
      </c>
      <c r="W38">
        <v>338996155</v>
      </c>
      <c r="X38">
        <v>339500751</v>
      </c>
      <c r="Y38">
        <v>340560751</v>
      </c>
      <c r="Z38">
        <v>341660751</v>
      </c>
      <c r="AA38">
        <v>343660751</v>
      </c>
      <c r="AB38">
        <f t="shared" si="0"/>
        <v>97111255998.90593</v>
      </c>
      <c r="AC38">
        <f t="shared" si="1"/>
        <v>10983475.422</v>
      </c>
      <c r="AD38">
        <f t="shared" si="2"/>
        <v>98422875841.432495</v>
      </c>
      <c r="AE38">
        <f t="shared" si="3"/>
        <v>10999824.3324</v>
      </c>
      <c r="AF38">
        <f t="shared" si="4"/>
        <v>103370493080.90778</v>
      </c>
      <c r="AG38">
        <f t="shared" si="5"/>
        <v>11034168.3324</v>
      </c>
      <c r="AH38">
        <f t="shared" si="6"/>
        <v>112000726475.50723</v>
      </c>
      <c r="AI38">
        <f t="shared" si="7"/>
        <v>11069808.3324</v>
      </c>
      <c r="AJ38">
        <f t="shared" si="8"/>
        <v>117275262261.00299</v>
      </c>
      <c r="AK38">
        <f t="shared" si="9"/>
        <v>11134608.3324</v>
      </c>
    </row>
    <row r="39" spans="1:37" x14ac:dyDescent="0.35">
      <c r="A39" t="s">
        <v>452</v>
      </c>
      <c r="B39">
        <v>6067.36</v>
      </c>
      <c r="C39" t="s">
        <v>453</v>
      </c>
      <c r="D39" t="s">
        <v>454</v>
      </c>
      <c r="E39" t="s">
        <v>455</v>
      </c>
      <c r="F39">
        <v>3.0000000000000001E-3</v>
      </c>
      <c r="G39" t="s">
        <v>456</v>
      </c>
      <c r="H39">
        <v>0.3</v>
      </c>
      <c r="I39">
        <v>0.13</v>
      </c>
      <c r="J39" t="s">
        <v>457</v>
      </c>
      <c r="K39" t="s">
        <v>458</v>
      </c>
      <c r="L39" t="s">
        <v>459</v>
      </c>
      <c r="M39" t="s">
        <v>460</v>
      </c>
      <c r="N39">
        <v>39574.389208734487</v>
      </c>
      <c r="O39">
        <v>40049.281879239301</v>
      </c>
      <c r="P39">
        <v>41931.598127563542</v>
      </c>
      <c r="Q39">
        <v>45286.125977768628</v>
      </c>
      <c r="R39">
        <v>47142.857142857138</v>
      </c>
      <c r="S39" t="s">
        <v>461</v>
      </c>
      <c r="T39" t="s">
        <v>462</v>
      </c>
      <c r="U39" t="s">
        <v>463</v>
      </c>
      <c r="V39" t="s">
        <v>94</v>
      </c>
      <c r="W39">
        <v>265472419.80000001</v>
      </c>
      <c r="X39">
        <v>266439117.80000001</v>
      </c>
      <c r="Y39">
        <v>267499117.80000001</v>
      </c>
      <c r="Z39">
        <v>268599117.80000001</v>
      </c>
      <c r="AA39">
        <v>270179117.80000001</v>
      </c>
      <c r="AB39">
        <f t="shared" si="0"/>
        <v>31517726596.049255</v>
      </c>
      <c r="AC39">
        <f t="shared" si="1"/>
        <v>796417.2594000001</v>
      </c>
      <c r="AD39">
        <f t="shared" si="2"/>
        <v>32012085997.284142</v>
      </c>
      <c r="AE39">
        <f t="shared" si="3"/>
        <v>799317.35340000002</v>
      </c>
      <c r="AF39">
        <f t="shared" si="4"/>
        <v>33649996521.202145</v>
      </c>
      <c r="AG39">
        <f t="shared" si="5"/>
        <v>802497.35340000002</v>
      </c>
      <c r="AH39">
        <f t="shared" si="6"/>
        <v>36491440458.624947</v>
      </c>
      <c r="AI39">
        <f t="shared" si="7"/>
        <v>805797.35340000002</v>
      </c>
      <c r="AJ39">
        <f t="shared" si="8"/>
        <v>38211046660.285713</v>
      </c>
      <c r="AK39">
        <f t="shared" si="9"/>
        <v>810537.35340000002</v>
      </c>
    </row>
    <row r="40" spans="1:37" x14ac:dyDescent="0.35">
      <c r="A40" t="s">
        <v>464</v>
      </c>
      <c r="B40">
        <v>12134.71</v>
      </c>
      <c r="C40" t="s">
        <v>453</v>
      </c>
      <c r="D40" t="s">
        <v>465</v>
      </c>
      <c r="E40" t="s">
        <v>466</v>
      </c>
      <c r="F40">
        <v>3.0000000000000001E-3</v>
      </c>
      <c r="G40" t="s">
        <v>467</v>
      </c>
      <c r="H40">
        <v>0.4</v>
      </c>
      <c r="I40">
        <v>0.05</v>
      </c>
      <c r="J40" t="s">
        <v>468</v>
      </c>
      <c r="K40" t="s">
        <v>469</v>
      </c>
      <c r="L40" t="s">
        <v>470</v>
      </c>
      <c r="M40" t="s">
        <v>471</v>
      </c>
      <c r="N40">
        <v>39574.389208734487</v>
      </c>
      <c r="O40">
        <v>40049.281879239301</v>
      </c>
      <c r="P40">
        <v>41931.598127563542</v>
      </c>
      <c r="Q40">
        <v>45286.125977768628</v>
      </c>
      <c r="R40">
        <v>47142.857142857138</v>
      </c>
      <c r="S40" t="s">
        <v>472</v>
      </c>
      <c r="T40" t="s">
        <v>473</v>
      </c>
      <c r="U40" t="s">
        <v>474</v>
      </c>
      <c r="V40" t="s">
        <v>94</v>
      </c>
      <c r="W40">
        <v>265472419.80000001</v>
      </c>
      <c r="X40">
        <v>266439117.80000001</v>
      </c>
      <c r="Y40">
        <v>267499117.80000001</v>
      </c>
      <c r="Z40">
        <v>268599117.80000001</v>
      </c>
      <c r="AA40">
        <v>270179117.80000001</v>
      </c>
      <c r="AB40">
        <f t="shared" si="0"/>
        <v>31517726596.049255</v>
      </c>
      <c r="AC40">
        <f t="shared" si="1"/>
        <v>796417.2594000001</v>
      </c>
      <c r="AD40">
        <f t="shared" si="2"/>
        <v>32012085997.284142</v>
      </c>
      <c r="AE40">
        <f t="shared" si="3"/>
        <v>799317.35340000002</v>
      </c>
      <c r="AF40">
        <f t="shared" si="4"/>
        <v>33649996521.202145</v>
      </c>
      <c r="AG40">
        <f t="shared" si="5"/>
        <v>802497.35340000002</v>
      </c>
      <c r="AH40">
        <f t="shared" si="6"/>
        <v>36491440458.624947</v>
      </c>
      <c r="AI40">
        <f t="shared" si="7"/>
        <v>805797.35340000002</v>
      </c>
      <c r="AJ40">
        <f t="shared" si="8"/>
        <v>38211046660.285713</v>
      </c>
      <c r="AK40">
        <f t="shared" si="9"/>
        <v>810537.35340000002</v>
      </c>
    </row>
    <row r="41" spans="1:37" x14ac:dyDescent="0.35">
      <c r="A41" t="s">
        <v>475</v>
      </c>
      <c r="B41">
        <v>659.17</v>
      </c>
      <c r="C41" t="s">
        <v>325</v>
      </c>
      <c r="D41" t="s">
        <v>476</v>
      </c>
      <c r="E41" t="s">
        <v>477</v>
      </c>
      <c r="F41">
        <v>0.12</v>
      </c>
      <c r="G41" t="s">
        <v>478</v>
      </c>
      <c r="H41">
        <v>10.15</v>
      </c>
      <c r="I41">
        <v>0</v>
      </c>
      <c r="J41" t="s">
        <v>479</v>
      </c>
      <c r="K41" t="s">
        <v>480</v>
      </c>
      <c r="L41" t="s">
        <v>481</v>
      </c>
      <c r="M41" t="s">
        <v>482</v>
      </c>
      <c r="N41">
        <v>4512.0799817534398</v>
      </c>
      <c r="O41">
        <v>4566.2249415344813</v>
      </c>
      <c r="P41">
        <v>4780.8375137866014</v>
      </c>
      <c r="Q41">
        <v>5163.3045148895299</v>
      </c>
      <c r="R41">
        <v>5375</v>
      </c>
      <c r="S41" t="s">
        <v>483</v>
      </c>
      <c r="T41" t="s">
        <v>484</v>
      </c>
      <c r="U41" t="s">
        <v>485</v>
      </c>
      <c r="V41" t="s">
        <v>94</v>
      </c>
      <c r="W41">
        <v>265472419.80000001</v>
      </c>
      <c r="X41">
        <v>266439117.80000001</v>
      </c>
      <c r="Y41">
        <v>267499117.80000001</v>
      </c>
      <c r="Z41">
        <v>268599117.80000001</v>
      </c>
      <c r="AA41">
        <v>270179117.80000001</v>
      </c>
      <c r="AB41">
        <f t="shared" si="0"/>
        <v>143739934930.46707</v>
      </c>
      <c r="AC41">
        <f t="shared" si="1"/>
        <v>31856690.376000002</v>
      </c>
      <c r="AD41">
        <f t="shared" si="2"/>
        <v>145994513411.85648</v>
      </c>
      <c r="AE41">
        <f t="shared" si="3"/>
        <v>31972694.136</v>
      </c>
      <c r="AF41">
        <f t="shared" si="4"/>
        <v>153464378073.96735</v>
      </c>
      <c r="AG41">
        <f t="shared" si="5"/>
        <v>32099894.136</v>
      </c>
      <c r="AH41">
        <f t="shared" si="6"/>
        <v>166423084515.85016</v>
      </c>
      <c r="AI41">
        <f t="shared" si="7"/>
        <v>32231894.136</v>
      </c>
      <c r="AJ41">
        <f t="shared" si="8"/>
        <v>174265530981</v>
      </c>
      <c r="AK41">
        <f t="shared" si="9"/>
        <v>32421494.136</v>
      </c>
    </row>
    <row r="42" spans="1:37" x14ac:dyDescent="0.35">
      <c r="A42" t="s">
        <v>486</v>
      </c>
      <c r="B42">
        <v>404.32</v>
      </c>
      <c r="C42" t="s">
        <v>487</v>
      </c>
      <c r="D42" t="s">
        <v>488</v>
      </c>
      <c r="E42" t="s">
        <v>489</v>
      </c>
      <c r="F42">
        <v>2.8000000000000001E-2</v>
      </c>
      <c r="G42" t="s">
        <v>490</v>
      </c>
      <c r="H42">
        <v>30.4</v>
      </c>
      <c r="I42">
        <v>2.15</v>
      </c>
      <c r="J42" t="s">
        <v>491</v>
      </c>
      <c r="K42" t="s">
        <v>492</v>
      </c>
      <c r="L42" t="s">
        <v>493</v>
      </c>
      <c r="M42" t="s">
        <v>494</v>
      </c>
      <c r="N42">
        <v>4761.448013576749</v>
      </c>
      <c r="O42">
        <v>4818.5853897396701</v>
      </c>
      <c r="P42">
        <v>5045.0589030574338</v>
      </c>
      <c r="Q42">
        <v>5448.663615302029</v>
      </c>
      <c r="R42">
        <v>5672.0588235294117</v>
      </c>
      <c r="S42" t="s">
        <v>495</v>
      </c>
      <c r="T42" t="s">
        <v>496</v>
      </c>
      <c r="U42" t="s">
        <v>497</v>
      </c>
      <c r="V42" t="s">
        <v>94</v>
      </c>
      <c r="W42">
        <v>265472419.80000001</v>
      </c>
      <c r="X42">
        <v>266439117.80000001</v>
      </c>
      <c r="Y42">
        <v>267499117.80000001</v>
      </c>
      <c r="Z42">
        <v>268599117.80000001</v>
      </c>
      <c r="AA42">
        <v>270179117.80000001</v>
      </c>
      <c r="AB42">
        <f t="shared" si="0"/>
        <v>35392927525.651436</v>
      </c>
      <c r="AC42">
        <f t="shared" si="1"/>
        <v>7433227.7544000009</v>
      </c>
      <c r="AD42">
        <f t="shared" si="2"/>
        <v>35948069928.013794</v>
      </c>
      <c r="AE42">
        <f t="shared" si="3"/>
        <v>7460295.2984000007</v>
      </c>
      <c r="AF42">
        <f t="shared" si="4"/>
        <v>37787366562.873184</v>
      </c>
      <c r="AG42">
        <f t="shared" si="5"/>
        <v>7489975.2984000007</v>
      </c>
      <c r="AH42">
        <f t="shared" si="6"/>
        <v>40978174727.254349</v>
      </c>
      <c r="AI42">
        <f t="shared" si="7"/>
        <v>7520775.2984000007</v>
      </c>
      <c r="AJ42">
        <f t="shared" si="8"/>
        <v>42909211773.424706</v>
      </c>
      <c r="AK42">
        <f t="shared" si="9"/>
        <v>7565015.2984000007</v>
      </c>
    </row>
    <row r="43" spans="1:37" x14ac:dyDescent="0.35">
      <c r="A43" t="s">
        <v>498</v>
      </c>
      <c r="B43">
        <v>271.3</v>
      </c>
      <c r="C43" t="s">
        <v>208</v>
      </c>
      <c r="D43" t="s">
        <v>499</v>
      </c>
      <c r="E43" t="s">
        <v>500</v>
      </c>
      <c r="F43">
        <v>3.1E-2</v>
      </c>
      <c r="G43" t="s">
        <v>501</v>
      </c>
      <c r="H43">
        <v>0.5</v>
      </c>
      <c r="I43">
        <v>0.14000000000000001</v>
      </c>
      <c r="J43" t="s">
        <v>502</v>
      </c>
      <c r="K43" t="s">
        <v>503</v>
      </c>
      <c r="L43" t="s">
        <v>504</v>
      </c>
      <c r="M43" t="s">
        <v>505</v>
      </c>
      <c r="N43">
        <v>1106.1651733936201</v>
      </c>
      <c r="O43">
        <v>1119.4391554743429</v>
      </c>
      <c r="P43">
        <v>1172.0527957816371</v>
      </c>
      <c r="Q43">
        <v>1265.817019444168</v>
      </c>
      <c r="R43">
        <v>1317.7155172413791</v>
      </c>
      <c r="S43" t="s">
        <v>506</v>
      </c>
      <c r="T43" t="s">
        <v>507</v>
      </c>
      <c r="U43" t="s">
        <v>508</v>
      </c>
      <c r="V43" t="s">
        <v>94</v>
      </c>
      <c r="W43">
        <v>265472419.80000001</v>
      </c>
      <c r="X43">
        <v>266439117.80000001</v>
      </c>
      <c r="Y43">
        <v>267499117.80000001</v>
      </c>
      <c r="Z43">
        <v>268599117.80000001</v>
      </c>
      <c r="AA43">
        <v>270179117.80000001</v>
      </c>
      <c r="AB43">
        <f t="shared" si="0"/>
        <v>9103346703.6580181</v>
      </c>
      <c r="AC43">
        <f t="shared" si="1"/>
        <v>8229645.0138000008</v>
      </c>
      <c r="AD43">
        <f t="shared" si="2"/>
        <v>9246133811.4761906</v>
      </c>
      <c r="AE43">
        <f t="shared" si="3"/>
        <v>8259612.6518000001</v>
      </c>
      <c r="AF43">
        <f t="shared" si="4"/>
        <v>9719215755.4849567</v>
      </c>
      <c r="AG43">
        <f t="shared" si="5"/>
        <v>8292472.6518000001</v>
      </c>
      <c r="AH43">
        <f t="shared" si="6"/>
        <v>10539917376.286798</v>
      </c>
      <c r="AI43">
        <f t="shared" si="7"/>
        <v>8326572.6518000001</v>
      </c>
      <c r="AJ43">
        <f t="shared" si="8"/>
        <v>11036595694.749041</v>
      </c>
      <c r="AK43">
        <f t="shared" si="9"/>
        <v>8375552.6518000001</v>
      </c>
    </row>
    <row r="44" spans="1:37" x14ac:dyDescent="0.35">
      <c r="A44" t="s">
        <v>509</v>
      </c>
      <c r="B44">
        <v>813.89</v>
      </c>
      <c r="C44" t="s">
        <v>208</v>
      </c>
      <c r="D44" t="s">
        <v>510</v>
      </c>
      <c r="E44" t="s">
        <v>511</v>
      </c>
      <c r="F44">
        <v>3.1E-2</v>
      </c>
      <c r="G44" t="s">
        <v>512</v>
      </c>
      <c r="H44">
        <v>0.3</v>
      </c>
      <c r="I44">
        <v>0.26</v>
      </c>
      <c r="J44" t="s">
        <v>513</v>
      </c>
      <c r="K44" t="s">
        <v>514</v>
      </c>
      <c r="L44" t="s">
        <v>515</v>
      </c>
      <c r="M44" t="s">
        <v>516</v>
      </c>
      <c r="N44">
        <v>1106.1651733936201</v>
      </c>
      <c r="O44">
        <v>1119.4391554743429</v>
      </c>
      <c r="P44">
        <v>1172.0527957816371</v>
      </c>
      <c r="Q44">
        <v>1265.817019444168</v>
      </c>
      <c r="R44">
        <v>1317.7155172413791</v>
      </c>
      <c r="S44" t="s">
        <v>517</v>
      </c>
      <c r="T44" t="s">
        <v>518</v>
      </c>
      <c r="U44" t="s">
        <v>519</v>
      </c>
      <c r="V44" t="s">
        <v>94</v>
      </c>
      <c r="W44">
        <v>265472419.80000001</v>
      </c>
      <c r="X44">
        <v>266439117.80000001</v>
      </c>
      <c r="Y44">
        <v>267499117.80000001</v>
      </c>
      <c r="Z44">
        <v>268599117.80000001</v>
      </c>
      <c r="AA44">
        <v>270179117.80000001</v>
      </c>
      <c r="AB44">
        <f t="shared" si="0"/>
        <v>9103346703.6580181</v>
      </c>
      <c r="AC44">
        <f t="shared" si="1"/>
        <v>8229645.0138000008</v>
      </c>
      <c r="AD44">
        <f t="shared" si="2"/>
        <v>9246133811.4761906</v>
      </c>
      <c r="AE44">
        <f t="shared" si="3"/>
        <v>8259612.6518000001</v>
      </c>
      <c r="AF44">
        <f t="shared" si="4"/>
        <v>9719215755.4849567</v>
      </c>
      <c r="AG44">
        <f t="shared" si="5"/>
        <v>8292472.6518000001</v>
      </c>
      <c r="AH44">
        <f t="shared" si="6"/>
        <v>10539917376.286798</v>
      </c>
      <c r="AI44">
        <f t="shared" si="7"/>
        <v>8326572.6518000001</v>
      </c>
      <c r="AJ44">
        <f t="shared" si="8"/>
        <v>11036595694.749041</v>
      </c>
      <c r="AK44">
        <f t="shared" si="9"/>
        <v>8375552.6518000001</v>
      </c>
    </row>
    <row r="45" spans="1:37" x14ac:dyDescent="0.35">
      <c r="A45" t="s">
        <v>520</v>
      </c>
      <c r="B45">
        <v>271.3</v>
      </c>
      <c r="C45" t="s">
        <v>208</v>
      </c>
      <c r="D45" t="s">
        <v>521</v>
      </c>
      <c r="E45" t="s">
        <v>522</v>
      </c>
      <c r="F45">
        <v>3.1E-2</v>
      </c>
      <c r="G45" t="s">
        <v>523</v>
      </c>
      <c r="H45">
        <v>0.2</v>
      </c>
      <c r="I45">
        <v>0.15</v>
      </c>
      <c r="J45" t="s">
        <v>524</v>
      </c>
      <c r="K45" t="s">
        <v>525</v>
      </c>
      <c r="L45" t="s">
        <v>526</v>
      </c>
      <c r="M45" t="s">
        <v>527</v>
      </c>
      <c r="N45">
        <v>1106.1651733936201</v>
      </c>
      <c r="O45">
        <v>1119.4391554743429</v>
      </c>
      <c r="P45">
        <v>1172.0527957816371</v>
      </c>
      <c r="Q45">
        <v>1265.817019444168</v>
      </c>
      <c r="R45">
        <v>1317.7155172413791</v>
      </c>
      <c r="S45" t="s">
        <v>528</v>
      </c>
      <c r="T45" t="s">
        <v>529</v>
      </c>
      <c r="U45" t="s">
        <v>530</v>
      </c>
      <c r="V45" t="s">
        <v>94</v>
      </c>
      <c r="W45">
        <v>265472419.80000001</v>
      </c>
      <c r="X45">
        <v>266439117.80000001</v>
      </c>
      <c r="Y45">
        <v>267499117.80000001</v>
      </c>
      <c r="Z45">
        <v>268599117.80000001</v>
      </c>
      <c r="AA45">
        <v>270179117.80000001</v>
      </c>
      <c r="AB45">
        <f t="shared" si="0"/>
        <v>9103346703.6580181</v>
      </c>
      <c r="AC45">
        <f t="shared" si="1"/>
        <v>8229645.0138000008</v>
      </c>
      <c r="AD45">
        <f t="shared" si="2"/>
        <v>9246133811.4761906</v>
      </c>
      <c r="AE45">
        <f t="shared" si="3"/>
        <v>8259612.6518000001</v>
      </c>
      <c r="AF45">
        <f t="shared" si="4"/>
        <v>9719215755.4849567</v>
      </c>
      <c r="AG45">
        <f t="shared" si="5"/>
        <v>8292472.6518000001</v>
      </c>
      <c r="AH45">
        <f t="shared" si="6"/>
        <v>10539917376.286798</v>
      </c>
      <c r="AI45">
        <f t="shared" si="7"/>
        <v>8326572.6518000001</v>
      </c>
      <c r="AJ45">
        <f t="shared" si="8"/>
        <v>11036595694.749041</v>
      </c>
      <c r="AK45">
        <f t="shared" si="9"/>
        <v>8375552.6518000001</v>
      </c>
    </row>
    <row r="46" spans="1:37" x14ac:dyDescent="0.35">
      <c r="A46" t="s">
        <v>531</v>
      </c>
      <c r="B46">
        <v>20050.25</v>
      </c>
      <c r="C46" t="s">
        <v>348</v>
      </c>
      <c r="D46" t="s">
        <v>532</v>
      </c>
      <c r="E46" t="s">
        <v>533</v>
      </c>
      <c r="F46">
        <v>5.0000000000000001E-4</v>
      </c>
      <c r="G46" t="s">
        <v>534</v>
      </c>
      <c r="H46">
        <v>0.35</v>
      </c>
      <c r="I46">
        <v>0.05</v>
      </c>
      <c r="J46" t="s">
        <v>535</v>
      </c>
      <c r="K46" t="s">
        <v>536</v>
      </c>
      <c r="L46" t="s">
        <v>537</v>
      </c>
      <c r="M46" t="s">
        <v>538</v>
      </c>
      <c r="N46">
        <v>128436.8813410747</v>
      </c>
      <c r="O46">
        <v>129978.1239171676</v>
      </c>
      <c r="P46">
        <v>136087.09574127439</v>
      </c>
      <c r="Q46">
        <v>146974.06340057639</v>
      </c>
      <c r="R46">
        <v>153000</v>
      </c>
      <c r="S46" t="s">
        <v>539</v>
      </c>
      <c r="T46" t="s">
        <v>540</v>
      </c>
      <c r="U46" t="s">
        <v>541</v>
      </c>
      <c r="V46" t="s">
        <v>94</v>
      </c>
      <c r="W46">
        <v>265472419.80000001</v>
      </c>
      <c r="X46">
        <v>266439117.80000001</v>
      </c>
      <c r="Y46">
        <v>267499117.80000001</v>
      </c>
      <c r="Z46">
        <v>268599117.80000001</v>
      </c>
      <c r="AA46">
        <v>270179117.80000001</v>
      </c>
      <c r="AB46">
        <f t="shared" si="0"/>
        <v>17048224840.590286</v>
      </c>
      <c r="AC46">
        <f t="shared" si="1"/>
        <v>132736.20990000002</v>
      </c>
      <c r="AD46">
        <f t="shared" si="2"/>
        <v>17315628334.894611</v>
      </c>
      <c r="AE46">
        <f t="shared" si="3"/>
        <v>133219.5589</v>
      </c>
      <c r="AF46">
        <f t="shared" si="4"/>
        <v>18201589027.377522</v>
      </c>
      <c r="AG46">
        <f t="shared" si="5"/>
        <v>133749.5589</v>
      </c>
      <c r="AH46">
        <f t="shared" si="6"/>
        <v>19738551884.438042</v>
      </c>
      <c r="AI46">
        <f t="shared" si="7"/>
        <v>134299.5589</v>
      </c>
      <c r="AJ46">
        <f t="shared" si="8"/>
        <v>20668702511.700001</v>
      </c>
      <c r="AK46">
        <f t="shared" si="9"/>
        <v>135089.5589</v>
      </c>
    </row>
    <row r="47" spans="1:37" x14ac:dyDescent="0.35">
      <c r="A47" t="s">
        <v>542</v>
      </c>
      <c r="B47">
        <v>9159.36</v>
      </c>
      <c r="C47" t="s">
        <v>278</v>
      </c>
      <c r="D47" t="s">
        <v>543</v>
      </c>
      <c r="E47" t="s">
        <v>544</v>
      </c>
      <c r="F47">
        <v>1.2999999999999999E-5</v>
      </c>
      <c r="G47" t="s">
        <v>545</v>
      </c>
      <c r="H47">
        <v>0.3</v>
      </c>
      <c r="I47">
        <v>2030.4</v>
      </c>
      <c r="J47" t="s">
        <v>546</v>
      </c>
      <c r="K47" t="s">
        <v>547</v>
      </c>
      <c r="L47" t="s">
        <v>548</v>
      </c>
      <c r="M47" t="s">
        <v>549</v>
      </c>
      <c r="N47">
        <v>117659.73818356229</v>
      </c>
      <c r="O47">
        <v>119071.655041765</v>
      </c>
      <c r="P47">
        <v>124668.022828728</v>
      </c>
      <c r="Q47">
        <v>134641.46465502621</v>
      </c>
      <c r="R47">
        <v>140161.76470588229</v>
      </c>
      <c r="S47" t="s">
        <v>550</v>
      </c>
      <c r="T47" t="s">
        <v>551</v>
      </c>
      <c r="U47" t="s">
        <v>552</v>
      </c>
      <c r="V47" t="s">
        <v>49</v>
      </c>
      <c r="W47">
        <v>338996155</v>
      </c>
      <c r="X47">
        <v>339500751</v>
      </c>
      <c r="Y47">
        <v>340560751</v>
      </c>
      <c r="Z47">
        <v>341660751</v>
      </c>
      <c r="AA47">
        <v>343660751</v>
      </c>
      <c r="AB47">
        <f t="shared" si="0"/>
        <v>518520584.95294595</v>
      </c>
      <c r="AC47">
        <f t="shared" si="1"/>
        <v>4406.9500149999994</v>
      </c>
      <c r="AD47">
        <f t="shared" si="2"/>
        <v>525523912.02339798</v>
      </c>
      <c r="AE47">
        <f t="shared" si="3"/>
        <v>4413.509763</v>
      </c>
      <c r="AF47">
        <f t="shared" si="4"/>
        <v>551941461.24307775</v>
      </c>
      <c r="AG47">
        <f t="shared" si="5"/>
        <v>4427.2897629999998</v>
      </c>
      <c r="AH47">
        <f t="shared" si="6"/>
        <v>598022151.08709073</v>
      </c>
      <c r="AI47">
        <f t="shared" si="7"/>
        <v>4441.5897629999999</v>
      </c>
      <c r="AJ47">
        <f t="shared" si="8"/>
        <v>626185265.16401446</v>
      </c>
      <c r="AK47">
        <f t="shared" si="9"/>
        <v>4467.5897629999999</v>
      </c>
    </row>
    <row r="48" spans="1:37" x14ac:dyDescent="0.35">
      <c r="A48" t="s">
        <v>553</v>
      </c>
      <c r="B48">
        <v>3033.68</v>
      </c>
      <c r="C48" t="s">
        <v>554</v>
      </c>
      <c r="D48" t="s">
        <v>555</v>
      </c>
      <c r="E48" t="s">
        <v>556</v>
      </c>
      <c r="F48">
        <v>3.5000000000000001E-3</v>
      </c>
      <c r="G48" t="s">
        <v>557</v>
      </c>
      <c r="H48">
        <v>305040.7</v>
      </c>
      <c r="I48">
        <v>15213.15</v>
      </c>
      <c r="J48" t="s">
        <v>558</v>
      </c>
      <c r="K48" t="s">
        <v>559</v>
      </c>
      <c r="L48" t="s">
        <v>560</v>
      </c>
      <c r="M48" t="s">
        <v>561</v>
      </c>
      <c r="N48">
        <v>46170.120743523563</v>
      </c>
      <c r="O48">
        <v>46724.162192445838</v>
      </c>
      <c r="P48">
        <v>48920.197815490799</v>
      </c>
      <c r="Q48">
        <v>52833.81364073007</v>
      </c>
      <c r="R48">
        <v>55000</v>
      </c>
      <c r="S48" t="s">
        <v>562</v>
      </c>
      <c r="T48" t="s">
        <v>563</v>
      </c>
      <c r="U48" t="s">
        <v>564</v>
      </c>
      <c r="V48" t="s">
        <v>94</v>
      </c>
      <c r="W48">
        <v>265472419.80000001</v>
      </c>
      <c r="X48">
        <v>266439117.80000001</v>
      </c>
      <c r="Y48">
        <v>267499117.80000001</v>
      </c>
      <c r="Z48">
        <v>268599117.80000001</v>
      </c>
      <c r="AA48">
        <v>270179117.80000001</v>
      </c>
      <c r="AB48">
        <f t="shared" si="0"/>
        <v>42899127866.84481</v>
      </c>
      <c r="AC48">
        <f t="shared" si="1"/>
        <v>929153.46930000011</v>
      </c>
      <c r="AD48">
        <f t="shared" si="2"/>
        <v>43572005940.747841</v>
      </c>
      <c r="AE48">
        <f t="shared" si="3"/>
        <v>932536.91230000008</v>
      </c>
      <c r="AF48">
        <f t="shared" si="4"/>
        <v>45801384153.858475</v>
      </c>
      <c r="AG48">
        <f t="shared" si="5"/>
        <v>936246.91230000008</v>
      </c>
      <c r="AH48">
        <f t="shared" si="6"/>
        <v>49668905068.68396</v>
      </c>
      <c r="AI48">
        <f t="shared" si="7"/>
        <v>940096.91230000008</v>
      </c>
      <c r="AJ48">
        <f t="shared" si="8"/>
        <v>52009480176.5</v>
      </c>
      <c r="AK48">
        <f t="shared" si="9"/>
        <v>945626.91230000008</v>
      </c>
    </row>
    <row r="49" spans="1:37" x14ac:dyDescent="0.35">
      <c r="A49" t="s">
        <v>565</v>
      </c>
      <c r="B49">
        <v>5317.27</v>
      </c>
      <c r="C49" t="s">
        <v>566</v>
      </c>
      <c r="D49" t="s">
        <v>567</v>
      </c>
      <c r="E49" t="s">
        <v>568</v>
      </c>
      <c r="F49">
        <v>2.2499999999999999E-4</v>
      </c>
      <c r="G49" t="s">
        <v>569</v>
      </c>
      <c r="H49">
        <v>0.3</v>
      </c>
      <c r="I49">
        <v>203.05</v>
      </c>
      <c r="J49" t="s">
        <v>570</v>
      </c>
      <c r="K49" t="s">
        <v>571</v>
      </c>
      <c r="L49" t="s">
        <v>572</v>
      </c>
      <c r="M49" t="s">
        <v>573</v>
      </c>
      <c r="N49">
        <v>98098.151586384061</v>
      </c>
      <c r="O49">
        <v>99275.329405420678</v>
      </c>
      <c r="P49">
        <v>103941.2698874754</v>
      </c>
      <c r="Q49">
        <v>112256.5714784735</v>
      </c>
      <c r="R49">
        <v>116859.0909090909</v>
      </c>
      <c r="S49" t="s">
        <v>574</v>
      </c>
      <c r="T49" t="s">
        <v>575</v>
      </c>
      <c r="U49" t="s">
        <v>576</v>
      </c>
      <c r="V49" t="s">
        <v>94</v>
      </c>
      <c r="W49">
        <v>265472419.80000001</v>
      </c>
      <c r="X49">
        <v>266439117.80000001</v>
      </c>
      <c r="Y49">
        <v>267499117.80000001</v>
      </c>
      <c r="Z49">
        <v>268599117.80000001</v>
      </c>
      <c r="AA49">
        <v>270179117.80000001</v>
      </c>
      <c r="AB49">
        <f t="shared" si="0"/>
        <v>5859529577.8975315</v>
      </c>
      <c r="AC49">
        <f t="shared" si="1"/>
        <v>59731.294455000003</v>
      </c>
      <c r="AD49">
        <f t="shared" si="2"/>
        <v>5951437016.8690538</v>
      </c>
      <c r="AE49">
        <f t="shared" si="3"/>
        <v>59948.801505000003</v>
      </c>
      <c r="AF49">
        <f t="shared" si="4"/>
        <v>6255944549.5300589</v>
      </c>
      <c r="AG49">
        <f t="shared" si="5"/>
        <v>60187.301505000003</v>
      </c>
      <c r="AH49">
        <f t="shared" si="6"/>
        <v>6784203614.9333906</v>
      </c>
      <c r="AI49">
        <f t="shared" si="7"/>
        <v>60434.801505000003</v>
      </c>
      <c r="AJ49">
        <f t="shared" si="8"/>
        <v>7103899369.9638405</v>
      </c>
      <c r="AK49">
        <f t="shared" si="9"/>
        <v>60790.301505000003</v>
      </c>
    </row>
    <row r="50" spans="1:37" x14ac:dyDescent="0.35">
      <c r="A50" t="s">
        <v>577</v>
      </c>
      <c r="B50">
        <v>1388.15</v>
      </c>
      <c r="C50" t="s">
        <v>578</v>
      </c>
      <c r="D50" t="s">
        <v>579</v>
      </c>
      <c r="E50" t="s">
        <v>580</v>
      </c>
      <c r="F50">
        <v>2.3400000000000001E-2</v>
      </c>
      <c r="G50" t="s">
        <v>581</v>
      </c>
      <c r="H50">
        <v>0.25</v>
      </c>
      <c r="I50">
        <v>0</v>
      </c>
      <c r="J50" t="s">
        <v>582</v>
      </c>
      <c r="K50" t="s">
        <v>583</v>
      </c>
      <c r="L50" t="s">
        <v>584</v>
      </c>
      <c r="M50" t="s">
        <v>585</v>
      </c>
      <c r="N50">
        <v>5456.4688151436949</v>
      </c>
      <c r="O50">
        <v>5521.9464409254197</v>
      </c>
      <c r="P50">
        <v>5781.4779236489139</v>
      </c>
      <c r="Q50">
        <v>6243.996157540827</v>
      </c>
      <c r="R50">
        <v>6500</v>
      </c>
      <c r="S50" t="s">
        <v>586</v>
      </c>
      <c r="T50" t="s">
        <v>587</v>
      </c>
      <c r="U50" t="s">
        <v>588</v>
      </c>
      <c r="V50" t="s">
        <v>94</v>
      </c>
      <c r="W50">
        <v>265472419.80000001</v>
      </c>
      <c r="X50">
        <v>266439117.80000001</v>
      </c>
      <c r="Y50">
        <v>267499117.80000001</v>
      </c>
      <c r="Z50">
        <v>268599117.80000001</v>
      </c>
      <c r="AA50">
        <v>270179117.80000001</v>
      </c>
      <c r="AB50">
        <f t="shared" si="0"/>
        <v>33895882330.114792</v>
      </c>
      <c r="AC50">
        <f t="shared" si="1"/>
        <v>6212054.6233200002</v>
      </c>
      <c r="AD50">
        <f t="shared" si="2"/>
        <v>34427543395.26104</v>
      </c>
      <c r="AE50">
        <f t="shared" si="3"/>
        <v>6234675.3565200008</v>
      </c>
      <c r="AF50">
        <f t="shared" si="4"/>
        <v>36189041713.256493</v>
      </c>
      <c r="AG50">
        <f t="shared" si="5"/>
        <v>6259479.3565200008</v>
      </c>
      <c r="AH50">
        <f t="shared" si="6"/>
        <v>39244885511.412109</v>
      </c>
      <c r="AI50">
        <f t="shared" si="7"/>
        <v>6285219.3565200008</v>
      </c>
      <c r="AJ50">
        <f t="shared" si="8"/>
        <v>41094243817.380005</v>
      </c>
      <c r="AK50">
        <f t="shared" si="9"/>
        <v>6322191.3565200008</v>
      </c>
    </row>
    <row r="51" spans="1:37" x14ac:dyDescent="0.35">
      <c r="A51" t="s">
        <v>589</v>
      </c>
      <c r="B51">
        <v>130.97999999999999</v>
      </c>
      <c r="C51" t="s">
        <v>590</v>
      </c>
      <c r="D51" t="s">
        <v>591</v>
      </c>
      <c r="E51" t="s">
        <v>592</v>
      </c>
      <c r="F51">
        <v>2.0000000000000001E-4</v>
      </c>
      <c r="G51" t="s">
        <v>593</v>
      </c>
      <c r="H51">
        <v>0.2</v>
      </c>
      <c r="I51">
        <v>0.05</v>
      </c>
      <c r="J51" t="s">
        <v>594</v>
      </c>
      <c r="K51" t="s">
        <v>595</v>
      </c>
      <c r="L51" t="s">
        <v>596</v>
      </c>
      <c r="M51" t="s">
        <v>597</v>
      </c>
      <c r="N51">
        <v>57083.058373810964</v>
      </c>
      <c r="O51">
        <v>57768.055074296688</v>
      </c>
      <c r="P51">
        <v>60483.153662788631</v>
      </c>
      <c r="Q51">
        <v>65321.805955811717</v>
      </c>
      <c r="R51">
        <v>68000</v>
      </c>
      <c r="S51" t="s">
        <v>598</v>
      </c>
      <c r="T51" t="s">
        <v>599</v>
      </c>
      <c r="U51" t="s">
        <v>600</v>
      </c>
      <c r="V51" t="s">
        <v>49</v>
      </c>
      <c r="W51">
        <v>338996155</v>
      </c>
      <c r="X51">
        <v>339500751</v>
      </c>
      <c r="Y51">
        <v>340560751</v>
      </c>
      <c r="Z51">
        <v>341660751</v>
      </c>
      <c r="AA51">
        <v>343660751</v>
      </c>
      <c r="AB51">
        <f t="shared" si="0"/>
        <v>3870187460.8724937</v>
      </c>
      <c r="AC51">
        <f t="shared" si="1"/>
        <v>67799.231</v>
      </c>
      <c r="AD51">
        <f t="shared" si="2"/>
        <v>3922459616.3066173</v>
      </c>
      <c r="AE51">
        <f t="shared" si="3"/>
        <v>67900.150200000004</v>
      </c>
      <c r="AF51">
        <f t="shared" si="4"/>
        <v>4119637646.8495393</v>
      </c>
      <c r="AG51">
        <f t="shared" si="5"/>
        <v>68112.150200000004</v>
      </c>
      <c r="AH51">
        <f t="shared" si="6"/>
        <v>4463579455.9077806</v>
      </c>
      <c r="AI51">
        <f t="shared" si="7"/>
        <v>68332.150200000004</v>
      </c>
      <c r="AJ51">
        <f t="shared" si="8"/>
        <v>4673786213.6000004</v>
      </c>
      <c r="AK51">
        <f t="shared" si="9"/>
        <v>68732.150200000004</v>
      </c>
    </row>
    <row r="52" spans="1:37" x14ac:dyDescent="0.35">
      <c r="A52" t="s">
        <v>601</v>
      </c>
      <c r="B52">
        <v>130.97999999999999</v>
      </c>
      <c r="C52" t="s">
        <v>590</v>
      </c>
      <c r="D52" t="s">
        <v>602</v>
      </c>
      <c r="E52" t="s">
        <v>603</v>
      </c>
      <c r="F52">
        <v>2.0000000000000001E-4</v>
      </c>
      <c r="G52" t="s">
        <v>604</v>
      </c>
      <c r="H52">
        <v>30.4</v>
      </c>
      <c r="I52">
        <v>5.15</v>
      </c>
      <c r="J52" t="s">
        <v>605</v>
      </c>
      <c r="K52" t="s">
        <v>606</v>
      </c>
      <c r="L52" t="s">
        <v>607</v>
      </c>
      <c r="M52" t="s">
        <v>608</v>
      </c>
      <c r="N52">
        <v>57083.058373810964</v>
      </c>
      <c r="O52">
        <v>57768.055074296688</v>
      </c>
      <c r="P52">
        <v>60483.153662788631</v>
      </c>
      <c r="Q52">
        <v>65321.805955811717</v>
      </c>
      <c r="R52">
        <v>68000</v>
      </c>
      <c r="S52" t="s">
        <v>609</v>
      </c>
      <c r="T52" t="s">
        <v>610</v>
      </c>
      <c r="U52" t="s">
        <v>611</v>
      </c>
      <c r="V52" t="s">
        <v>49</v>
      </c>
      <c r="W52">
        <v>338996155</v>
      </c>
      <c r="X52">
        <v>339500751</v>
      </c>
      <c r="Y52">
        <v>340560751</v>
      </c>
      <c r="Z52">
        <v>341660751</v>
      </c>
      <c r="AA52">
        <v>343660751</v>
      </c>
      <c r="AB52">
        <f t="shared" si="0"/>
        <v>3870187460.8724937</v>
      </c>
      <c r="AC52">
        <f t="shared" si="1"/>
        <v>67799.231</v>
      </c>
      <c r="AD52">
        <f t="shared" si="2"/>
        <v>3922459616.3066173</v>
      </c>
      <c r="AE52">
        <f t="shared" si="3"/>
        <v>67900.150200000004</v>
      </c>
      <c r="AF52">
        <f t="shared" si="4"/>
        <v>4119637646.8495393</v>
      </c>
      <c r="AG52">
        <f t="shared" si="5"/>
        <v>68112.150200000004</v>
      </c>
      <c r="AH52">
        <f t="shared" si="6"/>
        <v>4463579455.9077806</v>
      </c>
      <c r="AI52">
        <f t="shared" si="7"/>
        <v>68332.150200000004</v>
      </c>
      <c r="AJ52">
        <f t="shared" si="8"/>
        <v>4673786213.6000004</v>
      </c>
      <c r="AK52">
        <f t="shared" si="9"/>
        <v>68732.150200000004</v>
      </c>
    </row>
    <row r="53" spans="1:37" x14ac:dyDescent="0.35">
      <c r="A53" t="s">
        <v>612</v>
      </c>
      <c r="B53">
        <v>1431.26</v>
      </c>
      <c r="C53" t="s">
        <v>613</v>
      </c>
      <c r="D53" t="s">
        <v>614</v>
      </c>
      <c r="E53" t="s">
        <v>615</v>
      </c>
      <c r="F53">
        <v>4.6899999999999997E-2</v>
      </c>
      <c r="G53" t="s">
        <v>616</v>
      </c>
      <c r="H53">
        <v>0.35</v>
      </c>
      <c r="I53">
        <v>0.2</v>
      </c>
      <c r="J53" t="s">
        <v>617</v>
      </c>
      <c r="K53" t="s">
        <v>618</v>
      </c>
      <c r="L53" t="s">
        <v>619</v>
      </c>
      <c r="M53" t="s">
        <v>620</v>
      </c>
      <c r="N53">
        <v>3294.8677076059998</v>
      </c>
      <c r="O53">
        <v>3334.4061200972719</v>
      </c>
      <c r="P53">
        <v>3491.123207741844</v>
      </c>
      <c r="Q53">
        <v>3770.413064361192</v>
      </c>
      <c r="R53">
        <v>3925</v>
      </c>
      <c r="S53" t="s">
        <v>621</v>
      </c>
      <c r="T53" t="s">
        <v>622</v>
      </c>
      <c r="U53" t="s">
        <v>623</v>
      </c>
      <c r="V53" t="s">
        <v>94</v>
      </c>
      <c r="W53">
        <v>265472419.80000001</v>
      </c>
      <c r="X53">
        <v>266439117.80000001</v>
      </c>
      <c r="Y53">
        <v>267499117.80000001</v>
      </c>
      <c r="Z53">
        <v>268599117.80000001</v>
      </c>
      <c r="AA53">
        <v>270179117.80000001</v>
      </c>
      <c r="AB53">
        <f t="shared" si="0"/>
        <v>41023266002.849144</v>
      </c>
      <c r="AC53">
        <f t="shared" si="1"/>
        <v>12450656.48862</v>
      </c>
      <c r="AD53">
        <f t="shared" si="2"/>
        <v>41666720953.702423</v>
      </c>
      <c r="AE53">
        <f t="shared" si="3"/>
        <v>12495994.62482</v>
      </c>
      <c r="AF53">
        <f t="shared" si="4"/>
        <v>43798614537.676117</v>
      </c>
      <c r="AG53">
        <f t="shared" si="5"/>
        <v>12545708.62482</v>
      </c>
      <c r="AH53">
        <f t="shared" si="6"/>
        <v>47497019310.680603</v>
      </c>
      <c r="AI53">
        <f t="shared" si="7"/>
        <v>12597298.62482</v>
      </c>
      <c r="AJ53">
        <f t="shared" si="8"/>
        <v>49735247452.418495</v>
      </c>
      <c r="AK53">
        <f t="shared" si="9"/>
        <v>12671400.62482</v>
      </c>
    </row>
    <row r="54" spans="1:37" x14ac:dyDescent="0.35">
      <c r="A54" t="s">
        <v>624</v>
      </c>
      <c r="B54">
        <v>1398.19</v>
      </c>
      <c r="C54" t="s">
        <v>487</v>
      </c>
      <c r="D54" t="s">
        <v>625</v>
      </c>
      <c r="E54" t="s">
        <v>626</v>
      </c>
      <c r="F54">
        <v>2.8000000000000001E-2</v>
      </c>
      <c r="G54" t="s">
        <v>627</v>
      </c>
      <c r="H54">
        <v>0.5</v>
      </c>
      <c r="I54">
        <v>510.15</v>
      </c>
      <c r="J54" t="s">
        <v>628</v>
      </c>
      <c r="K54" t="s">
        <v>629</v>
      </c>
      <c r="L54" t="s">
        <v>630</v>
      </c>
      <c r="M54" t="s">
        <v>631</v>
      </c>
      <c r="N54">
        <v>4761.448013576749</v>
      </c>
      <c r="O54">
        <v>4818.5853897396701</v>
      </c>
      <c r="P54">
        <v>5045.0589030574338</v>
      </c>
      <c r="Q54">
        <v>5448.663615302029</v>
      </c>
      <c r="R54">
        <v>5672.0588235294117</v>
      </c>
      <c r="S54" t="s">
        <v>632</v>
      </c>
      <c r="T54" t="s">
        <v>633</v>
      </c>
      <c r="U54" t="s">
        <v>634</v>
      </c>
      <c r="V54" t="s">
        <v>94</v>
      </c>
      <c r="W54">
        <v>265472419.80000001</v>
      </c>
      <c r="X54">
        <v>266439117.80000001</v>
      </c>
      <c r="Y54">
        <v>267499117.80000001</v>
      </c>
      <c r="Z54">
        <v>268599117.80000001</v>
      </c>
      <c r="AA54">
        <v>270179117.80000001</v>
      </c>
      <c r="AB54">
        <f t="shared" si="0"/>
        <v>35392927525.651436</v>
      </c>
      <c r="AC54">
        <f t="shared" si="1"/>
        <v>7433227.7544000009</v>
      </c>
      <c r="AD54">
        <f t="shared" si="2"/>
        <v>35948069928.013794</v>
      </c>
      <c r="AE54">
        <f t="shared" si="3"/>
        <v>7460295.2984000007</v>
      </c>
      <c r="AF54">
        <f t="shared" si="4"/>
        <v>37787366562.873184</v>
      </c>
      <c r="AG54">
        <f t="shared" si="5"/>
        <v>7489975.2984000007</v>
      </c>
      <c r="AH54">
        <f t="shared" si="6"/>
        <v>40978174727.254349</v>
      </c>
      <c r="AI54">
        <f t="shared" si="7"/>
        <v>7520775.2984000007</v>
      </c>
      <c r="AJ54">
        <f t="shared" si="8"/>
        <v>42909211773.424706</v>
      </c>
      <c r="AK54">
        <f t="shared" si="9"/>
        <v>7565015.2984000007</v>
      </c>
    </row>
    <row r="55" spans="1:37" x14ac:dyDescent="0.35">
      <c r="A55" t="s">
        <v>635</v>
      </c>
      <c r="B55">
        <v>255.82</v>
      </c>
      <c r="C55" t="s">
        <v>636</v>
      </c>
      <c r="D55" t="s">
        <v>637</v>
      </c>
      <c r="E55" t="s">
        <v>638</v>
      </c>
      <c r="F55">
        <v>1E-3</v>
      </c>
      <c r="G55" t="s">
        <v>639</v>
      </c>
      <c r="H55">
        <v>25.3</v>
      </c>
      <c r="I55">
        <v>10.199999999999999</v>
      </c>
      <c r="J55" t="s">
        <v>640</v>
      </c>
      <c r="K55" t="s">
        <v>641</v>
      </c>
      <c r="L55" t="s">
        <v>642</v>
      </c>
      <c r="M55" t="s">
        <v>643</v>
      </c>
      <c r="N55">
        <v>4197.2837039566884</v>
      </c>
      <c r="O55">
        <v>4247.6511084041676</v>
      </c>
      <c r="P55">
        <v>4447.2907104991637</v>
      </c>
      <c r="Q55">
        <v>4803.0739673390972</v>
      </c>
      <c r="R55">
        <v>5000</v>
      </c>
      <c r="S55" t="s">
        <v>644</v>
      </c>
      <c r="T55" t="s">
        <v>645</v>
      </c>
      <c r="U55" t="s">
        <v>646</v>
      </c>
      <c r="V55" t="s">
        <v>647</v>
      </c>
      <c r="W55">
        <v>7638338</v>
      </c>
      <c r="X55">
        <v>7532198.4000000004</v>
      </c>
      <c r="Y55">
        <v>7532198.4000000004</v>
      </c>
      <c r="Z55">
        <v>7532198.4000000004</v>
      </c>
      <c r="AA55">
        <v>7532198.4000000004</v>
      </c>
      <c r="AB55">
        <f t="shared" si="0"/>
        <v>32060271.612713125</v>
      </c>
      <c r="AC55">
        <f t="shared" si="1"/>
        <v>7638.3379999999997</v>
      </c>
      <c r="AD55">
        <f t="shared" si="2"/>
        <v>31994150.8824801</v>
      </c>
      <c r="AE55">
        <f t="shared" si="3"/>
        <v>7532.1984000000002</v>
      </c>
      <c r="AF55">
        <f t="shared" si="4"/>
        <v>33497875.973956667</v>
      </c>
      <c r="AG55">
        <f t="shared" si="5"/>
        <v>7532.1984000000002</v>
      </c>
      <c r="AH55">
        <f t="shared" si="6"/>
        <v>36177706.0518732</v>
      </c>
      <c r="AI55">
        <f t="shared" si="7"/>
        <v>7532.1984000000002</v>
      </c>
      <c r="AJ55">
        <f t="shared" si="8"/>
        <v>37660992</v>
      </c>
      <c r="AK55">
        <f t="shared" si="9"/>
        <v>7532.1984000000002</v>
      </c>
    </row>
    <row r="56" spans="1:37" x14ac:dyDescent="0.35">
      <c r="A56" t="s">
        <v>648</v>
      </c>
      <c r="B56">
        <v>9.01</v>
      </c>
      <c r="C56" t="s">
        <v>83</v>
      </c>
      <c r="D56" t="s">
        <v>649</v>
      </c>
      <c r="E56" t="s">
        <v>650</v>
      </c>
      <c r="F56">
        <v>4.5999999999999999E-2</v>
      </c>
      <c r="G56" t="s">
        <v>651</v>
      </c>
      <c r="H56">
        <v>0.2</v>
      </c>
      <c r="I56">
        <v>0.05</v>
      </c>
      <c r="J56" t="s">
        <v>652</v>
      </c>
      <c r="K56" t="s">
        <v>653</v>
      </c>
      <c r="L56" t="s">
        <v>654</v>
      </c>
      <c r="M56" t="s">
        <v>655</v>
      </c>
      <c r="N56">
        <v>963.93530786561541</v>
      </c>
      <c r="O56">
        <v>975.50253156000281</v>
      </c>
      <c r="P56">
        <v>1021.351150543323</v>
      </c>
      <c r="Q56">
        <v>1103.059242586789</v>
      </c>
      <c r="R56">
        <v>1148.2846715328469</v>
      </c>
      <c r="S56" t="s">
        <v>656</v>
      </c>
      <c r="T56" t="s">
        <v>657</v>
      </c>
      <c r="U56" t="s">
        <v>658</v>
      </c>
      <c r="V56" t="s">
        <v>94</v>
      </c>
      <c r="W56">
        <v>265472419.80000001</v>
      </c>
      <c r="X56">
        <v>266439117.80000001</v>
      </c>
      <c r="Y56">
        <v>267499117.80000001</v>
      </c>
      <c r="Z56">
        <v>268599117.80000001</v>
      </c>
      <c r="AA56">
        <v>270179117.80000001</v>
      </c>
      <c r="AB56">
        <f t="shared" si="0"/>
        <v>11771318980.648174</v>
      </c>
      <c r="AC56">
        <f t="shared" si="1"/>
        <v>12211731.310800001</v>
      </c>
      <c r="AD56">
        <f t="shared" si="2"/>
        <v>11955953560.343636</v>
      </c>
      <c r="AE56">
        <f t="shared" si="3"/>
        <v>12256199.4188</v>
      </c>
      <c r="AF56">
        <f t="shared" si="4"/>
        <v>12567684459.780279</v>
      </c>
      <c r="AG56">
        <f t="shared" si="5"/>
        <v>12304959.4188</v>
      </c>
      <c r="AH56">
        <f t="shared" si="6"/>
        <v>13628914014.237593</v>
      </c>
      <c r="AI56">
        <f t="shared" si="7"/>
        <v>12355559.4188</v>
      </c>
      <c r="AJ56">
        <f t="shared" si="8"/>
        <v>14271156818.748339</v>
      </c>
      <c r="AK56">
        <f t="shared" si="9"/>
        <v>12428239.4188</v>
      </c>
    </row>
    <row r="57" spans="1:37" x14ac:dyDescent="0.35">
      <c r="A57" t="s">
        <v>659</v>
      </c>
      <c r="B57">
        <v>100</v>
      </c>
      <c r="C57" t="s">
        <v>83</v>
      </c>
      <c r="D57" t="s">
        <v>660</v>
      </c>
      <c r="E57" t="s">
        <v>661</v>
      </c>
      <c r="F57">
        <v>4.5999999999999999E-2</v>
      </c>
      <c r="G57" t="s">
        <v>662</v>
      </c>
      <c r="H57">
        <v>5.0999999999999996</v>
      </c>
      <c r="I57">
        <v>30.5</v>
      </c>
      <c r="J57" t="s">
        <v>663</v>
      </c>
      <c r="K57" t="s">
        <v>664</v>
      </c>
      <c r="L57" t="s">
        <v>665</v>
      </c>
      <c r="M57" t="s">
        <v>666</v>
      </c>
      <c r="N57">
        <v>963.93530786561541</v>
      </c>
      <c r="O57">
        <v>975.50253156000281</v>
      </c>
      <c r="P57">
        <v>1021.351150543323</v>
      </c>
      <c r="Q57">
        <v>1103.059242586789</v>
      </c>
      <c r="R57">
        <v>1148.2846715328469</v>
      </c>
      <c r="S57" t="s">
        <v>667</v>
      </c>
      <c r="T57" t="s">
        <v>668</v>
      </c>
      <c r="U57" t="s">
        <v>669</v>
      </c>
      <c r="V57" t="s">
        <v>94</v>
      </c>
      <c r="W57">
        <v>265472419.80000001</v>
      </c>
      <c r="X57">
        <v>266439117.80000001</v>
      </c>
      <c r="Y57">
        <v>267499117.80000001</v>
      </c>
      <c r="Z57">
        <v>268599117.80000001</v>
      </c>
      <c r="AA57">
        <v>270179117.80000001</v>
      </c>
      <c r="AB57">
        <f t="shared" si="0"/>
        <v>11771318980.648174</v>
      </c>
      <c r="AC57">
        <f t="shared" si="1"/>
        <v>12211731.310800001</v>
      </c>
      <c r="AD57">
        <f t="shared" si="2"/>
        <v>11955953560.343636</v>
      </c>
      <c r="AE57">
        <f t="shared" si="3"/>
        <v>12256199.4188</v>
      </c>
      <c r="AF57">
        <f t="shared" si="4"/>
        <v>12567684459.780279</v>
      </c>
      <c r="AG57">
        <f t="shared" si="5"/>
        <v>12304959.4188</v>
      </c>
      <c r="AH57">
        <f t="shared" si="6"/>
        <v>13628914014.237593</v>
      </c>
      <c r="AI57">
        <f t="shared" si="7"/>
        <v>12355559.4188</v>
      </c>
      <c r="AJ57">
        <f t="shared" si="8"/>
        <v>14271156818.748339</v>
      </c>
      <c r="AK57">
        <f t="shared" si="9"/>
        <v>12428239.4188</v>
      </c>
    </row>
    <row r="58" spans="1:37" x14ac:dyDescent="0.35">
      <c r="A58" t="s">
        <v>670</v>
      </c>
      <c r="B58">
        <v>99.44</v>
      </c>
      <c r="C58" t="s">
        <v>83</v>
      </c>
      <c r="D58" t="s">
        <v>671</v>
      </c>
      <c r="E58" t="s">
        <v>672</v>
      </c>
      <c r="F58">
        <v>4.5999999999999999E-2</v>
      </c>
      <c r="G58" t="s">
        <v>673</v>
      </c>
      <c r="H58">
        <v>0.3</v>
      </c>
      <c r="I58">
        <v>0.1</v>
      </c>
      <c r="J58" t="s">
        <v>674</v>
      </c>
      <c r="K58" t="s">
        <v>675</v>
      </c>
      <c r="L58" t="s">
        <v>676</v>
      </c>
      <c r="M58" t="s">
        <v>677</v>
      </c>
      <c r="N58">
        <v>963.93530786561541</v>
      </c>
      <c r="O58">
        <v>975.50253156000281</v>
      </c>
      <c r="P58">
        <v>1021.351150543323</v>
      </c>
      <c r="Q58">
        <v>1103.059242586789</v>
      </c>
      <c r="R58">
        <v>1148.2846715328469</v>
      </c>
      <c r="S58" t="s">
        <v>678</v>
      </c>
      <c r="T58" t="s">
        <v>679</v>
      </c>
      <c r="U58" t="s">
        <v>680</v>
      </c>
      <c r="V58" t="s">
        <v>94</v>
      </c>
      <c r="W58">
        <v>265472419.80000001</v>
      </c>
      <c r="X58">
        <v>266439117.80000001</v>
      </c>
      <c r="Y58">
        <v>267499117.80000001</v>
      </c>
      <c r="Z58">
        <v>268599117.80000001</v>
      </c>
      <c r="AA58">
        <v>270179117.80000001</v>
      </c>
      <c r="AB58">
        <f t="shared" si="0"/>
        <v>11771318980.648174</v>
      </c>
      <c r="AC58">
        <f t="shared" si="1"/>
        <v>12211731.310800001</v>
      </c>
      <c r="AD58">
        <f t="shared" si="2"/>
        <v>11955953560.343636</v>
      </c>
      <c r="AE58">
        <f t="shared" si="3"/>
        <v>12256199.4188</v>
      </c>
      <c r="AF58">
        <f t="shared" si="4"/>
        <v>12567684459.780279</v>
      </c>
      <c r="AG58">
        <f t="shared" si="5"/>
        <v>12304959.4188</v>
      </c>
      <c r="AH58">
        <f t="shared" si="6"/>
        <v>13628914014.237593</v>
      </c>
      <c r="AI58">
        <f t="shared" si="7"/>
        <v>12355559.4188</v>
      </c>
      <c r="AJ58">
        <f t="shared" si="8"/>
        <v>14271156818.748339</v>
      </c>
      <c r="AK58">
        <f t="shared" si="9"/>
        <v>12428239.4188</v>
      </c>
    </row>
    <row r="59" spans="1:37" x14ac:dyDescent="0.35">
      <c r="A59" t="s">
        <v>681</v>
      </c>
      <c r="B59">
        <v>8.9499999999999993</v>
      </c>
      <c r="C59" t="s">
        <v>83</v>
      </c>
      <c r="D59" t="s">
        <v>682</v>
      </c>
      <c r="E59" t="s">
        <v>683</v>
      </c>
      <c r="F59">
        <v>4.5999999999999999E-2</v>
      </c>
      <c r="G59" t="s">
        <v>684</v>
      </c>
      <c r="H59">
        <v>10.199999999999999</v>
      </c>
      <c r="I59">
        <v>0.25</v>
      </c>
      <c r="J59" t="s">
        <v>685</v>
      </c>
      <c r="K59" t="s">
        <v>686</v>
      </c>
      <c r="L59" t="s">
        <v>687</v>
      </c>
      <c r="M59" t="s">
        <v>688</v>
      </c>
      <c r="N59">
        <v>963.93530786561541</v>
      </c>
      <c r="O59">
        <v>975.50253156000281</v>
      </c>
      <c r="P59">
        <v>1021.351150543323</v>
      </c>
      <c r="Q59">
        <v>1103.059242586789</v>
      </c>
      <c r="R59">
        <v>1148.2846715328469</v>
      </c>
      <c r="S59" t="s">
        <v>689</v>
      </c>
      <c r="T59" t="s">
        <v>690</v>
      </c>
      <c r="U59" t="s">
        <v>691</v>
      </c>
      <c r="V59" t="s">
        <v>94</v>
      </c>
      <c r="W59">
        <v>265472419.80000001</v>
      </c>
      <c r="X59">
        <v>266439117.80000001</v>
      </c>
      <c r="Y59">
        <v>267499117.80000001</v>
      </c>
      <c r="Z59">
        <v>268599117.80000001</v>
      </c>
      <c r="AA59">
        <v>270179117.80000001</v>
      </c>
      <c r="AB59">
        <f t="shared" si="0"/>
        <v>11771318980.648174</v>
      </c>
      <c r="AC59">
        <f t="shared" si="1"/>
        <v>12211731.310800001</v>
      </c>
      <c r="AD59">
        <f t="shared" si="2"/>
        <v>11955953560.343636</v>
      </c>
      <c r="AE59">
        <f t="shared" si="3"/>
        <v>12256199.4188</v>
      </c>
      <c r="AF59">
        <f t="shared" si="4"/>
        <v>12567684459.780279</v>
      </c>
      <c r="AG59">
        <f t="shared" si="5"/>
        <v>12304959.4188</v>
      </c>
      <c r="AH59">
        <f t="shared" si="6"/>
        <v>13628914014.237593</v>
      </c>
      <c r="AI59">
        <f t="shared" si="7"/>
        <v>12355559.4188</v>
      </c>
      <c r="AJ59">
        <f t="shared" si="8"/>
        <v>14271156818.748339</v>
      </c>
      <c r="AK59">
        <f t="shared" si="9"/>
        <v>12428239.4188</v>
      </c>
    </row>
    <row r="60" spans="1:37" x14ac:dyDescent="0.35">
      <c r="A60" t="s">
        <v>692</v>
      </c>
      <c r="B60">
        <v>98.08</v>
      </c>
      <c r="C60" t="s">
        <v>83</v>
      </c>
      <c r="D60" t="s">
        <v>693</v>
      </c>
      <c r="E60" t="s">
        <v>694</v>
      </c>
      <c r="F60">
        <v>4.5999999999999999E-2</v>
      </c>
      <c r="G60" t="s">
        <v>695</v>
      </c>
      <c r="H60">
        <v>0.3</v>
      </c>
      <c r="I60">
        <v>0.05</v>
      </c>
      <c r="J60" t="s">
        <v>696</v>
      </c>
      <c r="K60" t="s">
        <v>697</v>
      </c>
      <c r="L60" t="s">
        <v>698</v>
      </c>
      <c r="M60" t="s">
        <v>699</v>
      </c>
      <c r="N60">
        <v>963.93530786561541</v>
      </c>
      <c r="O60">
        <v>975.50253156000281</v>
      </c>
      <c r="P60">
        <v>1021.351150543323</v>
      </c>
      <c r="Q60">
        <v>1103.059242586789</v>
      </c>
      <c r="R60">
        <v>1148.2846715328469</v>
      </c>
      <c r="S60" t="s">
        <v>700</v>
      </c>
      <c r="T60" t="s">
        <v>701</v>
      </c>
      <c r="U60" t="s">
        <v>702</v>
      </c>
      <c r="V60" t="s">
        <v>94</v>
      </c>
      <c r="W60">
        <v>265472419.80000001</v>
      </c>
      <c r="X60">
        <v>266439117.80000001</v>
      </c>
      <c r="Y60">
        <v>267499117.80000001</v>
      </c>
      <c r="Z60">
        <v>268599117.80000001</v>
      </c>
      <c r="AA60">
        <v>270179117.80000001</v>
      </c>
      <c r="AB60">
        <f t="shared" si="0"/>
        <v>11771318980.648174</v>
      </c>
      <c r="AC60">
        <f t="shared" si="1"/>
        <v>12211731.310800001</v>
      </c>
      <c r="AD60">
        <f t="shared" si="2"/>
        <v>11955953560.343636</v>
      </c>
      <c r="AE60">
        <f t="shared" si="3"/>
        <v>12256199.4188</v>
      </c>
      <c r="AF60">
        <f t="shared" si="4"/>
        <v>12567684459.780279</v>
      </c>
      <c r="AG60">
        <f t="shared" si="5"/>
        <v>12304959.4188</v>
      </c>
      <c r="AH60">
        <f t="shared" si="6"/>
        <v>13628914014.237593</v>
      </c>
      <c r="AI60">
        <f t="shared" si="7"/>
        <v>12355559.4188</v>
      </c>
      <c r="AJ60">
        <f t="shared" si="8"/>
        <v>14271156818.748339</v>
      </c>
      <c r="AK60">
        <f t="shared" si="9"/>
        <v>12428239.4188</v>
      </c>
    </row>
    <row r="61" spans="1:37" x14ac:dyDescent="0.35">
      <c r="A61" t="s">
        <v>703</v>
      </c>
      <c r="B61">
        <v>8.82</v>
      </c>
      <c r="C61" t="s">
        <v>83</v>
      </c>
      <c r="D61" t="s">
        <v>704</v>
      </c>
      <c r="E61" t="s">
        <v>705</v>
      </c>
      <c r="F61">
        <v>4.5999999999999999E-2</v>
      </c>
      <c r="G61" t="s">
        <v>706</v>
      </c>
      <c r="H61">
        <v>0.3</v>
      </c>
      <c r="I61">
        <v>0.02</v>
      </c>
      <c r="J61" t="s">
        <v>707</v>
      </c>
      <c r="K61" t="s">
        <v>708</v>
      </c>
      <c r="L61" t="s">
        <v>709</v>
      </c>
      <c r="M61" t="s">
        <v>710</v>
      </c>
      <c r="N61">
        <v>963.93530786561541</v>
      </c>
      <c r="O61">
        <v>975.50253156000281</v>
      </c>
      <c r="P61">
        <v>1021.351150543323</v>
      </c>
      <c r="Q61">
        <v>1103.059242586789</v>
      </c>
      <c r="R61">
        <v>1148.2846715328469</v>
      </c>
      <c r="S61" t="s">
        <v>711</v>
      </c>
      <c r="T61" t="s">
        <v>712</v>
      </c>
      <c r="U61" t="s">
        <v>713</v>
      </c>
      <c r="V61" t="s">
        <v>94</v>
      </c>
      <c r="W61">
        <v>265472419.80000001</v>
      </c>
      <c r="X61">
        <v>266439117.80000001</v>
      </c>
      <c r="Y61">
        <v>267499117.80000001</v>
      </c>
      <c r="Z61">
        <v>268599117.80000001</v>
      </c>
      <c r="AA61">
        <v>270179117.80000001</v>
      </c>
      <c r="AB61">
        <f t="shared" si="0"/>
        <v>11771318980.648174</v>
      </c>
      <c r="AC61">
        <f t="shared" si="1"/>
        <v>12211731.310800001</v>
      </c>
      <c r="AD61">
        <f t="shared" si="2"/>
        <v>11955953560.343636</v>
      </c>
      <c r="AE61">
        <f t="shared" si="3"/>
        <v>12256199.4188</v>
      </c>
      <c r="AF61">
        <f t="shared" si="4"/>
        <v>12567684459.780279</v>
      </c>
      <c r="AG61">
        <f t="shared" si="5"/>
        <v>12304959.4188</v>
      </c>
      <c r="AH61">
        <f t="shared" si="6"/>
        <v>13628914014.237593</v>
      </c>
      <c r="AI61">
        <f t="shared" si="7"/>
        <v>12355559.4188</v>
      </c>
      <c r="AJ61">
        <f t="shared" si="8"/>
        <v>14271156818.748339</v>
      </c>
      <c r="AK61">
        <f t="shared" si="9"/>
        <v>12428239.4188</v>
      </c>
    </row>
    <row r="62" spans="1:37" x14ac:dyDescent="0.35">
      <c r="A62" t="s">
        <v>714</v>
      </c>
      <c r="B62">
        <v>98.2</v>
      </c>
      <c r="C62" t="s">
        <v>83</v>
      </c>
      <c r="D62" t="s">
        <v>715</v>
      </c>
      <c r="E62" t="s">
        <v>716</v>
      </c>
      <c r="F62">
        <v>4.5999999999999999E-2</v>
      </c>
      <c r="G62" t="s">
        <v>717</v>
      </c>
      <c r="H62">
        <v>0.3</v>
      </c>
      <c r="I62">
        <v>0.23</v>
      </c>
      <c r="J62" t="s">
        <v>718</v>
      </c>
      <c r="K62" t="s">
        <v>719</v>
      </c>
      <c r="L62" t="s">
        <v>720</v>
      </c>
      <c r="M62" t="s">
        <v>721</v>
      </c>
      <c r="N62">
        <v>963.93530786561541</v>
      </c>
      <c r="O62">
        <v>975.50253156000281</v>
      </c>
      <c r="P62">
        <v>1021.351150543323</v>
      </c>
      <c r="Q62">
        <v>1103.059242586789</v>
      </c>
      <c r="R62">
        <v>1148.2846715328469</v>
      </c>
      <c r="S62" t="s">
        <v>722</v>
      </c>
      <c r="T62" t="s">
        <v>723</v>
      </c>
      <c r="U62" t="s">
        <v>115</v>
      </c>
      <c r="V62" t="s">
        <v>94</v>
      </c>
      <c r="W62">
        <v>265472419.80000001</v>
      </c>
      <c r="X62">
        <v>266439117.80000001</v>
      </c>
      <c r="Y62">
        <v>267499117.80000001</v>
      </c>
      <c r="Z62">
        <v>268599117.80000001</v>
      </c>
      <c r="AA62">
        <v>270179117.80000001</v>
      </c>
      <c r="AB62">
        <f t="shared" si="0"/>
        <v>11771318980.648174</v>
      </c>
      <c r="AC62">
        <f t="shared" si="1"/>
        <v>12211731.310800001</v>
      </c>
      <c r="AD62">
        <f t="shared" si="2"/>
        <v>11955953560.343636</v>
      </c>
      <c r="AE62">
        <f t="shared" si="3"/>
        <v>12256199.4188</v>
      </c>
      <c r="AF62">
        <f t="shared" si="4"/>
        <v>12567684459.780279</v>
      </c>
      <c r="AG62">
        <f t="shared" si="5"/>
        <v>12304959.4188</v>
      </c>
      <c r="AH62">
        <f t="shared" si="6"/>
        <v>13628914014.237593</v>
      </c>
      <c r="AI62">
        <f t="shared" si="7"/>
        <v>12355559.4188</v>
      </c>
      <c r="AJ62">
        <f t="shared" si="8"/>
        <v>14271156818.748339</v>
      </c>
      <c r="AK62">
        <f t="shared" si="9"/>
        <v>12428239.4188</v>
      </c>
    </row>
    <row r="63" spans="1:37" x14ac:dyDescent="0.35">
      <c r="A63" t="s">
        <v>724</v>
      </c>
      <c r="B63">
        <v>98.76</v>
      </c>
      <c r="C63" t="s">
        <v>83</v>
      </c>
      <c r="D63" t="s">
        <v>671</v>
      </c>
      <c r="E63" t="s">
        <v>725</v>
      </c>
      <c r="F63">
        <v>4.5999999999999999E-2</v>
      </c>
      <c r="G63" t="s">
        <v>726</v>
      </c>
      <c r="H63">
        <v>0.3</v>
      </c>
      <c r="I63">
        <v>0.02</v>
      </c>
      <c r="J63" t="s">
        <v>727</v>
      </c>
      <c r="K63" t="s">
        <v>728</v>
      </c>
      <c r="L63" t="s">
        <v>729</v>
      </c>
      <c r="M63" t="s">
        <v>730</v>
      </c>
      <c r="N63">
        <v>963.93530786561541</v>
      </c>
      <c r="O63">
        <v>975.50253156000281</v>
      </c>
      <c r="P63">
        <v>1021.351150543323</v>
      </c>
      <c r="Q63">
        <v>1103.059242586789</v>
      </c>
      <c r="R63">
        <v>1148.2846715328469</v>
      </c>
      <c r="S63" t="s">
        <v>731</v>
      </c>
      <c r="T63" t="s">
        <v>732</v>
      </c>
      <c r="U63" t="s">
        <v>733</v>
      </c>
      <c r="V63" t="s">
        <v>94</v>
      </c>
      <c r="W63">
        <v>265472419.80000001</v>
      </c>
      <c r="X63">
        <v>266439117.80000001</v>
      </c>
      <c r="Y63">
        <v>267499117.80000001</v>
      </c>
      <c r="Z63">
        <v>268599117.80000001</v>
      </c>
      <c r="AA63">
        <v>270179117.80000001</v>
      </c>
      <c r="AB63">
        <f t="shared" si="0"/>
        <v>11771318980.648174</v>
      </c>
      <c r="AC63">
        <f t="shared" si="1"/>
        <v>12211731.310800001</v>
      </c>
      <c r="AD63">
        <f t="shared" si="2"/>
        <v>11955953560.343636</v>
      </c>
      <c r="AE63">
        <f t="shared" si="3"/>
        <v>12256199.4188</v>
      </c>
      <c r="AF63">
        <f t="shared" si="4"/>
        <v>12567684459.780279</v>
      </c>
      <c r="AG63">
        <f t="shared" si="5"/>
        <v>12304959.4188</v>
      </c>
      <c r="AH63">
        <f t="shared" si="6"/>
        <v>13628914014.237593</v>
      </c>
      <c r="AI63">
        <f t="shared" si="7"/>
        <v>12355559.4188</v>
      </c>
      <c r="AJ63">
        <f t="shared" si="8"/>
        <v>14271156818.748339</v>
      </c>
      <c r="AK63">
        <f t="shared" si="9"/>
        <v>12428239.4188</v>
      </c>
    </row>
    <row r="64" spans="1:37" x14ac:dyDescent="0.35">
      <c r="A64" t="s">
        <v>734</v>
      </c>
      <c r="B64">
        <v>100</v>
      </c>
      <c r="C64" t="s">
        <v>83</v>
      </c>
      <c r="D64" t="s">
        <v>735</v>
      </c>
      <c r="E64" t="s">
        <v>736</v>
      </c>
      <c r="F64">
        <v>4.5999999999999999E-2</v>
      </c>
      <c r="G64" t="s">
        <v>737</v>
      </c>
      <c r="H64">
        <v>0.15</v>
      </c>
      <c r="I64">
        <v>0.1</v>
      </c>
      <c r="J64" t="s">
        <v>738</v>
      </c>
      <c r="K64" t="s">
        <v>739</v>
      </c>
      <c r="L64" t="s">
        <v>740</v>
      </c>
      <c r="M64" t="s">
        <v>741</v>
      </c>
      <c r="N64">
        <v>963.93530786561541</v>
      </c>
      <c r="O64">
        <v>975.50253156000281</v>
      </c>
      <c r="P64">
        <v>1021.351150543323</v>
      </c>
      <c r="Q64">
        <v>1103.059242586789</v>
      </c>
      <c r="R64">
        <v>1148.2846715328469</v>
      </c>
      <c r="S64" t="s">
        <v>742</v>
      </c>
      <c r="T64" t="s">
        <v>743</v>
      </c>
      <c r="U64" t="s">
        <v>744</v>
      </c>
      <c r="V64" t="s">
        <v>94</v>
      </c>
      <c r="W64">
        <v>265472419.80000001</v>
      </c>
      <c r="X64">
        <v>266439117.80000001</v>
      </c>
      <c r="Y64">
        <v>267499117.80000001</v>
      </c>
      <c r="Z64">
        <v>268599117.80000001</v>
      </c>
      <c r="AA64">
        <v>270179117.80000001</v>
      </c>
      <c r="AB64">
        <f t="shared" si="0"/>
        <v>11771318980.648174</v>
      </c>
      <c r="AC64">
        <f t="shared" si="1"/>
        <v>12211731.310800001</v>
      </c>
      <c r="AD64">
        <f t="shared" si="2"/>
        <v>11955953560.343636</v>
      </c>
      <c r="AE64">
        <f t="shared" si="3"/>
        <v>12256199.4188</v>
      </c>
      <c r="AF64">
        <f t="shared" si="4"/>
        <v>12567684459.780279</v>
      </c>
      <c r="AG64">
        <f t="shared" si="5"/>
        <v>12304959.4188</v>
      </c>
      <c r="AH64">
        <f t="shared" si="6"/>
        <v>13628914014.237593</v>
      </c>
      <c r="AI64">
        <f t="shared" si="7"/>
        <v>12355559.4188</v>
      </c>
      <c r="AJ64">
        <f t="shared" si="8"/>
        <v>14271156818.748339</v>
      </c>
      <c r="AK64">
        <f t="shared" si="9"/>
        <v>12428239.4188</v>
      </c>
    </row>
    <row r="65" spans="1:37" x14ac:dyDescent="0.35">
      <c r="A65" t="s">
        <v>745</v>
      </c>
      <c r="B65">
        <v>9.01</v>
      </c>
      <c r="C65" t="s">
        <v>83</v>
      </c>
      <c r="D65" t="s">
        <v>746</v>
      </c>
      <c r="E65" t="s">
        <v>747</v>
      </c>
      <c r="F65">
        <v>4.5999999999999999E-2</v>
      </c>
      <c r="G65" t="s">
        <v>748</v>
      </c>
      <c r="H65">
        <v>0.3</v>
      </c>
      <c r="I65">
        <v>0.05</v>
      </c>
      <c r="J65" t="s">
        <v>749</v>
      </c>
      <c r="K65" t="s">
        <v>750</v>
      </c>
      <c r="L65" t="s">
        <v>751</v>
      </c>
      <c r="M65" t="s">
        <v>752</v>
      </c>
      <c r="N65">
        <v>963.93530786561541</v>
      </c>
      <c r="O65">
        <v>975.50253156000281</v>
      </c>
      <c r="P65">
        <v>1021.351150543323</v>
      </c>
      <c r="Q65">
        <v>1103.059242586789</v>
      </c>
      <c r="R65">
        <v>1148.2846715328469</v>
      </c>
      <c r="S65" t="s">
        <v>753</v>
      </c>
      <c r="T65" t="s">
        <v>754</v>
      </c>
      <c r="U65" t="s">
        <v>755</v>
      </c>
      <c r="V65" t="s">
        <v>94</v>
      </c>
      <c r="W65">
        <v>265472419.80000001</v>
      </c>
      <c r="X65">
        <v>266439117.80000001</v>
      </c>
      <c r="Y65">
        <v>267499117.80000001</v>
      </c>
      <c r="Z65">
        <v>268599117.80000001</v>
      </c>
      <c r="AA65">
        <v>270179117.80000001</v>
      </c>
      <c r="AB65">
        <f t="shared" si="0"/>
        <v>11771318980.648174</v>
      </c>
      <c r="AC65">
        <f t="shared" si="1"/>
        <v>12211731.310800001</v>
      </c>
      <c r="AD65">
        <f t="shared" si="2"/>
        <v>11955953560.343636</v>
      </c>
      <c r="AE65">
        <f t="shared" si="3"/>
        <v>12256199.4188</v>
      </c>
      <c r="AF65">
        <f t="shared" si="4"/>
        <v>12567684459.780279</v>
      </c>
      <c r="AG65">
        <f t="shared" si="5"/>
        <v>12304959.4188</v>
      </c>
      <c r="AH65">
        <f t="shared" si="6"/>
        <v>13628914014.237593</v>
      </c>
      <c r="AI65">
        <f t="shared" si="7"/>
        <v>12355559.4188</v>
      </c>
      <c r="AJ65">
        <f t="shared" si="8"/>
        <v>14271156818.748339</v>
      </c>
      <c r="AK65">
        <f t="shared" si="9"/>
        <v>12428239.4188</v>
      </c>
    </row>
    <row r="66" spans="1:37" x14ac:dyDescent="0.35">
      <c r="A66" t="s">
        <v>756</v>
      </c>
      <c r="B66">
        <v>99.76</v>
      </c>
      <c r="C66" t="s">
        <v>83</v>
      </c>
      <c r="D66" t="s">
        <v>757</v>
      </c>
      <c r="E66" t="s">
        <v>747</v>
      </c>
      <c r="F66">
        <v>4.5999999999999999E-2</v>
      </c>
      <c r="G66" t="s">
        <v>758</v>
      </c>
      <c r="H66">
        <v>0.15</v>
      </c>
      <c r="I66">
        <v>0.08</v>
      </c>
      <c r="J66" t="s">
        <v>759</v>
      </c>
      <c r="K66" t="s">
        <v>760</v>
      </c>
      <c r="L66" t="s">
        <v>761</v>
      </c>
      <c r="M66" t="s">
        <v>762</v>
      </c>
      <c r="N66">
        <v>963.93530786561541</v>
      </c>
      <c r="O66">
        <v>975.50253156000281</v>
      </c>
      <c r="P66">
        <v>1021.351150543323</v>
      </c>
      <c r="Q66">
        <v>1103.059242586789</v>
      </c>
      <c r="R66">
        <v>1148.2846715328469</v>
      </c>
      <c r="S66" t="s">
        <v>763</v>
      </c>
      <c r="T66" t="s">
        <v>764</v>
      </c>
      <c r="U66" t="s">
        <v>765</v>
      </c>
      <c r="V66" t="s">
        <v>94</v>
      </c>
      <c r="W66">
        <v>265472419.80000001</v>
      </c>
      <c r="X66">
        <v>266439117.80000001</v>
      </c>
      <c r="Y66">
        <v>267499117.80000001</v>
      </c>
      <c r="Z66">
        <v>268599117.80000001</v>
      </c>
      <c r="AA66">
        <v>270179117.80000001</v>
      </c>
      <c r="AB66">
        <f t="shared" si="0"/>
        <v>11771318980.648174</v>
      </c>
      <c r="AC66">
        <f t="shared" si="1"/>
        <v>12211731.310800001</v>
      </c>
      <c r="AD66">
        <f t="shared" si="2"/>
        <v>11955953560.343636</v>
      </c>
      <c r="AE66">
        <f t="shared" si="3"/>
        <v>12256199.4188</v>
      </c>
      <c r="AF66">
        <f t="shared" si="4"/>
        <v>12567684459.780279</v>
      </c>
      <c r="AG66">
        <f t="shared" si="5"/>
        <v>12304959.4188</v>
      </c>
      <c r="AH66">
        <f t="shared" si="6"/>
        <v>13628914014.237593</v>
      </c>
      <c r="AI66">
        <f t="shared" si="7"/>
        <v>12355559.4188</v>
      </c>
      <c r="AJ66">
        <f t="shared" si="8"/>
        <v>14271156818.748339</v>
      </c>
      <c r="AK66">
        <f t="shared" si="9"/>
        <v>12428239.4188</v>
      </c>
    </row>
    <row r="67" spans="1:37" x14ac:dyDescent="0.35">
      <c r="A67" t="s">
        <v>766</v>
      </c>
      <c r="B67">
        <v>8.98</v>
      </c>
      <c r="C67" t="s">
        <v>83</v>
      </c>
      <c r="D67" t="s">
        <v>767</v>
      </c>
      <c r="E67" t="s">
        <v>768</v>
      </c>
      <c r="F67">
        <v>4.5999999999999999E-2</v>
      </c>
      <c r="G67" t="s">
        <v>769</v>
      </c>
      <c r="H67">
        <v>0.2</v>
      </c>
      <c r="I67">
        <v>0.05</v>
      </c>
      <c r="J67" t="s">
        <v>770</v>
      </c>
      <c r="K67" t="s">
        <v>771</v>
      </c>
      <c r="L67" t="s">
        <v>772</v>
      </c>
      <c r="M67" t="s">
        <v>773</v>
      </c>
      <c r="N67">
        <v>963.93530786561541</v>
      </c>
      <c r="O67">
        <v>975.50253156000281</v>
      </c>
      <c r="P67">
        <v>1021.351150543323</v>
      </c>
      <c r="Q67">
        <v>1103.059242586789</v>
      </c>
      <c r="R67">
        <v>1148.2846715328469</v>
      </c>
      <c r="S67" t="s">
        <v>774</v>
      </c>
      <c r="T67" t="s">
        <v>775</v>
      </c>
      <c r="U67" t="s">
        <v>93</v>
      </c>
      <c r="V67" t="s">
        <v>94</v>
      </c>
      <c r="W67">
        <v>265472419.80000001</v>
      </c>
      <c r="X67">
        <v>266439117.80000001</v>
      </c>
      <c r="Y67">
        <v>267499117.80000001</v>
      </c>
      <c r="Z67">
        <v>268599117.80000001</v>
      </c>
      <c r="AA67">
        <v>270179117.80000001</v>
      </c>
      <c r="AB67">
        <f t="shared" ref="AB67:AB100" si="10">$W67*$N67*$F67</f>
        <v>11771318980.648174</v>
      </c>
      <c r="AC67">
        <f t="shared" ref="AC67:AC100" si="11">$W67*$F67</f>
        <v>12211731.310800001</v>
      </c>
      <c r="AD67">
        <f t="shared" ref="AD67:AD100" si="12">$X67*$O67*$F67</f>
        <v>11955953560.343636</v>
      </c>
      <c r="AE67">
        <f t="shared" ref="AE67:AE100" si="13">$X67*$F67</f>
        <v>12256199.4188</v>
      </c>
      <c r="AF67">
        <f t="shared" ref="AF67:AF100" si="14">$Y67*$P67*$F67</f>
        <v>12567684459.780279</v>
      </c>
      <c r="AG67">
        <f t="shared" ref="AG67:AG100" si="15">$Y67*$F67</f>
        <v>12304959.4188</v>
      </c>
      <c r="AH67">
        <f t="shared" ref="AH67:AH100" si="16">$Z67*$Q67*$F67</f>
        <v>13628914014.237593</v>
      </c>
      <c r="AI67">
        <f t="shared" ref="AI67:AI100" si="17">$Z67*$F67</f>
        <v>12355559.4188</v>
      </c>
      <c r="AJ67">
        <f t="shared" ref="AJ67:AJ100" si="18">$AA67*$R67*$F67</f>
        <v>14271156818.748339</v>
      </c>
      <c r="AK67">
        <f t="shared" ref="AK67:AK100" si="19">$AA67*$F67</f>
        <v>12428239.4188</v>
      </c>
    </row>
    <row r="68" spans="1:37" x14ac:dyDescent="0.35">
      <c r="A68" t="s">
        <v>776</v>
      </c>
      <c r="B68">
        <v>100</v>
      </c>
      <c r="C68" t="s">
        <v>83</v>
      </c>
      <c r="D68" t="s">
        <v>777</v>
      </c>
      <c r="E68" t="s">
        <v>778</v>
      </c>
      <c r="F68">
        <v>4.5999999999999999E-2</v>
      </c>
      <c r="G68" t="s">
        <v>779</v>
      </c>
      <c r="H68">
        <v>0.2</v>
      </c>
      <c r="I68">
        <v>0.02</v>
      </c>
      <c r="J68" t="s">
        <v>780</v>
      </c>
      <c r="K68" t="s">
        <v>781</v>
      </c>
      <c r="L68" t="s">
        <v>782</v>
      </c>
      <c r="M68" t="s">
        <v>783</v>
      </c>
      <c r="N68">
        <v>963.93530786561541</v>
      </c>
      <c r="O68">
        <v>975.50253156000281</v>
      </c>
      <c r="P68">
        <v>1021.351150543323</v>
      </c>
      <c r="Q68">
        <v>1103.059242586789</v>
      </c>
      <c r="R68">
        <v>1148.2846715328469</v>
      </c>
      <c r="S68" t="s">
        <v>784</v>
      </c>
      <c r="T68" t="s">
        <v>785</v>
      </c>
      <c r="U68" t="s">
        <v>786</v>
      </c>
      <c r="V68" t="s">
        <v>94</v>
      </c>
      <c r="W68">
        <v>265472419.80000001</v>
      </c>
      <c r="X68">
        <v>266439117.80000001</v>
      </c>
      <c r="Y68">
        <v>267499117.80000001</v>
      </c>
      <c r="Z68">
        <v>268599117.80000001</v>
      </c>
      <c r="AA68">
        <v>270179117.80000001</v>
      </c>
      <c r="AB68">
        <f t="shared" si="10"/>
        <v>11771318980.648174</v>
      </c>
      <c r="AC68">
        <f t="shared" si="11"/>
        <v>12211731.310800001</v>
      </c>
      <c r="AD68">
        <f t="shared" si="12"/>
        <v>11955953560.343636</v>
      </c>
      <c r="AE68">
        <f t="shared" si="13"/>
        <v>12256199.4188</v>
      </c>
      <c r="AF68">
        <f t="shared" si="14"/>
        <v>12567684459.780279</v>
      </c>
      <c r="AG68">
        <f t="shared" si="15"/>
        <v>12304959.4188</v>
      </c>
      <c r="AH68">
        <f t="shared" si="16"/>
        <v>13628914014.237593</v>
      </c>
      <c r="AI68">
        <f t="shared" si="17"/>
        <v>12355559.4188</v>
      </c>
      <c r="AJ68">
        <f t="shared" si="18"/>
        <v>14271156818.748339</v>
      </c>
      <c r="AK68">
        <f t="shared" si="19"/>
        <v>12428239.4188</v>
      </c>
    </row>
    <row r="69" spans="1:37" x14ac:dyDescent="0.35">
      <c r="A69" t="s">
        <v>787</v>
      </c>
      <c r="B69">
        <v>9.01</v>
      </c>
      <c r="C69" t="s">
        <v>83</v>
      </c>
      <c r="D69" t="s">
        <v>788</v>
      </c>
      <c r="E69" t="s">
        <v>789</v>
      </c>
      <c r="F69">
        <v>4.5999999999999999E-2</v>
      </c>
      <c r="G69" t="s">
        <v>790</v>
      </c>
      <c r="H69">
        <v>0.3</v>
      </c>
      <c r="I69">
        <v>0.03</v>
      </c>
      <c r="J69" t="s">
        <v>791</v>
      </c>
      <c r="K69" t="s">
        <v>792</v>
      </c>
      <c r="L69" t="s">
        <v>793</v>
      </c>
      <c r="M69" t="s">
        <v>794</v>
      </c>
      <c r="N69">
        <v>963.93530786561541</v>
      </c>
      <c r="O69">
        <v>975.50253156000281</v>
      </c>
      <c r="P69">
        <v>1021.351150543323</v>
      </c>
      <c r="Q69">
        <v>1103.059242586789</v>
      </c>
      <c r="R69">
        <v>1148.2846715328469</v>
      </c>
      <c r="S69" t="s">
        <v>795</v>
      </c>
      <c r="T69" t="s">
        <v>796</v>
      </c>
      <c r="U69" t="s">
        <v>797</v>
      </c>
      <c r="V69" t="s">
        <v>94</v>
      </c>
      <c r="W69">
        <v>265472419.80000001</v>
      </c>
      <c r="X69">
        <v>266439117.80000001</v>
      </c>
      <c r="Y69">
        <v>267499117.80000001</v>
      </c>
      <c r="Z69">
        <v>268599117.80000001</v>
      </c>
      <c r="AA69">
        <v>270179117.80000001</v>
      </c>
      <c r="AB69">
        <f t="shared" si="10"/>
        <v>11771318980.648174</v>
      </c>
      <c r="AC69">
        <f t="shared" si="11"/>
        <v>12211731.310800001</v>
      </c>
      <c r="AD69">
        <f t="shared" si="12"/>
        <v>11955953560.343636</v>
      </c>
      <c r="AE69">
        <f t="shared" si="13"/>
        <v>12256199.4188</v>
      </c>
      <c r="AF69">
        <f t="shared" si="14"/>
        <v>12567684459.780279</v>
      </c>
      <c r="AG69">
        <f t="shared" si="15"/>
        <v>12304959.4188</v>
      </c>
      <c r="AH69">
        <f t="shared" si="16"/>
        <v>13628914014.237593</v>
      </c>
      <c r="AI69">
        <f t="shared" si="17"/>
        <v>12355559.4188</v>
      </c>
      <c r="AJ69">
        <f t="shared" si="18"/>
        <v>14271156818.748339</v>
      </c>
      <c r="AK69">
        <f t="shared" si="19"/>
        <v>12428239.4188</v>
      </c>
    </row>
    <row r="70" spans="1:37" x14ac:dyDescent="0.35">
      <c r="A70" t="s">
        <v>798</v>
      </c>
      <c r="B70">
        <v>99.43</v>
      </c>
      <c r="C70" t="s">
        <v>83</v>
      </c>
      <c r="D70" t="s">
        <v>799</v>
      </c>
      <c r="E70" t="s">
        <v>800</v>
      </c>
      <c r="F70">
        <v>4.5999999999999999E-2</v>
      </c>
      <c r="G70" t="s">
        <v>801</v>
      </c>
      <c r="H70">
        <v>0.3</v>
      </c>
      <c r="I70">
        <v>0.05</v>
      </c>
      <c r="J70" t="s">
        <v>802</v>
      </c>
      <c r="K70" t="s">
        <v>803</v>
      </c>
      <c r="L70" t="s">
        <v>804</v>
      </c>
      <c r="M70" t="s">
        <v>805</v>
      </c>
      <c r="N70">
        <v>963.93530786561541</v>
      </c>
      <c r="O70">
        <v>975.50253156000281</v>
      </c>
      <c r="P70">
        <v>1021.351150543323</v>
      </c>
      <c r="Q70">
        <v>1103.059242586789</v>
      </c>
      <c r="R70">
        <v>1148.2846715328469</v>
      </c>
      <c r="S70" t="s">
        <v>806</v>
      </c>
      <c r="T70" t="s">
        <v>807</v>
      </c>
      <c r="U70" t="s">
        <v>808</v>
      </c>
      <c r="V70" t="s">
        <v>94</v>
      </c>
      <c r="W70">
        <v>265472419.80000001</v>
      </c>
      <c r="X70">
        <v>266439117.80000001</v>
      </c>
      <c r="Y70">
        <v>267499117.80000001</v>
      </c>
      <c r="Z70">
        <v>268599117.80000001</v>
      </c>
      <c r="AA70">
        <v>270179117.80000001</v>
      </c>
      <c r="AB70">
        <f t="shared" si="10"/>
        <v>11771318980.648174</v>
      </c>
      <c r="AC70">
        <f t="shared" si="11"/>
        <v>12211731.310800001</v>
      </c>
      <c r="AD70">
        <f t="shared" si="12"/>
        <v>11955953560.343636</v>
      </c>
      <c r="AE70">
        <f t="shared" si="13"/>
        <v>12256199.4188</v>
      </c>
      <c r="AF70">
        <f t="shared" si="14"/>
        <v>12567684459.780279</v>
      </c>
      <c r="AG70">
        <f t="shared" si="15"/>
        <v>12304959.4188</v>
      </c>
      <c r="AH70">
        <f t="shared" si="16"/>
        <v>13628914014.237593</v>
      </c>
      <c r="AI70">
        <f t="shared" si="17"/>
        <v>12355559.4188</v>
      </c>
      <c r="AJ70">
        <f t="shared" si="18"/>
        <v>14271156818.748339</v>
      </c>
      <c r="AK70">
        <f t="shared" si="19"/>
        <v>12428239.4188</v>
      </c>
    </row>
    <row r="71" spans="1:37" x14ac:dyDescent="0.35">
      <c r="A71" t="s">
        <v>809</v>
      </c>
      <c r="B71">
        <v>8.9499999999999993</v>
      </c>
      <c r="C71" t="s">
        <v>83</v>
      </c>
      <c r="D71" t="s">
        <v>810</v>
      </c>
      <c r="E71" t="s">
        <v>811</v>
      </c>
      <c r="F71">
        <v>4.5999999999999999E-2</v>
      </c>
      <c r="G71" t="s">
        <v>812</v>
      </c>
      <c r="H71">
        <v>0.3</v>
      </c>
      <c r="I71">
        <v>0.01</v>
      </c>
      <c r="J71" t="s">
        <v>813</v>
      </c>
      <c r="K71" t="s">
        <v>814</v>
      </c>
      <c r="L71" t="s">
        <v>815</v>
      </c>
      <c r="M71" t="s">
        <v>816</v>
      </c>
      <c r="N71">
        <v>963.93530786561541</v>
      </c>
      <c r="O71">
        <v>975.50253156000281</v>
      </c>
      <c r="P71">
        <v>1021.351150543323</v>
      </c>
      <c r="Q71">
        <v>1103.059242586789</v>
      </c>
      <c r="R71">
        <v>1148.2846715328469</v>
      </c>
      <c r="S71" t="s">
        <v>817</v>
      </c>
      <c r="T71" t="s">
        <v>818</v>
      </c>
      <c r="U71" t="s">
        <v>786</v>
      </c>
      <c r="V71" t="s">
        <v>94</v>
      </c>
      <c r="W71">
        <v>265472419.80000001</v>
      </c>
      <c r="X71">
        <v>266439117.80000001</v>
      </c>
      <c r="Y71">
        <v>267499117.80000001</v>
      </c>
      <c r="Z71">
        <v>268599117.80000001</v>
      </c>
      <c r="AA71">
        <v>270179117.80000001</v>
      </c>
      <c r="AB71">
        <f t="shared" si="10"/>
        <v>11771318980.648174</v>
      </c>
      <c r="AC71">
        <f t="shared" si="11"/>
        <v>12211731.310800001</v>
      </c>
      <c r="AD71">
        <f t="shared" si="12"/>
        <v>11955953560.343636</v>
      </c>
      <c r="AE71">
        <f t="shared" si="13"/>
        <v>12256199.4188</v>
      </c>
      <c r="AF71">
        <f t="shared" si="14"/>
        <v>12567684459.780279</v>
      </c>
      <c r="AG71">
        <f t="shared" si="15"/>
        <v>12304959.4188</v>
      </c>
      <c r="AH71">
        <f t="shared" si="16"/>
        <v>13628914014.237593</v>
      </c>
      <c r="AI71">
        <f t="shared" si="17"/>
        <v>12355559.4188</v>
      </c>
      <c r="AJ71">
        <f t="shared" si="18"/>
        <v>14271156818.748339</v>
      </c>
      <c r="AK71">
        <f t="shared" si="19"/>
        <v>12428239.4188</v>
      </c>
    </row>
    <row r="72" spans="1:37" x14ac:dyDescent="0.35">
      <c r="A72" t="s">
        <v>819</v>
      </c>
      <c r="B72">
        <v>99.3</v>
      </c>
      <c r="C72" t="s">
        <v>83</v>
      </c>
      <c r="D72" t="s">
        <v>820</v>
      </c>
      <c r="E72" t="s">
        <v>821</v>
      </c>
      <c r="F72">
        <v>4.5999999999999999E-2</v>
      </c>
      <c r="G72" t="s">
        <v>822</v>
      </c>
      <c r="H72">
        <v>0.3</v>
      </c>
      <c r="I72">
        <v>0.05</v>
      </c>
      <c r="J72" t="s">
        <v>823</v>
      </c>
      <c r="K72" t="s">
        <v>824</v>
      </c>
      <c r="L72" t="s">
        <v>825</v>
      </c>
      <c r="M72" t="s">
        <v>826</v>
      </c>
      <c r="N72">
        <v>963.93530786561541</v>
      </c>
      <c r="O72">
        <v>975.50253156000281</v>
      </c>
      <c r="P72">
        <v>1021.351150543323</v>
      </c>
      <c r="Q72">
        <v>1103.059242586789</v>
      </c>
      <c r="R72">
        <v>1148.2846715328469</v>
      </c>
      <c r="S72" t="s">
        <v>827</v>
      </c>
      <c r="T72" t="s">
        <v>828</v>
      </c>
      <c r="U72" t="s">
        <v>829</v>
      </c>
      <c r="V72" t="s">
        <v>94</v>
      </c>
      <c r="W72">
        <v>265472419.80000001</v>
      </c>
      <c r="X72">
        <v>266439117.80000001</v>
      </c>
      <c r="Y72">
        <v>267499117.80000001</v>
      </c>
      <c r="Z72">
        <v>268599117.80000001</v>
      </c>
      <c r="AA72">
        <v>270179117.80000001</v>
      </c>
      <c r="AB72">
        <f t="shared" si="10"/>
        <v>11771318980.648174</v>
      </c>
      <c r="AC72">
        <f t="shared" si="11"/>
        <v>12211731.310800001</v>
      </c>
      <c r="AD72">
        <f t="shared" si="12"/>
        <v>11955953560.343636</v>
      </c>
      <c r="AE72">
        <f t="shared" si="13"/>
        <v>12256199.4188</v>
      </c>
      <c r="AF72">
        <f t="shared" si="14"/>
        <v>12567684459.780279</v>
      </c>
      <c r="AG72">
        <f t="shared" si="15"/>
        <v>12304959.4188</v>
      </c>
      <c r="AH72">
        <f t="shared" si="16"/>
        <v>13628914014.237593</v>
      </c>
      <c r="AI72">
        <f t="shared" si="17"/>
        <v>12355559.4188</v>
      </c>
      <c r="AJ72">
        <f t="shared" si="18"/>
        <v>14271156818.748339</v>
      </c>
      <c r="AK72">
        <f t="shared" si="19"/>
        <v>12428239.4188</v>
      </c>
    </row>
    <row r="73" spans="1:37" x14ac:dyDescent="0.35">
      <c r="A73" t="s">
        <v>830</v>
      </c>
      <c r="B73">
        <v>320.70999999999998</v>
      </c>
      <c r="C73" t="s">
        <v>487</v>
      </c>
      <c r="D73" t="s">
        <v>831</v>
      </c>
      <c r="E73" t="s">
        <v>832</v>
      </c>
      <c r="F73">
        <v>2.8000000000000001E-2</v>
      </c>
      <c r="G73" t="s">
        <v>833</v>
      </c>
      <c r="H73">
        <v>5645.9</v>
      </c>
      <c r="I73">
        <v>15.23</v>
      </c>
      <c r="J73" t="s">
        <v>834</v>
      </c>
      <c r="K73" t="s">
        <v>835</v>
      </c>
      <c r="L73" t="s">
        <v>836</v>
      </c>
      <c r="M73" t="s">
        <v>837</v>
      </c>
      <c r="N73">
        <v>4761.448013576749</v>
      </c>
      <c r="O73">
        <v>4818.5853897396701</v>
      </c>
      <c r="P73">
        <v>5045.0589030574338</v>
      </c>
      <c r="Q73">
        <v>5448.663615302029</v>
      </c>
      <c r="R73">
        <v>5672.0588235294117</v>
      </c>
      <c r="S73" t="s">
        <v>838</v>
      </c>
      <c r="T73" t="s">
        <v>839</v>
      </c>
      <c r="U73" t="s">
        <v>840</v>
      </c>
      <c r="V73" t="s">
        <v>94</v>
      </c>
      <c r="W73">
        <v>265472419.80000001</v>
      </c>
      <c r="X73">
        <v>266439117.80000001</v>
      </c>
      <c r="Y73">
        <v>267499117.80000001</v>
      </c>
      <c r="Z73">
        <v>268599117.80000001</v>
      </c>
      <c r="AA73">
        <v>270179117.80000001</v>
      </c>
      <c r="AB73">
        <f t="shared" si="10"/>
        <v>35392927525.651436</v>
      </c>
      <c r="AC73">
        <f t="shared" si="11"/>
        <v>7433227.7544000009</v>
      </c>
      <c r="AD73">
        <f t="shared" si="12"/>
        <v>35948069928.013794</v>
      </c>
      <c r="AE73">
        <f t="shared" si="13"/>
        <v>7460295.2984000007</v>
      </c>
      <c r="AF73">
        <f t="shared" si="14"/>
        <v>37787366562.873184</v>
      </c>
      <c r="AG73">
        <f t="shared" si="15"/>
        <v>7489975.2984000007</v>
      </c>
      <c r="AH73">
        <f t="shared" si="16"/>
        <v>40978174727.254349</v>
      </c>
      <c r="AI73">
        <f t="shared" si="17"/>
        <v>7520775.2984000007</v>
      </c>
      <c r="AJ73">
        <f t="shared" si="18"/>
        <v>42909211773.424706</v>
      </c>
      <c r="AK73">
        <f t="shared" si="19"/>
        <v>7565015.2984000007</v>
      </c>
    </row>
    <row r="74" spans="1:37" x14ac:dyDescent="0.35">
      <c r="A74" t="s">
        <v>841</v>
      </c>
      <c r="B74">
        <v>564.14</v>
      </c>
      <c r="C74" t="s">
        <v>487</v>
      </c>
      <c r="D74" t="s">
        <v>842</v>
      </c>
      <c r="E74" t="s">
        <v>843</v>
      </c>
      <c r="F74">
        <v>2.8000000000000001E-2</v>
      </c>
      <c r="G74" t="s">
        <v>844</v>
      </c>
      <c r="H74">
        <v>6030.5</v>
      </c>
      <c r="I74">
        <v>0.13</v>
      </c>
      <c r="J74" t="s">
        <v>845</v>
      </c>
      <c r="K74" t="s">
        <v>846</v>
      </c>
      <c r="L74" t="s">
        <v>847</v>
      </c>
      <c r="M74" t="s">
        <v>848</v>
      </c>
      <c r="N74">
        <v>4761.448013576749</v>
      </c>
      <c r="O74">
        <v>4818.5853897396701</v>
      </c>
      <c r="P74">
        <v>5045.0589030574338</v>
      </c>
      <c r="Q74">
        <v>5448.663615302029</v>
      </c>
      <c r="R74">
        <v>5672.0588235294117</v>
      </c>
      <c r="S74" t="s">
        <v>849</v>
      </c>
      <c r="T74" t="s">
        <v>850</v>
      </c>
      <c r="U74" t="s">
        <v>851</v>
      </c>
      <c r="V74" t="s">
        <v>94</v>
      </c>
      <c r="W74">
        <v>265472419.80000001</v>
      </c>
      <c r="X74">
        <v>266439117.80000001</v>
      </c>
      <c r="Y74">
        <v>267499117.80000001</v>
      </c>
      <c r="Z74">
        <v>268599117.80000001</v>
      </c>
      <c r="AA74">
        <v>270179117.80000001</v>
      </c>
      <c r="AB74">
        <f t="shared" si="10"/>
        <v>35392927525.651436</v>
      </c>
      <c r="AC74">
        <f t="shared" si="11"/>
        <v>7433227.7544000009</v>
      </c>
      <c r="AD74">
        <f t="shared" si="12"/>
        <v>35948069928.013794</v>
      </c>
      <c r="AE74">
        <f t="shared" si="13"/>
        <v>7460295.2984000007</v>
      </c>
      <c r="AF74">
        <f t="shared" si="14"/>
        <v>37787366562.873184</v>
      </c>
      <c r="AG74">
        <f t="shared" si="15"/>
        <v>7489975.2984000007</v>
      </c>
      <c r="AH74">
        <f t="shared" si="16"/>
        <v>40978174727.254349</v>
      </c>
      <c r="AI74">
        <f t="shared" si="17"/>
        <v>7520775.2984000007</v>
      </c>
      <c r="AJ74">
        <f t="shared" si="18"/>
        <v>42909211773.424706</v>
      </c>
      <c r="AK74">
        <f t="shared" si="19"/>
        <v>7565015.2984000007</v>
      </c>
    </row>
    <row r="75" spans="1:37" x14ac:dyDescent="0.35">
      <c r="A75" t="s">
        <v>852</v>
      </c>
      <c r="B75">
        <v>97.31</v>
      </c>
      <c r="C75" t="s">
        <v>83</v>
      </c>
      <c r="D75" t="s">
        <v>853</v>
      </c>
      <c r="E75" t="s">
        <v>854</v>
      </c>
      <c r="F75">
        <v>4.5999999999999999E-2</v>
      </c>
      <c r="G75" t="s">
        <v>855</v>
      </c>
      <c r="H75">
        <v>0.3</v>
      </c>
      <c r="I75">
        <v>0.01</v>
      </c>
      <c r="J75" t="s">
        <v>856</v>
      </c>
      <c r="K75" t="s">
        <v>857</v>
      </c>
      <c r="L75" t="s">
        <v>858</v>
      </c>
      <c r="M75" t="s">
        <v>859</v>
      </c>
      <c r="N75">
        <v>963.93530786561541</v>
      </c>
      <c r="O75">
        <v>975.50253156000281</v>
      </c>
      <c r="P75">
        <v>1021.351150543323</v>
      </c>
      <c r="Q75">
        <v>1103.059242586789</v>
      </c>
      <c r="R75">
        <v>1148.2846715328469</v>
      </c>
      <c r="S75" t="s">
        <v>860</v>
      </c>
      <c r="T75" t="s">
        <v>861</v>
      </c>
      <c r="U75" t="s">
        <v>126</v>
      </c>
      <c r="V75" t="s">
        <v>94</v>
      </c>
      <c r="W75">
        <v>265472419.80000001</v>
      </c>
      <c r="X75">
        <v>266439117.80000001</v>
      </c>
      <c r="Y75">
        <v>267499117.80000001</v>
      </c>
      <c r="Z75">
        <v>268599117.80000001</v>
      </c>
      <c r="AA75">
        <v>270179117.80000001</v>
      </c>
      <c r="AB75">
        <f t="shared" si="10"/>
        <v>11771318980.648174</v>
      </c>
      <c r="AC75">
        <f t="shared" si="11"/>
        <v>12211731.310800001</v>
      </c>
      <c r="AD75">
        <f t="shared" si="12"/>
        <v>11955953560.343636</v>
      </c>
      <c r="AE75">
        <f t="shared" si="13"/>
        <v>12256199.4188</v>
      </c>
      <c r="AF75">
        <f t="shared" si="14"/>
        <v>12567684459.780279</v>
      </c>
      <c r="AG75">
        <f t="shared" si="15"/>
        <v>12304959.4188</v>
      </c>
      <c r="AH75">
        <f t="shared" si="16"/>
        <v>13628914014.237593</v>
      </c>
      <c r="AI75">
        <f t="shared" si="17"/>
        <v>12355559.4188</v>
      </c>
      <c r="AJ75">
        <f t="shared" si="18"/>
        <v>14271156818.748339</v>
      </c>
      <c r="AK75">
        <f t="shared" si="19"/>
        <v>12428239.4188</v>
      </c>
    </row>
    <row r="76" spans="1:37" x14ac:dyDescent="0.35">
      <c r="A76" t="s">
        <v>862</v>
      </c>
      <c r="B76">
        <v>29.9</v>
      </c>
      <c r="C76" t="s">
        <v>863</v>
      </c>
      <c r="D76" t="s">
        <v>864</v>
      </c>
      <c r="E76" t="s">
        <v>865</v>
      </c>
      <c r="F76">
        <v>0.1</v>
      </c>
      <c r="G76" t="s">
        <v>866</v>
      </c>
      <c r="H76">
        <v>30.3</v>
      </c>
      <c r="I76">
        <v>0.01</v>
      </c>
      <c r="J76" t="s">
        <v>867</v>
      </c>
      <c r="K76" t="s">
        <v>868</v>
      </c>
      <c r="L76" t="s">
        <v>869</v>
      </c>
      <c r="M76" t="s">
        <v>870</v>
      </c>
      <c r="N76">
        <v>278.56709214154648</v>
      </c>
      <c r="O76">
        <v>281.90989724724511</v>
      </c>
      <c r="P76">
        <v>295.1596624178656</v>
      </c>
      <c r="Q76">
        <v>318.77243541129491</v>
      </c>
      <c r="R76">
        <v>331.84210526315792</v>
      </c>
      <c r="S76" t="s">
        <v>871</v>
      </c>
      <c r="T76" t="s">
        <v>872</v>
      </c>
      <c r="U76" t="s">
        <v>873</v>
      </c>
      <c r="V76" t="s">
        <v>49</v>
      </c>
      <c r="W76">
        <v>338996155</v>
      </c>
      <c r="X76">
        <v>339500751</v>
      </c>
      <c r="Y76">
        <v>340560751</v>
      </c>
      <c r="Z76">
        <v>341660751</v>
      </c>
      <c r="AA76">
        <v>343660751</v>
      </c>
      <c r="AB76">
        <f t="shared" si="10"/>
        <v>9443317314.5514965</v>
      </c>
      <c r="AC76">
        <f t="shared" si="11"/>
        <v>33899615.5</v>
      </c>
      <c r="AD76">
        <f t="shared" si="12"/>
        <v>9570862182.9772549</v>
      </c>
      <c r="AE76">
        <f t="shared" si="13"/>
        <v>33950075.100000001</v>
      </c>
      <c r="AF76">
        <f t="shared" si="14"/>
        <v>10051979629.793478</v>
      </c>
      <c r="AG76">
        <f t="shared" si="15"/>
        <v>34056075.100000001</v>
      </c>
      <c r="AH76">
        <f t="shared" si="16"/>
        <v>10891202968.072203</v>
      </c>
      <c r="AI76">
        <f t="shared" si="17"/>
        <v>34166075.100000001</v>
      </c>
      <c r="AJ76">
        <f t="shared" si="18"/>
        <v>11404110710.81579</v>
      </c>
      <c r="AK76">
        <f t="shared" si="19"/>
        <v>34366075.100000001</v>
      </c>
    </row>
    <row r="77" spans="1:37" x14ac:dyDescent="0.35">
      <c r="A77" t="s">
        <v>874</v>
      </c>
      <c r="B77">
        <v>41.17</v>
      </c>
      <c r="C77" t="s">
        <v>863</v>
      </c>
      <c r="D77" t="s">
        <v>875</v>
      </c>
      <c r="E77" t="s">
        <v>876</v>
      </c>
      <c r="F77">
        <v>0.1</v>
      </c>
      <c r="G77" t="s">
        <v>877</v>
      </c>
      <c r="H77">
        <v>0.25</v>
      </c>
      <c r="I77">
        <v>0.01</v>
      </c>
      <c r="J77" t="s">
        <v>878</v>
      </c>
      <c r="K77" t="s">
        <v>879</v>
      </c>
      <c r="L77" t="s">
        <v>880</v>
      </c>
      <c r="M77" t="s">
        <v>881</v>
      </c>
      <c r="N77">
        <v>278.56709214154648</v>
      </c>
      <c r="O77">
        <v>281.90989724724511</v>
      </c>
      <c r="P77">
        <v>295.1596624178656</v>
      </c>
      <c r="Q77">
        <v>318.77243541129491</v>
      </c>
      <c r="R77">
        <v>331.84210526315792</v>
      </c>
      <c r="S77" t="s">
        <v>882</v>
      </c>
      <c r="T77" t="s">
        <v>883</v>
      </c>
      <c r="U77" t="s">
        <v>884</v>
      </c>
      <c r="V77" t="s">
        <v>49</v>
      </c>
      <c r="W77">
        <v>338996155</v>
      </c>
      <c r="X77">
        <v>339500751</v>
      </c>
      <c r="Y77">
        <v>340560751</v>
      </c>
      <c r="Z77">
        <v>341660751</v>
      </c>
      <c r="AA77">
        <v>343660751</v>
      </c>
      <c r="AB77">
        <f t="shared" si="10"/>
        <v>9443317314.5514965</v>
      </c>
      <c r="AC77">
        <f t="shared" si="11"/>
        <v>33899615.5</v>
      </c>
      <c r="AD77">
        <f t="shared" si="12"/>
        <v>9570862182.9772549</v>
      </c>
      <c r="AE77">
        <f t="shared" si="13"/>
        <v>33950075.100000001</v>
      </c>
      <c r="AF77">
        <f t="shared" si="14"/>
        <v>10051979629.793478</v>
      </c>
      <c r="AG77">
        <f t="shared" si="15"/>
        <v>34056075.100000001</v>
      </c>
      <c r="AH77">
        <f t="shared" si="16"/>
        <v>10891202968.072203</v>
      </c>
      <c r="AI77">
        <f t="shared" si="17"/>
        <v>34166075.100000001</v>
      </c>
      <c r="AJ77">
        <f t="shared" si="18"/>
        <v>11404110710.81579</v>
      </c>
      <c r="AK77">
        <f t="shared" si="19"/>
        <v>34366075.100000001</v>
      </c>
    </row>
    <row r="78" spans="1:37" x14ac:dyDescent="0.35">
      <c r="A78" t="s">
        <v>885</v>
      </c>
      <c r="B78">
        <v>1703.02</v>
      </c>
      <c r="C78" t="s">
        <v>886</v>
      </c>
      <c r="D78" t="s">
        <v>887</v>
      </c>
      <c r="E78" t="s">
        <v>888</v>
      </c>
      <c r="F78">
        <v>4.5999999999999999E-2</v>
      </c>
      <c r="G78" t="s">
        <v>889</v>
      </c>
      <c r="H78">
        <v>0.2</v>
      </c>
      <c r="I78">
        <v>25.1</v>
      </c>
      <c r="J78" t="s">
        <v>890</v>
      </c>
      <c r="K78" t="s">
        <v>891</v>
      </c>
      <c r="L78" t="s">
        <v>892</v>
      </c>
      <c r="M78" t="s">
        <v>893</v>
      </c>
      <c r="N78">
        <v>963.93530786561541</v>
      </c>
      <c r="O78">
        <v>975.50253156000281</v>
      </c>
      <c r="P78">
        <v>1021.351150543323</v>
      </c>
      <c r="Q78">
        <v>1103.059242586789</v>
      </c>
      <c r="R78">
        <v>1148.2846715328469</v>
      </c>
      <c r="S78" t="s">
        <v>894</v>
      </c>
      <c r="T78" t="s">
        <v>895</v>
      </c>
      <c r="U78" t="s">
        <v>896</v>
      </c>
      <c r="V78" t="s">
        <v>94</v>
      </c>
      <c r="W78">
        <v>265472419.80000001</v>
      </c>
      <c r="X78">
        <v>266439117.80000001</v>
      </c>
      <c r="Y78">
        <v>267499117.80000001</v>
      </c>
      <c r="Z78">
        <v>268599117.80000001</v>
      </c>
      <c r="AA78">
        <v>270179117.80000001</v>
      </c>
      <c r="AB78">
        <f t="shared" si="10"/>
        <v>11771318980.648174</v>
      </c>
      <c r="AC78">
        <f t="shared" si="11"/>
        <v>12211731.310800001</v>
      </c>
      <c r="AD78">
        <f t="shared" si="12"/>
        <v>11955953560.343636</v>
      </c>
      <c r="AE78">
        <f t="shared" si="13"/>
        <v>12256199.4188</v>
      </c>
      <c r="AF78">
        <f t="shared" si="14"/>
        <v>12567684459.780279</v>
      </c>
      <c r="AG78">
        <f t="shared" si="15"/>
        <v>12304959.4188</v>
      </c>
      <c r="AH78">
        <f t="shared" si="16"/>
        <v>13628914014.237593</v>
      </c>
      <c r="AI78">
        <f t="shared" si="17"/>
        <v>12355559.4188</v>
      </c>
      <c r="AJ78">
        <f t="shared" si="18"/>
        <v>14271156818.748339</v>
      </c>
      <c r="AK78">
        <f t="shared" si="19"/>
        <v>12428239.4188</v>
      </c>
    </row>
    <row r="79" spans="1:37" x14ac:dyDescent="0.35">
      <c r="A79" t="s">
        <v>897</v>
      </c>
      <c r="B79">
        <v>1961.04</v>
      </c>
      <c r="C79" t="s">
        <v>886</v>
      </c>
      <c r="D79" t="s">
        <v>898</v>
      </c>
      <c r="E79" t="s">
        <v>899</v>
      </c>
      <c r="F79">
        <v>4.5999999999999999E-2</v>
      </c>
      <c r="G79" t="s">
        <v>900</v>
      </c>
      <c r="H79">
        <v>0.3</v>
      </c>
      <c r="I79">
        <v>0.02</v>
      </c>
      <c r="J79" t="s">
        <v>901</v>
      </c>
      <c r="K79" t="s">
        <v>902</v>
      </c>
      <c r="L79" t="s">
        <v>903</v>
      </c>
      <c r="M79" t="s">
        <v>904</v>
      </c>
      <c r="N79">
        <v>963.93530786561541</v>
      </c>
      <c r="O79">
        <v>975.50253156000281</v>
      </c>
      <c r="P79">
        <v>1021.351150543323</v>
      </c>
      <c r="Q79">
        <v>1103.059242586789</v>
      </c>
      <c r="R79">
        <v>1148.2846715328469</v>
      </c>
      <c r="S79" t="s">
        <v>905</v>
      </c>
      <c r="T79" t="s">
        <v>906</v>
      </c>
      <c r="U79" t="s">
        <v>907</v>
      </c>
      <c r="V79" t="s">
        <v>94</v>
      </c>
      <c r="W79">
        <v>265472419.80000001</v>
      </c>
      <c r="X79">
        <v>266439117.80000001</v>
      </c>
      <c r="Y79">
        <v>267499117.80000001</v>
      </c>
      <c r="Z79">
        <v>268599117.80000001</v>
      </c>
      <c r="AA79">
        <v>270179117.80000001</v>
      </c>
      <c r="AB79">
        <f t="shared" si="10"/>
        <v>11771318980.648174</v>
      </c>
      <c r="AC79">
        <f t="shared" si="11"/>
        <v>12211731.310800001</v>
      </c>
      <c r="AD79">
        <f t="shared" si="12"/>
        <v>11955953560.343636</v>
      </c>
      <c r="AE79">
        <f t="shared" si="13"/>
        <v>12256199.4188</v>
      </c>
      <c r="AF79">
        <f t="shared" si="14"/>
        <v>12567684459.780279</v>
      </c>
      <c r="AG79">
        <f t="shared" si="15"/>
        <v>12304959.4188</v>
      </c>
      <c r="AH79">
        <f t="shared" si="16"/>
        <v>13628914014.237593</v>
      </c>
      <c r="AI79">
        <f t="shared" si="17"/>
        <v>12355559.4188</v>
      </c>
      <c r="AJ79">
        <f t="shared" si="18"/>
        <v>14271156818.748339</v>
      </c>
      <c r="AK79">
        <f t="shared" si="19"/>
        <v>12428239.4188</v>
      </c>
    </row>
    <row r="80" spans="1:37" x14ac:dyDescent="0.35">
      <c r="A80" t="s">
        <v>908</v>
      </c>
      <c r="B80">
        <v>1582.47</v>
      </c>
      <c r="C80" t="s">
        <v>886</v>
      </c>
      <c r="D80" t="s">
        <v>909</v>
      </c>
      <c r="E80" t="s">
        <v>910</v>
      </c>
      <c r="F80">
        <v>4.5999999999999999E-2</v>
      </c>
      <c r="G80" t="s">
        <v>911</v>
      </c>
      <c r="H80">
        <v>0.3</v>
      </c>
      <c r="I80">
        <v>0.25</v>
      </c>
      <c r="J80" t="s">
        <v>912</v>
      </c>
      <c r="K80" t="s">
        <v>913</v>
      </c>
      <c r="L80" t="s">
        <v>914</v>
      </c>
      <c r="M80" t="s">
        <v>915</v>
      </c>
      <c r="N80">
        <v>963.93530786561541</v>
      </c>
      <c r="O80">
        <v>975.50253156000281</v>
      </c>
      <c r="P80">
        <v>1021.351150543323</v>
      </c>
      <c r="Q80">
        <v>1103.059242586789</v>
      </c>
      <c r="R80">
        <v>1148.2846715328469</v>
      </c>
      <c r="S80" t="s">
        <v>894</v>
      </c>
      <c r="T80" t="s">
        <v>916</v>
      </c>
      <c r="U80" t="s">
        <v>917</v>
      </c>
      <c r="V80" t="s">
        <v>94</v>
      </c>
      <c r="W80">
        <v>265472419.80000001</v>
      </c>
      <c r="X80">
        <v>266439117.80000001</v>
      </c>
      <c r="Y80">
        <v>267499117.80000001</v>
      </c>
      <c r="Z80">
        <v>268599117.80000001</v>
      </c>
      <c r="AA80">
        <v>270179117.80000001</v>
      </c>
      <c r="AB80">
        <f t="shared" si="10"/>
        <v>11771318980.648174</v>
      </c>
      <c r="AC80">
        <f t="shared" si="11"/>
        <v>12211731.310800001</v>
      </c>
      <c r="AD80">
        <f t="shared" si="12"/>
        <v>11955953560.343636</v>
      </c>
      <c r="AE80">
        <f t="shared" si="13"/>
        <v>12256199.4188</v>
      </c>
      <c r="AF80">
        <f t="shared" si="14"/>
        <v>12567684459.780279</v>
      </c>
      <c r="AG80">
        <f t="shared" si="15"/>
        <v>12304959.4188</v>
      </c>
      <c r="AH80">
        <f t="shared" si="16"/>
        <v>13628914014.237593</v>
      </c>
      <c r="AI80">
        <f t="shared" si="17"/>
        <v>12355559.4188</v>
      </c>
      <c r="AJ80">
        <f t="shared" si="18"/>
        <v>14271156818.748339</v>
      </c>
      <c r="AK80">
        <f t="shared" si="19"/>
        <v>12428239.4188</v>
      </c>
    </row>
    <row r="81" spans="1:37" x14ac:dyDescent="0.35">
      <c r="A81" t="s">
        <v>918</v>
      </c>
      <c r="B81">
        <v>3105.91</v>
      </c>
      <c r="C81" t="s">
        <v>886</v>
      </c>
      <c r="D81" t="s">
        <v>919</v>
      </c>
      <c r="E81" t="s">
        <v>920</v>
      </c>
      <c r="F81">
        <v>4.5999999999999999E-2</v>
      </c>
      <c r="G81" t="s">
        <v>921</v>
      </c>
      <c r="H81">
        <v>0.3</v>
      </c>
      <c r="I81">
        <v>0.13</v>
      </c>
      <c r="J81" t="s">
        <v>922</v>
      </c>
      <c r="K81" t="s">
        <v>923</v>
      </c>
      <c r="L81" t="s">
        <v>924</v>
      </c>
      <c r="M81" t="s">
        <v>925</v>
      </c>
      <c r="N81">
        <v>963.93530786561541</v>
      </c>
      <c r="O81">
        <v>975.50253156000281</v>
      </c>
      <c r="P81">
        <v>1021.351150543323</v>
      </c>
      <c r="Q81">
        <v>1103.059242586789</v>
      </c>
      <c r="R81">
        <v>1148.2846715328469</v>
      </c>
      <c r="S81" t="s">
        <v>926</v>
      </c>
      <c r="T81" t="s">
        <v>927</v>
      </c>
      <c r="U81" t="s">
        <v>928</v>
      </c>
      <c r="V81" t="s">
        <v>94</v>
      </c>
      <c r="W81">
        <v>265472419.80000001</v>
      </c>
      <c r="X81">
        <v>266439117.80000001</v>
      </c>
      <c r="Y81">
        <v>267499117.80000001</v>
      </c>
      <c r="Z81">
        <v>268599117.80000001</v>
      </c>
      <c r="AA81">
        <v>270179117.80000001</v>
      </c>
      <c r="AB81">
        <f t="shared" si="10"/>
        <v>11771318980.648174</v>
      </c>
      <c r="AC81">
        <f t="shared" si="11"/>
        <v>12211731.310800001</v>
      </c>
      <c r="AD81">
        <f t="shared" si="12"/>
        <v>11955953560.343636</v>
      </c>
      <c r="AE81">
        <f t="shared" si="13"/>
        <v>12256199.4188</v>
      </c>
      <c r="AF81">
        <f t="shared" si="14"/>
        <v>12567684459.780279</v>
      </c>
      <c r="AG81">
        <f t="shared" si="15"/>
        <v>12304959.4188</v>
      </c>
      <c r="AH81">
        <f t="shared" si="16"/>
        <v>13628914014.237593</v>
      </c>
      <c r="AI81">
        <f t="shared" si="17"/>
        <v>12355559.4188</v>
      </c>
      <c r="AJ81">
        <f t="shared" si="18"/>
        <v>14271156818.748339</v>
      </c>
      <c r="AK81">
        <f t="shared" si="19"/>
        <v>12428239.4188</v>
      </c>
    </row>
    <row r="82" spans="1:37" x14ac:dyDescent="0.35">
      <c r="A82" t="s">
        <v>929</v>
      </c>
      <c r="B82">
        <v>2245.86</v>
      </c>
      <c r="C82" t="s">
        <v>886</v>
      </c>
      <c r="D82" t="s">
        <v>930</v>
      </c>
      <c r="E82" t="s">
        <v>931</v>
      </c>
      <c r="F82">
        <v>4.5999999999999999E-2</v>
      </c>
      <c r="G82" t="s">
        <v>932</v>
      </c>
      <c r="H82">
        <v>0.2</v>
      </c>
      <c r="I82">
        <v>0.05</v>
      </c>
      <c r="J82" t="s">
        <v>933</v>
      </c>
      <c r="K82" t="s">
        <v>934</v>
      </c>
      <c r="L82" t="s">
        <v>935</v>
      </c>
      <c r="M82" t="s">
        <v>936</v>
      </c>
      <c r="N82">
        <v>963.93530786561541</v>
      </c>
      <c r="O82">
        <v>975.50253156000281</v>
      </c>
      <c r="P82">
        <v>1021.351150543323</v>
      </c>
      <c r="Q82">
        <v>1103.059242586789</v>
      </c>
      <c r="R82">
        <v>1148.2846715328469</v>
      </c>
      <c r="S82" t="s">
        <v>937</v>
      </c>
      <c r="T82" t="s">
        <v>916</v>
      </c>
      <c r="U82" t="s">
        <v>938</v>
      </c>
      <c r="V82" t="s">
        <v>94</v>
      </c>
      <c r="W82">
        <v>265472419.80000001</v>
      </c>
      <c r="X82">
        <v>266439117.80000001</v>
      </c>
      <c r="Y82">
        <v>267499117.80000001</v>
      </c>
      <c r="Z82">
        <v>268599117.80000001</v>
      </c>
      <c r="AA82">
        <v>270179117.80000001</v>
      </c>
      <c r="AB82">
        <f t="shared" si="10"/>
        <v>11771318980.648174</v>
      </c>
      <c r="AC82">
        <f t="shared" si="11"/>
        <v>12211731.310800001</v>
      </c>
      <c r="AD82">
        <f t="shared" si="12"/>
        <v>11955953560.343636</v>
      </c>
      <c r="AE82">
        <f t="shared" si="13"/>
        <v>12256199.4188</v>
      </c>
      <c r="AF82">
        <f t="shared" si="14"/>
        <v>12567684459.780279</v>
      </c>
      <c r="AG82">
        <f t="shared" si="15"/>
        <v>12304959.4188</v>
      </c>
      <c r="AH82">
        <f t="shared" si="16"/>
        <v>13628914014.237593</v>
      </c>
      <c r="AI82">
        <f t="shared" si="17"/>
        <v>12355559.4188</v>
      </c>
      <c r="AJ82">
        <f t="shared" si="18"/>
        <v>14271156818.748339</v>
      </c>
      <c r="AK82">
        <f t="shared" si="19"/>
        <v>12428239.4188</v>
      </c>
    </row>
    <row r="83" spans="1:37" x14ac:dyDescent="0.35">
      <c r="A83" t="s">
        <v>939</v>
      </c>
      <c r="B83">
        <v>2669.93</v>
      </c>
      <c r="C83" t="s">
        <v>886</v>
      </c>
      <c r="D83" t="s">
        <v>940</v>
      </c>
      <c r="E83" t="s">
        <v>941</v>
      </c>
      <c r="F83">
        <v>4.5999999999999999E-2</v>
      </c>
      <c r="G83" t="s">
        <v>942</v>
      </c>
      <c r="H83">
        <v>0.3</v>
      </c>
      <c r="I83">
        <v>0.05</v>
      </c>
      <c r="J83" t="s">
        <v>943</v>
      </c>
      <c r="K83" t="s">
        <v>944</v>
      </c>
      <c r="L83" t="s">
        <v>945</v>
      </c>
      <c r="M83" t="s">
        <v>946</v>
      </c>
      <c r="N83">
        <v>963.93530786561541</v>
      </c>
      <c r="O83">
        <v>975.50253156000281</v>
      </c>
      <c r="P83">
        <v>1021.351150543323</v>
      </c>
      <c r="Q83">
        <v>1103.059242586789</v>
      </c>
      <c r="R83">
        <v>1148.2846715328469</v>
      </c>
      <c r="S83" t="s">
        <v>947</v>
      </c>
      <c r="T83" t="s">
        <v>948</v>
      </c>
      <c r="U83" t="s">
        <v>949</v>
      </c>
      <c r="V83" t="s">
        <v>94</v>
      </c>
      <c r="W83">
        <v>265472419.80000001</v>
      </c>
      <c r="X83">
        <v>266439117.80000001</v>
      </c>
      <c r="Y83">
        <v>267499117.80000001</v>
      </c>
      <c r="Z83">
        <v>268599117.80000001</v>
      </c>
      <c r="AA83">
        <v>270179117.80000001</v>
      </c>
      <c r="AB83">
        <f t="shared" si="10"/>
        <v>11771318980.648174</v>
      </c>
      <c r="AC83">
        <f t="shared" si="11"/>
        <v>12211731.310800001</v>
      </c>
      <c r="AD83">
        <f t="shared" si="12"/>
        <v>11955953560.343636</v>
      </c>
      <c r="AE83">
        <f t="shared" si="13"/>
        <v>12256199.4188</v>
      </c>
      <c r="AF83">
        <f t="shared" si="14"/>
        <v>12567684459.780279</v>
      </c>
      <c r="AG83">
        <f t="shared" si="15"/>
        <v>12304959.4188</v>
      </c>
      <c r="AH83">
        <f t="shared" si="16"/>
        <v>13628914014.237593</v>
      </c>
      <c r="AI83">
        <f t="shared" si="17"/>
        <v>12355559.4188</v>
      </c>
      <c r="AJ83">
        <f t="shared" si="18"/>
        <v>14271156818.748339</v>
      </c>
      <c r="AK83">
        <f t="shared" si="19"/>
        <v>12428239.4188</v>
      </c>
    </row>
    <row r="84" spans="1:37" x14ac:dyDescent="0.35">
      <c r="A84" t="s">
        <v>950</v>
      </c>
      <c r="B84">
        <v>2585.34</v>
      </c>
      <c r="C84" t="s">
        <v>83</v>
      </c>
      <c r="D84" t="s">
        <v>951</v>
      </c>
      <c r="E84" t="s">
        <v>952</v>
      </c>
      <c r="F84">
        <v>4.5999999999999999E-2</v>
      </c>
      <c r="G84" t="s">
        <v>953</v>
      </c>
      <c r="H84">
        <v>0.3</v>
      </c>
      <c r="I84">
        <v>0.05</v>
      </c>
      <c r="J84" t="s">
        <v>954</v>
      </c>
      <c r="K84" t="s">
        <v>955</v>
      </c>
      <c r="L84" t="s">
        <v>956</v>
      </c>
      <c r="M84" t="s">
        <v>957</v>
      </c>
      <c r="N84">
        <v>963.93530786561541</v>
      </c>
      <c r="O84">
        <v>975.50253156000281</v>
      </c>
      <c r="P84">
        <v>1021.351150543323</v>
      </c>
      <c r="Q84">
        <v>1103.059242586789</v>
      </c>
      <c r="R84">
        <v>1148.2846715328469</v>
      </c>
      <c r="S84" t="s">
        <v>958</v>
      </c>
      <c r="T84" t="s">
        <v>959</v>
      </c>
      <c r="U84" t="s">
        <v>960</v>
      </c>
      <c r="V84" t="s">
        <v>94</v>
      </c>
      <c r="W84">
        <v>265472419.80000001</v>
      </c>
      <c r="X84">
        <v>266439117.80000001</v>
      </c>
      <c r="Y84">
        <v>267499117.80000001</v>
      </c>
      <c r="Z84">
        <v>268599117.80000001</v>
      </c>
      <c r="AA84">
        <v>270179117.80000001</v>
      </c>
      <c r="AB84">
        <f t="shared" si="10"/>
        <v>11771318980.648174</v>
      </c>
      <c r="AC84">
        <f t="shared" si="11"/>
        <v>12211731.310800001</v>
      </c>
      <c r="AD84">
        <f t="shared" si="12"/>
        <v>11955953560.343636</v>
      </c>
      <c r="AE84">
        <f t="shared" si="13"/>
        <v>12256199.4188</v>
      </c>
      <c r="AF84">
        <f t="shared" si="14"/>
        <v>12567684459.780279</v>
      </c>
      <c r="AG84">
        <f t="shared" si="15"/>
        <v>12304959.4188</v>
      </c>
      <c r="AH84">
        <f t="shared" si="16"/>
        <v>13628914014.237593</v>
      </c>
      <c r="AI84">
        <f t="shared" si="17"/>
        <v>12355559.4188</v>
      </c>
      <c r="AJ84">
        <f t="shared" si="18"/>
        <v>14271156818.748339</v>
      </c>
      <c r="AK84">
        <f t="shared" si="19"/>
        <v>12428239.4188</v>
      </c>
    </row>
    <row r="85" spans="1:37" x14ac:dyDescent="0.35">
      <c r="A85" t="s">
        <v>961</v>
      </c>
      <c r="B85">
        <v>3063.96</v>
      </c>
      <c r="C85" t="s">
        <v>83</v>
      </c>
      <c r="D85" t="s">
        <v>962</v>
      </c>
      <c r="E85" t="s">
        <v>963</v>
      </c>
      <c r="F85">
        <v>4.5999999999999999E-2</v>
      </c>
      <c r="G85" t="s">
        <v>964</v>
      </c>
      <c r="H85">
        <v>0.1</v>
      </c>
      <c r="I85">
        <v>0.05</v>
      </c>
      <c r="J85" t="s">
        <v>965</v>
      </c>
      <c r="K85" t="s">
        <v>966</v>
      </c>
      <c r="L85" t="s">
        <v>967</v>
      </c>
      <c r="M85" t="s">
        <v>968</v>
      </c>
      <c r="N85">
        <v>963.93530786561541</v>
      </c>
      <c r="O85">
        <v>975.50253156000281</v>
      </c>
      <c r="P85">
        <v>1021.351150543323</v>
      </c>
      <c r="Q85">
        <v>1103.059242586789</v>
      </c>
      <c r="R85">
        <v>1148.2846715328469</v>
      </c>
      <c r="S85" t="s">
        <v>969</v>
      </c>
      <c r="T85" t="s">
        <v>970</v>
      </c>
      <c r="U85" t="s">
        <v>971</v>
      </c>
      <c r="V85" t="s">
        <v>94</v>
      </c>
      <c r="W85">
        <v>265472419.80000001</v>
      </c>
      <c r="X85">
        <v>266439117.80000001</v>
      </c>
      <c r="Y85">
        <v>267499117.80000001</v>
      </c>
      <c r="Z85">
        <v>268599117.80000001</v>
      </c>
      <c r="AA85">
        <v>270179117.80000001</v>
      </c>
      <c r="AB85">
        <f t="shared" si="10"/>
        <v>11771318980.648174</v>
      </c>
      <c r="AC85">
        <f t="shared" si="11"/>
        <v>12211731.310800001</v>
      </c>
      <c r="AD85">
        <f t="shared" si="12"/>
        <v>11955953560.343636</v>
      </c>
      <c r="AE85">
        <f t="shared" si="13"/>
        <v>12256199.4188</v>
      </c>
      <c r="AF85">
        <f t="shared" si="14"/>
        <v>12567684459.780279</v>
      </c>
      <c r="AG85">
        <f t="shared" si="15"/>
        <v>12304959.4188</v>
      </c>
      <c r="AH85">
        <f t="shared" si="16"/>
        <v>13628914014.237593</v>
      </c>
      <c r="AI85">
        <f t="shared" si="17"/>
        <v>12355559.4188</v>
      </c>
      <c r="AJ85">
        <f t="shared" si="18"/>
        <v>14271156818.748339</v>
      </c>
      <c r="AK85">
        <f t="shared" si="19"/>
        <v>12428239.4188</v>
      </c>
    </row>
    <row r="86" spans="1:37" x14ac:dyDescent="0.35">
      <c r="A86" t="s">
        <v>972</v>
      </c>
      <c r="B86">
        <v>3296.94</v>
      </c>
      <c r="C86" t="s">
        <v>83</v>
      </c>
      <c r="D86" t="s">
        <v>973</v>
      </c>
      <c r="E86" t="s">
        <v>974</v>
      </c>
      <c r="F86">
        <v>4.5999999999999999E-2</v>
      </c>
      <c r="G86" t="s">
        <v>975</v>
      </c>
      <c r="H86">
        <v>0.2</v>
      </c>
      <c r="I86">
        <v>0.01</v>
      </c>
      <c r="J86" t="s">
        <v>976</v>
      </c>
      <c r="K86" t="s">
        <v>977</v>
      </c>
      <c r="L86" t="s">
        <v>978</v>
      </c>
      <c r="M86" t="s">
        <v>979</v>
      </c>
      <c r="N86">
        <v>963.93530786561541</v>
      </c>
      <c r="O86">
        <v>975.50253156000281</v>
      </c>
      <c r="P86">
        <v>1021.351150543323</v>
      </c>
      <c r="Q86">
        <v>1103.059242586789</v>
      </c>
      <c r="R86">
        <v>1148.2846715328469</v>
      </c>
      <c r="S86" t="s">
        <v>980</v>
      </c>
      <c r="T86" t="s">
        <v>981</v>
      </c>
      <c r="U86" t="s">
        <v>982</v>
      </c>
      <c r="V86" t="s">
        <v>94</v>
      </c>
      <c r="W86">
        <v>265472419.80000001</v>
      </c>
      <c r="X86">
        <v>266439117.80000001</v>
      </c>
      <c r="Y86">
        <v>267499117.80000001</v>
      </c>
      <c r="Z86">
        <v>268599117.80000001</v>
      </c>
      <c r="AA86">
        <v>270179117.80000001</v>
      </c>
      <c r="AB86">
        <f t="shared" si="10"/>
        <v>11771318980.648174</v>
      </c>
      <c r="AC86">
        <f t="shared" si="11"/>
        <v>12211731.310800001</v>
      </c>
      <c r="AD86">
        <f t="shared" si="12"/>
        <v>11955953560.343636</v>
      </c>
      <c r="AE86">
        <f t="shared" si="13"/>
        <v>12256199.4188</v>
      </c>
      <c r="AF86">
        <f t="shared" si="14"/>
        <v>12567684459.780279</v>
      </c>
      <c r="AG86">
        <f t="shared" si="15"/>
        <v>12304959.4188</v>
      </c>
      <c r="AH86">
        <f t="shared" si="16"/>
        <v>13628914014.237593</v>
      </c>
      <c r="AI86">
        <f t="shared" si="17"/>
        <v>12355559.4188</v>
      </c>
      <c r="AJ86">
        <f t="shared" si="18"/>
        <v>14271156818.748339</v>
      </c>
      <c r="AK86">
        <f t="shared" si="19"/>
        <v>12428239.4188</v>
      </c>
    </row>
    <row r="87" spans="1:37" x14ac:dyDescent="0.35">
      <c r="A87" t="s">
        <v>983</v>
      </c>
      <c r="B87">
        <v>7051.12</v>
      </c>
      <c r="C87" t="s">
        <v>886</v>
      </c>
      <c r="D87" t="s">
        <v>984</v>
      </c>
      <c r="E87" t="s">
        <v>985</v>
      </c>
      <c r="F87">
        <v>4.5999999999999999E-2</v>
      </c>
      <c r="G87" t="s">
        <v>986</v>
      </c>
      <c r="H87">
        <v>0.3</v>
      </c>
      <c r="I87">
        <v>0.05</v>
      </c>
      <c r="J87" t="s">
        <v>987</v>
      </c>
      <c r="K87" t="s">
        <v>988</v>
      </c>
      <c r="L87" t="s">
        <v>989</v>
      </c>
      <c r="M87" t="s">
        <v>990</v>
      </c>
      <c r="N87">
        <v>963.93530786561541</v>
      </c>
      <c r="O87">
        <v>975.50253156000281</v>
      </c>
      <c r="P87">
        <v>1021.351150543323</v>
      </c>
      <c r="Q87">
        <v>1103.059242586789</v>
      </c>
      <c r="R87">
        <v>1148.2846715328469</v>
      </c>
      <c r="S87" t="s">
        <v>991</v>
      </c>
      <c r="T87" t="s">
        <v>992</v>
      </c>
      <c r="U87" t="s">
        <v>993</v>
      </c>
      <c r="V87" t="s">
        <v>94</v>
      </c>
      <c r="W87">
        <v>265472419.80000001</v>
      </c>
      <c r="X87">
        <v>266439117.80000001</v>
      </c>
      <c r="Y87">
        <v>267499117.80000001</v>
      </c>
      <c r="Z87">
        <v>268599117.80000001</v>
      </c>
      <c r="AA87">
        <v>270179117.80000001</v>
      </c>
      <c r="AB87">
        <f t="shared" si="10"/>
        <v>11771318980.648174</v>
      </c>
      <c r="AC87">
        <f t="shared" si="11"/>
        <v>12211731.310800001</v>
      </c>
      <c r="AD87">
        <f t="shared" si="12"/>
        <v>11955953560.343636</v>
      </c>
      <c r="AE87">
        <f t="shared" si="13"/>
        <v>12256199.4188</v>
      </c>
      <c r="AF87">
        <f t="shared" si="14"/>
        <v>12567684459.780279</v>
      </c>
      <c r="AG87">
        <f t="shared" si="15"/>
        <v>12304959.4188</v>
      </c>
      <c r="AH87">
        <f t="shared" si="16"/>
        <v>13628914014.237593</v>
      </c>
      <c r="AI87">
        <f t="shared" si="17"/>
        <v>12355559.4188</v>
      </c>
      <c r="AJ87">
        <f t="shared" si="18"/>
        <v>14271156818.748339</v>
      </c>
      <c r="AK87">
        <f t="shared" si="19"/>
        <v>12428239.4188</v>
      </c>
    </row>
    <row r="88" spans="1:37" x14ac:dyDescent="0.35">
      <c r="A88" t="s">
        <v>994</v>
      </c>
      <c r="B88">
        <v>51.84</v>
      </c>
      <c r="C88" t="s">
        <v>83</v>
      </c>
      <c r="D88" t="s">
        <v>995</v>
      </c>
      <c r="E88" t="s">
        <v>996</v>
      </c>
      <c r="F88">
        <v>4.5999999999999999E-2</v>
      </c>
      <c r="G88" t="s">
        <v>997</v>
      </c>
      <c r="H88">
        <v>10.199999999999999</v>
      </c>
      <c r="I88">
        <v>27.1</v>
      </c>
      <c r="J88" t="s">
        <v>998</v>
      </c>
      <c r="K88" t="s">
        <v>999</v>
      </c>
      <c r="L88" t="s">
        <v>1000</v>
      </c>
      <c r="M88" t="s">
        <v>1001</v>
      </c>
      <c r="N88">
        <v>963.93530786561541</v>
      </c>
      <c r="O88">
        <v>975.50253156000281</v>
      </c>
      <c r="P88">
        <v>1021.351150543323</v>
      </c>
      <c r="Q88">
        <v>1103.059242586789</v>
      </c>
      <c r="R88">
        <v>1148.2846715328469</v>
      </c>
      <c r="S88" t="s">
        <v>1002</v>
      </c>
      <c r="T88" t="s">
        <v>1003</v>
      </c>
      <c r="U88" t="s">
        <v>1004</v>
      </c>
      <c r="V88" t="s">
        <v>94</v>
      </c>
      <c r="W88">
        <v>265472419.80000001</v>
      </c>
      <c r="X88">
        <v>266439117.80000001</v>
      </c>
      <c r="Y88">
        <v>267499117.80000001</v>
      </c>
      <c r="Z88">
        <v>268599117.80000001</v>
      </c>
      <c r="AA88">
        <v>270179117.80000001</v>
      </c>
      <c r="AB88">
        <f t="shared" si="10"/>
        <v>11771318980.648174</v>
      </c>
      <c r="AC88">
        <f t="shared" si="11"/>
        <v>12211731.310800001</v>
      </c>
      <c r="AD88">
        <f t="shared" si="12"/>
        <v>11955953560.343636</v>
      </c>
      <c r="AE88">
        <f t="shared" si="13"/>
        <v>12256199.4188</v>
      </c>
      <c r="AF88">
        <f t="shared" si="14"/>
        <v>12567684459.780279</v>
      </c>
      <c r="AG88">
        <f t="shared" si="15"/>
        <v>12304959.4188</v>
      </c>
      <c r="AH88">
        <f t="shared" si="16"/>
        <v>13628914014.237593</v>
      </c>
      <c r="AI88">
        <f t="shared" si="17"/>
        <v>12355559.4188</v>
      </c>
      <c r="AJ88">
        <f t="shared" si="18"/>
        <v>14271156818.748339</v>
      </c>
      <c r="AK88">
        <f t="shared" si="19"/>
        <v>12428239.4188</v>
      </c>
    </row>
    <row r="89" spans="1:37" x14ac:dyDescent="0.35">
      <c r="A89" t="s">
        <v>1005</v>
      </c>
      <c r="B89">
        <v>900.13</v>
      </c>
      <c r="C89" t="s">
        <v>1006</v>
      </c>
      <c r="D89" t="s">
        <v>1007</v>
      </c>
      <c r="E89" t="s">
        <v>1008</v>
      </c>
      <c r="F89">
        <v>2.5000000000000001E-5</v>
      </c>
      <c r="G89" t="s">
        <v>1009</v>
      </c>
      <c r="H89">
        <v>0.35</v>
      </c>
      <c r="I89">
        <v>10.199999999999999</v>
      </c>
      <c r="J89" t="s">
        <v>1010</v>
      </c>
      <c r="K89" t="s">
        <v>1011</v>
      </c>
      <c r="L89" t="s">
        <v>1012</v>
      </c>
      <c r="M89" t="s">
        <v>1013</v>
      </c>
      <c r="N89">
        <v>16395.639468580812</v>
      </c>
      <c r="O89">
        <v>16592.387142203781</v>
      </c>
      <c r="P89">
        <v>17372.229337887358</v>
      </c>
      <c r="Q89">
        <v>18762.00768491835</v>
      </c>
      <c r="R89">
        <v>19531.25</v>
      </c>
      <c r="S89" t="s">
        <v>1014</v>
      </c>
      <c r="T89" t="s">
        <v>1015</v>
      </c>
      <c r="U89" t="s">
        <v>1016</v>
      </c>
      <c r="V89" t="s">
        <v>1017</v>
      </c>
      <c r="W89">
        <v>331357816</v>
      </c>
      <c r="X89">
        <v>331968553.60000002</v>
      </c>
      <c r="Y89">
        <v>333028553.60000002</v>
      </c>
      <c r="Z89">
        <v>334128553.60000002</v>
      </c>
      <c r="AA89">
        <v>336128553.60000002</v>
      </c>
      <c r="AB89">
        <f t="shared" si="10"/>
        <v>135820582.15580848</v>
      </c>
      <c r="AC89">
        <f t="shared" si="11"/>
        <v>8283.9454000000005</v>
      </c>
      <c r="AD89">
        <f t="shared" si="12"/>
        <v>137703769.00921568</v>
      </c>
      <c r="AE89">
        <f t="shared" si="13"/>
        <v>8299.2138400000003</v>
      </c>
      <c r="AF89">
        <f t="shared" si="14"/>
        <v>144636210.23010284</v>
      </c>
      <c r="AG89">
        <f t="shared" si="15"/>
        <v>8325.7138400000003</v>
      </c>
      <c r="AH89">
        <f t="shared" si="16"/>
        <v>156723062.25984636</v>
      </c>
      <c r="AI89">
        <f t="shared" si="17"/>
        <v>8353.2138400000003</v>
      </c>
      <c r="AJ89">
        <f t="shared" si="18"/>
        <v>164125270.3125</v>
      </c>
      <c r="AK89">
        <f t="shared" si="19"/>
        <v>8403.2138400000003</v>
      </c>
    </row>
    <row r="90" spans="1:37" x14ac:dyDescent="0.35">
      <c r="A90" t="s">
        <v>1018</v>
      </c>
      <c r="B90">
        <v>86.01</v>
      </c>
      <c r="C90" t="s">
        <v>1019</v>
      </c>
      <c r="D90" t="s">
        <v>1020</v>
      </c>
      <c r="E90" t="s">
        <v>1021</v>
      </c>
      <c r="F90">
        <v>0.28999999999999998</v>
      </c>
      <c r="G90" t="s">
        <v>1022</v>
      </c>
      <c r="H90">
        <v>0.15</v>
      </c>
      <c r="I90">
        <v>0</v>
      </c>
      <c r="J90" t="s">
        <v>1023</v>
      </c>
      <c r="K90" t="s">
        <v>1024</v>
      </c>
      <c r="L90" t="s">
        <v>1025</v>
      </c>
      <c r="M90" t="s">
        <v>1026</v>
      </c>
      <c r="N90">
        <v>349.3072771403954</v>
      </c>
      <c r="O90">
        <v>353.49896446608022</v>
      </c>
      <c r="P90">
        <v>370.11341579598587</v>
      </c>
      <c r="Q90">
        <v>399.72248905966478</v>
      </c>
      <c r="R90">
        <v>416.11111111111109</v>
      </c>
      <c r="S90" t="s">
        <v>1027</v>
      </c>
      <c r="T90" t="s">
        <v>587</v>
      </c>
      <c r="U90" t="s">
        <v>1028</v>
      </c>
      <c r="V90" t="s">
        <v>1029</v>
      </c>
      <c r="W90">
        <v>139921842</v>
      </c>
      <c r="X90">
        <v>139603232</v>
      </c>
      <c r="Y90">
        <v>140663232</v>
      </c>
      <c r="Z90">
        <v>141763232</v>
      </c>
      <c r="AA90">
        <v>143763232</v>
      </c>
      <c r="AB90">
        <f t="shared" si="10"/>
        <v>14173958116.031698</v>
      </c>
      <c r="AC90">
        <f t="shared" si="11"/>
        <v>40577334.18</v>
      </c>
      <c r="AD90">
        <f t="shared" si="12"/>
        <v>14311383404.954205</v>
      </c>
      <c r="AE90">
        <f t="shared" si="13"/>
        <v>40484937.279999994</v>
      </c>
      <c r="AF90">
        <f t="shared" si="14"/>
        <v>15097791289.002735</v>
      </c>
      <c r="AG90">
        <f t="shared" si="15"/>
        <v>40792337.279999994</v>
      </c>
      <c r="AH90">
        <f t="shared" si="16"/>
        <v>16433126066.132988</v>
      </c>
      <c r="AI90">
        <f t="shared" si="17"/>
        <v>41111337.279999994</v>
      </c>
      <c r="AJ90">
        <f t="shared" si="18"/>
        <v>17348228679.288887</v>
      </c>
      <c r="AK90">
        <f t="shared" si="19"/>
        <v>41691337.279999994</v>
      </c>
    </row>
    <row r="91" spans="1:37" x14ac:dyDescent="0.35">
      <c r="A91" t="s">
        <v>1030</v>
      </c>
      <c r="B91">
        <v>10.56</v>
      </c>
      <c r="C91" t="s">
        <v>1019</v>
      </c>
      <c r="D91" t="s">
        <v>1031</v>
      </c>
      <c r="E91" t="s">
        <v>1032</v>
      </c>
      <c r="F91">
        <v>0.28999999999999998</v>
      </c>
      <c r="G91" t="s">
        <v>1033</v>
      </c>
      <c r="H91">
        <v>0.3</v>
      </c>
      <c r="I91">
        <v>0</v>
      </c>
      <c r="J91" t="s">
        <v>1034</v>
      </c>
      <c r="K91" t="s">
        <v>1035</v>
      </c>
      <c r="L91" t="s">
        <v>1036</v>
      </c>
      <c r="M91" t="s">
        <v>1037</v>
      </c>
      <c r="N91">
        <v>349.3072771403954</v>
      </c>
      <c r="O91">
        <v>353.49896446608022</v>
      </c>
      <c r="P91">
        <v>370.11341579598587</v>
      </c>
      <c r="Q91">
        <v>399.72248905966478</v>
      </c>
      <c r="R91">
        <v>416.11111111111109</v>
      </c>
      <c r="S91" t="s">
        <v>1038</v>
      </c>
      <c r="T91" t="s">
        <v>1039</v>
      </c>
      <c r="U91" t="s">
        <v>1040</v>
      </c>
      <c r="V91" t="s">
        <v>1029</v>
      </c>
      <c r="W91">
        <v>139921842</v>
      </c>
      <c r="X91">
        <v>139603232</v>
      </c>
      <c r="Y91">
        <v>140663232</v>
      </c>
      <c r="Z91">
        <v>141763232</v>
      </c>
      <c r="AA91">
        <v>143763232</v>
      </c>
      <c r="AB91">
        <f t="shared" si="10"/>
        <v>14173958116.031698</v>
      </c>
      <c r="AC91">
        <f t="shared" si="11"/>
        <v>40577334.18</v>
      </c>
      <c r="AD91">
        <f t="shared" si="12"/>
        <v>14311383404.954205</v>
      </c>
      <c r="AE91">
        <f t="shared" si="13"/>
        <v>40484937.279999994</v>
      </c>
      <c r="AF91">
        <f t="shared" si="14"/>
        <v>15097791289.002735</v>
      </c>
      <c r="AG91">
        <f t="shared" si="15"/>
        <v>40792337.279999994</v>
      </c>
      <c r="AH91">
        <f t="shared" si="16"/>
        <v>16433126066.132988</v>
      </c>
      <c r="AI91">
        <f t="shared" si="17"/>
        <v>41111337.279999994</v>
      </c>
      <c r="AJ91">
        <f t="shared" si="18"/>
        <v>17348228679.288887</v>
      </c>
      <c r="AK91">
        <f t="shared" si="19"/>
        <v>41691337.279999994</v>
      </c>
    </row>
    <row r="92" spans="1:37" x14ac:dyDescent="0.35">
      <c r="A92" t="s">
        <v>1041</v>
      </c>
      <c r="B92">
        <v>28.75</v>
      </c>
      <c r="C92" t="s">
        <v>1042</v>
      </c>
      <c r="D92" t="s">
        <v>1043</v>
      </c>
      <c r="E92" t="s">
        <v>1044</v>
      </c>
      <c r="F92">
        <v>0.187</v>
      </c>
      <c r="G92" t="s">
        <v>1045</v>
      </c>
      <c r="H92">
        <v>0.1</v>
      </c>
      <c r="I92">
        <v>1.01</v>
      </c>
      <c r="J92" t="s">
        <v>1046</v>
      </c>
      <c r="K92" t="s">
        <v>1047</v>
      </c>
      <c r="L92" t="s">
        <v>1048</v>
      </c>
      <c r="M92" t="s">
        <v>1049</v>
      </c>
      <c r="N92">
        <v>1770.7290626067279</v>
      </c>
      <c r="O92">
        <v>1791.9778113580089</v>
      </c>
      <c r="P92">
        <v>1876.2007684918351</v>
      </c>
      <c r="Q92">
        <v>2026.296829971182</v>
      </c>
      <c r="R92">
        <v>2109.375</v>
      </c>
      <c r="S92" t="s">
        <v>1050</v>
      </c>
      <c r="T92" t="s">
        <v>1051</v>
      </c>
      <c r="U92" t="s">
        <v>1052</v>
      </c>
      <c r="V92" t="s">
        <v>1053</v>
      </c>
      <c r="W92">
        <v>158713600</v>
      </c>
      <c r="X92">
        <v>160457415</v>
      </c>
      <c r="Y92">
        <v>160457415</v>
      </c>
      <c r="Z92">
        <v>160557415</v>
      </c>
      <c r="AA92">
        <v>160557415</v>
      </c>
      <c r="AB92">
        <f t="shared" si="10"/>
        <v>52554252636.225624</v>
      </c>
      <c r="AC92">
        <f t="shared" si="11"/>
        <v>29679443.199999999</v>
      </c>
      <c r="AD92">
        <f t="shared" si="12"/>
        <v>53769255814.050522</v>
      </c>
      <c r="AE92">
        <f t="shared" si="13"/>
        <v>30005536.605</v>
      </c>
      <c r="AF92">
        <f t="shared" si="14"/>
        <v>56296410837.31089</v>
      </c>
      <c r="AG92">
        <f t="shared" si="15"/>
        <v>30005536.605</v>
      </c>
      <c r="AH92">
        <f t="shared" si="16"/>
        <v>60838015455.01622</v>
      </c>
      <c r="AI92">
        <f t="shared" si="17"/>
        <v>30024236.605</v>
      </c>
      <c r="AJ92">
        <f t="shared" si="18"/>
        <v>63332374088.671875</v>
      </c>
      <c r="AK92">
        <f t="shared" si="19"/>
        <v>30024236.605</v>
      </c>
    </row>
    <row r="93" spans="1:37" x14ac:dyDescent="0.35">
      <c r="A93" t="s">
        <v>1054</v>
      </c>
      <c r="B93">
        <v>29.9</v>
      </c>
      <c r="C93" t="s">
        <v>1055</v>
      </c>
      <c r="D93" t="s">
        <v>1056</v>
      </c>
      <c r="E93" t="s">
        <v>1057</v>
      </c>
      <c r="F93">
        <v>5.1999999999999998E-3</v>
      </c>
      <c r="G93" t="s">
        <v>1058</v>
      </c>
      <c r="H93">
        <v>60.7</v>
      </c>
      <c r="I93">
        <v>0.9</v>
      </c>
      <c r="J93" t="s">
        <v>1059</v>
      </c>
      <c r="K93" t="s">
        <v>1060</v>
      </c>
      <c r="L93" t="s">
        <v>1061</v>
      </c>
      <c r="M93" t="s">
        <v>1062</v>
      </c>
      <c r="N93">
        <v>470.62043530614358</v>
      </c>
      <c r="O93">
        <v>476.26788052981732</v>
      </c>
      <c r="P93">
        <v>498.65247091471872</v>
      </c>
      <c r="Q93">
        <v>538.54466858789624</v>
      </c>
      <c r="R93">
        <v>560.625</v>
      </c>
      <c r="S93" t="s">
        <v>1063</v>
      </c>
      <c r="T93" t="s">
        <v>1064</v>
      </c>
      <c r="U93" t="s">
        <v>1065</v>
      </c>
      <c r="V93" t="s">
        <v>49</v>
      </c>
      <c r="W93">
        <v>338996155</v>
      </c>
      <c r="X93">
        <v>339500751</v>
      </c>
      <c r="Y93">
        <v>340560751</v>
      </c>
      <c r="Z93">
        <v>341660751</v>
      </c>
      <c r="AA93">
        <v>343660751</v>
      </c>
      <c r="AB93">
        <f t="shared" si="10"/>
        <v>829600293.77268636</v>
      </c>
      <c r="AC93">
        <f t="shared" si="11"/>
        <v>1762780.0059999998</v>
      </c>
      <c r="AD93">
        <f t="shared" si="12"/>
        <v>840805176.20866656</v>
      </c>
      <c r="AE93">
        <f t="shared" si="13"/>
        <v>1765403.9051999999</v>
      </c>
      <c r="AF93">
        <f t="shared" si="14"/>
        <v>883071591.91015565</v>
      </c>
      <c r="AG93">
        <f t="shared" si="15"/>
        <v>1770915.9051999999</v>
      </c>
      <c r="AH93">
        <f t="shared" si="16"/>
        <v>956797794.76729107</v>
      </c>
      <c r="AI93">
        <f t="shared" si="17"/>
        <v>1776635.9051999999</v>
      </c>
      <c r="AJ93">
        <f t="shared" si="18"/>
        <v>1001857004.3527499</v>
      </c>
      <c r="AK93">
        <f t="shared" si="19"/>
        <v>1787035.9051999999</v>
      </c>
    </row>
    <row r="94" spans="1:37" x14ac:dyDescent="0.35">
      <c r="A94" t="s">
        <v>1066</v>
      </c>
      <c r="B94">
        <v>11816.81</v>
      </c>
      <c r="C94" t="s">
        <v>1067</v>
      </c>
      <c r="D94" t="s">
        <v>1068</v>
      </c>
      <c r="E94" t="s">
        <v>1069</v>
      </c>
      <c r="F94">
        <v>0.125</v>
      </c>
      <c r="G94" t="s">
        <v>1070</v>
      </c>
      <c r="H94">
        <v>20.3</v>
      </c>
      <c r="I94">
        <v>0.01</v>
      </c>
      <c r="J94" t="s">
        <v>1071</v>
      </c>
      <c r="K94" t="s">
        <v>1072</v>
      </c>
      <c r="L94" t="s">
        <v>1073</v>
      </c>
      <c r="M94" t="s">
        <v>1074</v>
      </c>
      <c r="N94">
        <v>18468.04829740943</v>
      </c>
      <c r="O94">
        <v>18689.664876978339</v>
      </c>
      <c r="P94">
        <v>19568.07912619632</v>
      </c>
      <c r="Q94">
        <v>21133.525456292031</v>
      </c>
      <c r="R94">
        <v>22000</v>
      </c>
      <c r="S94" t="s">
        <v>1075</v>
      </c>
      <c r="T94" t="s">
        <v>587</v>
      </c>
      <c r="U94" t="s">
        <v>1076</v>
      </c>
      <c r="V94" t="s">
        <v>1077</v>
      </c>
      <c r="W94">
        <v>130985005.59999999</v>
      </c>
      <c r="X94">
        <v>130558992.59999999</v>
      </c>
      <c r="Y94">
        <v>131618992.59999999</v>
      </c>
      <c r="Z94">
        <v>132718992.59999999</v>
      </c>
      <c r="AA94">
        <v>134298992.59999999</v>
      </c>
      <c r="AB94">
        <f t="shared" si="10"/>
        <v>302379676207.15558</v>
      </c>
      <c r="AC94">
        <f t="shared" si="11"/>
        <v>16373125.699999999</v>
      </c>
      <c r="AD94">
        <f t="shared" si="12"/>
        <v>305012977296.23682</v>
      </c>
      <c r="AE94">
        <f t="shared" si="13"/>
        <v>16319874.074999999</v>
      </c>
      <c r="AF94">
        <f t="shared" si="14"/>
        <v>321941357713.38098</v>
      </c>
      <c r="AG94">
        <f t="shared" si="15"/>
        <v>16452374.074999999</v>
      </c>
      <c r="AH94">
        <f t="shared" si="16"/>
        <v>350602526080.69171</v>
      </c>
      <c r="AI94">
        <f t="shared" si="17"/>
        <v>16589874.074999999</v>
      </c>
      <c r="AJ94">
        <f t="shared" si="18"/>
        <v>369322229650</v>
      </c>
      <c r="AK94">
        <f t="shared" si="19"/>
        <v>16787374.074999999</v>
      </c>
    </row>
    <row r="95" spans="1:37" x14ac:dyDescent="0.35">
      <c r="A95" t="s">
        <v>1078</v>
      </c>
      <c r="B95">
        <v>14229.75</v>
      </c>
      <c r="C95" t="s">
        <v>1079</v>
      </c>
      <c r="D95" t="s">
        <v>1080</v>
      </c>
      <c r="E95" t="s">
        <v>1081</v>
      </c>
      <c r="F95">
        <v>5.3999999999999998E-5</v>
      </c>
      <c r="G95" t="s">
        <v>1082</v>
      </c>
      <c r="H95">
        <v>0.25</v>
      </c>
      <c r="I95">
        <v>75.349999999999994</v>
      </c>
      <c r="J95" t="s">
        <v>1083</v>
      </c>
      <c r="K95" t="s">
        <v>1084</v>
      </c>
      <c r="L95" t="s">
        <v>1085</v>
      </c>
      <c r="M95" t="s">
        <v>1086</v>
      </c>
      <c r="N95">
        <v>115616.08748171599</v>
      </c>
      <c r="O95">
        <v>117003.48053149661</v>
      </c>
      <c r="P95">
        <v>122502.64411647691</v>
      </c>
      <c r="Q95">
        <v>132302.85564579509</v>
      </c>
      <c r="R95">
        <v>137727.27272727271</v>
      </c>
      <c r="S95" t="s">
        <v>1087</v>
      </c>
      <c r="T95" t="s">
        <v>1088</v>
      </c>
      <c r="U95" t="s">
        <v>1089</v>
      </c>
      <c r="V95" t="s">
        <v>1090</v>
      </c>
      <c r="W95">
        <v>125425284</v>
      </c>
      <c r="X95">
        <v>126003478.59999999</v>
      </c>
      <c r="Y95">
        <v>126003478.59999999</v>
      </c>
      <c r="Z95">
        <v>126103478.59999999</v>
      </c>
      <c r="AA95">
        <v>126103478.59999999</v>
      </c>
      <c r="AB95">
        <f t="shared" si="10"/>
        <v>783063752.79760587</v>
      </c>
      <c r="AC95">
        <f t="shared" si="11"/>
        <v>6772.9653359999993</v>
      </c>
      <c r="AD95">
        <f t="shared" si="12"/>
        <v>796113659.98490119</v>
      </c>
      <c r="AE95">
        <f t="shared" si="13"/>
        <v>6804.1878443999994</v>
      </c>
      <c r="AF95">
        <f t="shared" si="14"/>
        <v>833531002.00419128</v>
      </c>
      <c r="AG95">
        <f t="shared" si="15"/>
        <v>6804.1878443999994</v>
      </c>
      <c r="AH95">
        <f t="shared" si="16"/>
        <v>900927917.5850141</v>
      </c>
      <c r="AI95">
        <f t="shared" si="17"/>
        <v>6809.5878443999991</v>
      </c>
      <c r="AJ95">
        <f t="shared" si="18"/>
        <v>937865962.20599973</v>
      </c>
      <c r="AK95">
        <f t="shared" si="19"/>
        <v>6809.5878443999991</v>
      </c>
    </row>
    <row r="96" spans="1:37" x14ac:dyDescent="0.35">
      <c r="A96" t="s">
        <v>1091</v>
      </c>
      <c r="B96">
        <v>30368.5</v>
      </c>
      <c r="C96" t="s">
        <v>1092</v>
      </c>
      <c r="D96" t="s">
        <v>1093</v>
      </c>
      <c r="E96" t="s">
        <v>1094</v>
      </c>
      <c r="F96">
        <v>2.9999999999999997E-4</v>
      </c>
      <c r="G96" t="s">
        <v>1095</v>
      </c>
      <c r="H96">
        <v>0.9</v>
      </c>
      <c r="I96">
        <v>25.25</v>
      </c>
      <c r="J96" t="s">
        <v>1096</v>
      </c>
      <c r="K96" t="s">
        <v>1097</v>
      </c>
      <c r="L96" t="s">
        <v>1098</v>
      </c>
      <c r="M96" t="s">
        <v>1099</v>
      </c>
      <c r="N96">
        <v>213551.79873773921</v>
      </c>
      <c r="O96">
        <v>216114.42032259211</v>
      </c>
      <c r="P96">
        <v>226271.79807775389</v>
      </c>
      <c r="Q96">
        <v>244373.5419239742</v>
      </c>
      <c r="R96">
        <v>254392.8571428571</v>
      </c>
      <c r="S96" t="s">
        <v>1100</v>
      </c>
      <c r="T96" t="s">
        <v>1101</v>
      </c>
      <c r="U96" t="s">
        <v>1102</v>
      </c>
      <c r="V96" t="s">
        <v>49</v>
      </c>
      <c r="W96">
        <v>338996155</v>
      </c>
      <c r="X96">
        <v>339500751</v>
      </c>
      <c r="Y96">
        <v>340560751</v>
      </c>
      <c r="Z96">
        <v>341660751</v>
      </c>
      <c r="AA96">
        <v>343660751</v>
      </c>
      <c r="AB96">
        <f t="shared" si="10"/>
        <v>21717971599.628235</v>
      </c>
      <c r="AC96">
        <f t="shared" si="11"/>
        <v>101698.84649999999</v>
      </c>
      <c r="AD96">
        <f t="shared" si="12"/>
        <v>22011302400.434906</v>
      </c>
      <c r="AE96">
        <f t="shared" si="13"/>
        <v>101850.22529999999</v>
      </c>
      <c r="AF96">
        <f t="shared" si="14"/>
        <v>23117788045.044064</v>
      </c>
      <c r="AG96">
        <f t="shared" si="15"/>
        <v>102168.22529999999</v>
      </c>
      <c r="AH96">
        <f t="shared" si="16"/>
        <v>25047854357.482502</v>
      </c>
      <c r="AI96">
        <f t="shared" si="17"/>
        <v>102498.22529999999</v>
      </c>
      <c r="AJ96">
        <f t="shared" si="18"/>
        <v>26227452100.424992</v>
      </c>
      <c r="AK96">
        <f t="shared" si="19"/>
        <v>103098.22529999999</v>
      </c>
    </row>
    <row r="97" spans="1:37" x14ac:dyDescent="0.35">
      <c r="A97" t="s">
        <v>1103</v>
      </c>
      <c r="B97">
        <v>1.63</v>
      </c>
      <c r="C97" t="s">
        <v>863</v>
      </c>
      <c r="D97" t="s">
        <v>1104</v>
      </c>
      <c r="E97" t="s">
        <v>1105</v>
      </c>
      <c r="F97">
        <v>0.1</v>
      </c>
      <c r="G97" t="s">
        <v>1106</v>
      </c>
      <c r="H97">
        <v>0.15</v>
      </c>
      <c r="I97">
        <v>0</v>
      </c>
      <c r="J97" t="s">
        <v>1107</v>
      </c>
      <c r="K97" t="s">
        <v>1108</v>
      </c>
      <c r="L97" t="s">
        <v>1109</v>
      </c>
      <c r="M97" t="s">
        <v>1110</v>
      </c>
      <c r="N97">
        <v>278.56709214154648</v>
      </c>
      <c r="O97">
        <v>281.90989724724511</v>
      </c>
      <c r="P97">
        <v>295.1596624178656</v>
      </c>
      <c r="Q97">
        <v>318.77243541129491</v>
      </c>
      <c r="R97">
        <v>331.84210526315792</v>
      </c>
      <c r="S97" t="s">
        <v>1111</v>
      </c>
      <c r="T97" t="s">
        <v>1112</v>
      </c>
      <c r="U97" t="s">
        <v>1113</v>
      </c>
      <c r="V97" t="s">
        <v>49</v>
      </c>
      <c r="W97">
        <v>338996155</v>
      </c>
      <c r="X97">
        <v>339500751</v>
      </c>
      <c r="Y97">
        <v>340560751</v>
      </c>
      <c r="Z97">
        <v>341660751</v>
      </c>
      <c r="AA97">
        <v>343660751</v>
      </c>
      <c r="AB97">
        <f t="shared" si="10"/>
        <v>9443317314.5514965</v>
      </c>
      <c r="AC97">
        <f t="shared" si="11"/>
        <v>33899615.5</v>
      </c>
      <c r="AD97">
        <f t="shared" si="12"/>
        <v>9570862182.9772549</v>
      </c>
      <c r="AE97">
        <f t="shared" si="13"/>
        <v>33950075.100000001</v>
      </c>
      <c r="AF97">
        <f t="shared" si="14"/>
        <v>10051979629.793478</v>
      </c>
      <c r="AG97">
        <f t="shared" si="15"/>
        <v>34056075.100000001</v>
      </c>
      <c r="AH97">
        <f t="shared" si="16"/>
        <v>10891202968.072203</v>
      </c>
      <c r="AI97">
        <f t="shared" si="17"/>
        <v>34166075.100000001</v>
      </c>
      <c r="AJ97">
        <f t="shared" si="18"/>
        <v>11404110710.81579</v>
      </c>
      <c r="AK97">
        <f t="shared" si="19"/>
        <v>34366075.100000001</v>
      </c>
    </row>
    <row r="98" spans="1:37" x14ac:dyDescent="0.35">
      <c r="A98" t="s">
        <v>1114</v>
      </c>
      <c r="B98">
        <v>624.44000000000005</v>
      </c>
      <c r="C98" t="s">
        <v>325</v>
      </c>
      <c r="D98" t="s">
        <v>1115</v>
      </c>
      <c r="E98" t="s">
        <v>1116</v>
      </c>
      <c r="F98">
        <v>0.12</v>
      </c>
      <c r="G98" t="s">
        <v>1117</v>
      </c>
      <c r="H98">
        <v>0.4</v>
      </c>
      <c r="I98">
        <v>0</v>
      </c>
      <c r="J98" t="s">
        <v>1118</v>
      </c>
      <c r="K98" t="s">
        <v>1119</v>
      </c>
      <c r="L98" t="s">
        <v>1120</v>
      </c>
      <c r="M98" t="s">
        <v>1121</v>
      </c>
      <c r="N98">
        <v>4512.0799817534398</v>
      </c>
      <c r="O98">
        <v>4566.2249415344813</v>
      </c>
      <c r="P98">
        <v>4780.8375137866014</v>
      </c>
      <c r="Q98">
        <v>5163.3045148895299</v>
      </c>
      <c r="R98">
        <v>5375</v>
      </c>
      <c r="S98" t="s">
        <v>1122</v>
      </c>
      <c r="T98" t="s">
        <v>1123</v>
      </c>
      <c r="U98" t="s">
        <v>1124</v>
      </c>
      <c r="V98" t="s">
        <v>94</v>
      </c>
      <c r="W98">
        <v>265472419.80000001</v>
      </c>
      <c r="X98">
        <v>266439117.80000001</v>
      </c>
      <c r="Y98">
        <v>267499117.80000001</v>
      </c>
      <c r="Z98">
        <v>268599117.80000001</v>
      </c>
      <c r="AA98">
        <v>270179117.80000001</v>
      </c>
      <c r="AB98">
        <f t="shared" si="10"/>
        <v>143739934930.46707</v>
      </c>
      <c r="AC98">
        <f t="shared" si="11"/>
        <v>31856690.376000002</v>
      </c>
      <c r="AD98">
        <f t="shared" si="12"/>
        <v>145994513411.85648</v>
      </c>
      <c r="AE98">
        <f t="shared" si="13"/>
        <v>31972694.136</v>
      </c>
      <c r="AF98">
        <f t="shared" si="14"/>
        <v>153464378073.96735</v>
      </c>
      <c r="AG98">
        <f t="shared" si="15"/>
        <v>32099894.136</v>
      </c>
      <c r="AH98">
        <f t="shared" si="16"/>
        <v>166423084515.85016</v>
      </c>
      <c r="AI98">
        <f t="shared" si="17"/>
        <v>32231894.136</v>
      </c>
      <c r="AJ98">
        <f t="shared" si="18"/>
        <v>174265530981</v>
      </c>
      <c r="AK98">
        <f t="shared" si="19"/>
        <v>32421494.136</v>
      </c>
    </row>
    <row r="99" spans="1:37" x14ac:dyDescent="0.35">
      <c r="A99" t="s">
        <v>1125</v>
      </c>
      <c r="B99">
        <v>1352.3</v>
      </c>
      <c r="C99" t="s">
        <v>1126</v>
      </c>
      <c r="D99" t="s">
        <v>1127</v>
      </c>
      <c r="E99" t="s">
        <v>1128</v>
      </c>
      <c r="F99">
        <v>3.8000000000000002E-4</v>
      </c>
      <c r="G99" t="s">
        <v>1129</v>
      </c>
      <c r="H99">
        <v>10.3</v>
      </c>
      <c r="J99" t="s">
        <v>1130</v>
      </c>
      <c r="K99" t="s">
        <v>1131</v>
      </c>
      <c r="L99" t="s">
        <v>1132</v>
      </c>
      <c r="M99" t="s">
        <v>1133</v>
      </c>
      <c r="N99">
        <v>14270.764593452741</v>
      </c>
      <c r="O99">
        <v>14442.01376857417</v>
      </c>
      <c r="P99">
        <v>15120.78841569716</v>
      </c>
      <c r="Q99">
        <v>16330.451488952929</v>
      </c>
      <c r="R99">
        <v>17000</v>
      </c>
      <c r="S99" t="s">
        <v>1134</v>
      </c>
      <c r="T99" t="s">
        <v>1135</v>
      </c>
      <c r="U99" t="s">
        <v>1136</v>
      </c>
      <c r="V99" t="s">
        <v>49</v>
      </c>
      <c r="W99">
        <v>338996155</v>
      </c>
      <c r="X99">
        <v>339500751</v>
      </c>
      <c r="Y99">
        <v>340560751</v>
      </c>
      <c r="Z99">
        <v>341660751</v>
      </c>
      <c r="AA99">
        <v>343660751</v>
      </c>
      <c r="AB99">
        <f t="shared" si="10"/>
        <v>1838339043.9144347</v>
      </c>
      <c r="AC99">
        <f t="shared" si="11"/>
        <v>128818.53890000001</v>
      </c>
      <c r="AD99">
        <f t="shared" si="12"/>
        <v>1863168317.7456429</v>
      </c>
      <c r="AE99">
        <f t="shared" si="13"/>
        <v>129010.28538</v>
      </c>
      <c r="AF99">
        <f t="shared" si="14"/>
        <v>1956827882.2535315</v>
      </c>
      <c r="AG99">
        <f t="shared" si="15"/>
        <v>129413.08538</v>
      </c>
      <c r="AH99">
        <f t="shared" si="16"/>
        <v>2120200241.5561957</v>
      </c>
      <c r="AI99">
        <f t="shared" si="17"/>
        <v>129831.08538</v>
      </c>
      <c r="AJ99">
        <f t="shared" si="18"/>
        <v>2220048451.46</v>
      </c>
      <c r="AK99">
        <f t="shared" si="19"/>
        <v>130591.08538</v>
      </c>
    </row>
    <row r="100" spans="1:37" x14ac:dyDescent="0.35">
      <c r="A100" t="s">
        <v>1137</v>
      </c>
      <c r="B100">
        <v>1248.8800000000001</v>
      </c>
      <c r="C100" t="s">
        <v>325</v>
      </c>
      <c r="D100" t="s">
        <v>1138</v>
      </c>
      <c r="E100" t="s">
        <v>1139</v>
      </c>
      <c r="F100">
        <v>0.12</v>
      </c>
      <c r="G100" t="s">
        <v>1140</v>
      </c>
      <c r="H100">
        <v>1015307051</v>
      </c>
      <c r="J100" t="s">
        <v>1141</v>
      </c>
      <c r="K100" t="s">
        <v>1142</v>
      </c>
      <c r="L100" t="s">
        <v>1143</v>
      </c>
      <c r="M100" t="s">
        <v>1144</v>
      </c>
      <c r="N100">
        <v>4512.0799817534398</v>
      </c>
      <c r="O100">
        <v>4566.2249415344813</v>
      </c>
      <c r="P100">
        <v>4780.8375137866014</v>
      </c>
      <c r="Q100">
        <v>5163.3045148895299</v>
      </c>
      <c r="R100">
        <v>5375</v>
      </c>
      <c r="S100" t="s">
        <v>1145</v>
      </c>
      <c r="T100" t="s">
        <v>1146</v>
      </c>
      <c r="U100" t="s">
        <v>1147</v>
      </c>
      <c r="V100" t="s">
        <v>94</v>
      </c>
      <c r="W100">
        <v>265472419.80000001</v>
      </c>
      <c r="X100">
        <v>266439117.80000001</v>
      </c>
      <c r="Y100">
        <v>267499117.80000001</v>
      </c>
      <c r="Z100">
        <v>268599117.80000001</v>
      </c>
      <c r="AA100">
        <v>270179117.80000001</v>
      </c>
      <c r="AB100">
        <f t="shared" si="10"/>
        <v>143739934930.46707</v>
      </c>
      <c r="AC100">
        <f t="shared" si="11"/>
        <v>31856690.376000002</v>
      </c>
      <c r="AD100">
        <f t="shared" si="12"/>
        <v>145994513411.85648</v>
      </c>
      <c r="AE100">
        <f t="shared" si="13"/>
        <v>31972694.136</v>
      </c>
      <c r="AF100">
        <f t="shared" si="14"/>
        <v>153464378073.96735</v>
      </c>
      <c r="AG100">
        <f t="shared" si="15"/>
        <v>32099894.136</v>
      </c>
      <c r="AH100">
        <f t="shared" si="16"/>
        <v>166423084515.85016</v>
      </c>
      <c r="AI100">
        <f t="shared" si="17"/>
        <v>32231894.136</v>
      </c>
      <c r="AJ100">
        <f t="shared" si="18"/>
        <v>174265530981</v>
      </c>
      <c r="AK100">
        <f t="shared" si="19"/>
        <v>32421494.136</v>
      </c>
    </row>
    <row r="101" spans="1:37" x14ac:dyDescent="0.35">
      <c r="A101" t="s">
        <v>1148</v>
      </c>
      <c r="B101">
        <v>423.65</v>
      </c>
      <c r="C101" t="s">
        <v>578</v>
      </c>
      <c r="D101" t="s">
        <v>1149</v>
      </c>
      <c r="E101" t="s">
        <v>1150</v>
      </c>
      <c r="F101">
        <v>2.3400000000000001E-2</v>
      </c>
      <c r="G101" t="s">
        <v>1151</v>
      </c>
      <c r="H101">
        <v>0.3</v>
      </c>
      <c r="I101">
        <v>0</v>
      </c>
      <c r="J101" t="s">
        <v>1152</v>
      </c>
      <c r="K101" t="s">
        <v>1153</v>
      </c>
      <c r="L101" t="s">
        <v>1154</v>
      </c>
      <c r="M101" t="s">
        <v>1155</v>
      </c>
      <c r="N101">
        <v>5456.4688151436949</v>
      </c>
      <c r="O101">
        <v>5521.9464409254197</v>
      </c>
      <c r="P101">
        <v>5781.4779236489139</v>
      </c>
      <c r="Q101">
        <v>6243.996157540827</v>
      </c>
      <c r="R101">
        <v>6500</v>
      </c>
      <c r="S101" t="s">
        <v>1156</v>
      </c>
      <c r="T101" t="s">
        <v>1157</v>
      </c>
      <c r="U101" t="s">
        <v>1158</v>
      </c>
      <c r="V101" t="s">
        <v>94</v>
      </c>
      <c r="W101">
        <v>265472419.80000001</v>
      </c>
      <c r="X101">
        <v>266439117.80000001</v>
      </c>
      <c r="Y101">
        <v>267499117.80000001</v>
      </c>
      <c r="Z101">
        <v>268599117.80000001</v>
      </c>
      <c r="AA101">
        <v>270179117.80000001</v>
      </c>
      <c r="AB101">
        <v>33895882330.114799</v>
      </c>
      <c r="AC101">
        <v>6212054.6233200002</v>
      </c>
      <c r="AD101">
        <v>34427543395.26104</v>
      </c>
      <c r="AE101">
        <v>6234675.3565200008</v>
      </c>
      <c r="AF101">
        <v>36189041713.256493</v>
      </c>
      <c r="AG101">
        <v>6259479.3565200008</v>
      </c>
      <c r="AH101">
        <v>39244885511.412109</v>
      </c>
      <c r="AI101">
        <v>6285219.3565200008</v>
      </c>
      <c r="AJ101">
        <v>41094243817.379997</v>
      </c>
      <c r="AK101">
        <v>6322191.3565200008</v>
      </c>
    </row>
    <row r="102" spans="1:37" x14ac:dyDescent="0.35">
      <c r="A102" t="s">
        <v>1159</v>
      </c>
      <c r="B102">
        <v>72.38</v>
      </c>
      <c r="C102" t="s">
        <v>1160</v>
      </c>
      <c r="D102" t="s">
        <v>1161</v>
      </c>
      <c r="E102" t="s">
        <v>1162</v>
      </c>
      <c r="F102">
        <v>0.41489999999999999</v>
      </c>
      <c r="G102" t="s">
        <v>1163</v>
      </c>
      <c r="H102">
        <v>1</v>
      </c>
      <c r="J102" t="s">
        <v>1164</v>
      </c>
      <c r="K102" t="s">
        <v>1165</v>
      </c>
      <c r="L102" t="s">
        <v>1166</v>
      </c>
      <c r="M102" t="s">
        <v>1167</v>
      </c>
      <c r="N102">
        <v>1511.022133424407</v>
      </c>
      <c r="O102">
        <v>1529.1543990255</v>
      </c>
      <c r="P102">
        <v>1601.0246557796991</v>
      </c>
      <c r="Q102">
        <v>1729.106628242075</v>
      </c>
      <c r="R102">
        <v>1800</v>
      </c>
      <c r="S102" t="s">
        <v>1168</v>
      </c>
      <c r="T102" t="s">
        <v>1169</v>
      </c>
      <c r="U102" t="s">
        <v>1170</v>
      </c>
      <c r="V102" t="s">
        <v>1053</v>
      </c>
      <c r="W102">
        <v>158713600</v>
      </c>
      <c r="X102">
        <v>160457415</v>
      </c>
      <c r="Y102">
        <v>160457415</v>
      </c>
      <c r="Z102">
        <v>160557415</v>
      </c>
      <c r="AA102">
        <v>160557415</v>
      </c>
      <c r="AB102">
        <v>99501219451.071686</v>
      </c>
      <c r="AC102">
        <v>65850272.640000001</v>
      </c>
      <c r="AD102">
        <v>101801590815.25639</v>
      </c>
      <c r="AE102">
        <v>66573781.483499996</v>
      </c>
      <c r="AF102">
        <v>106586265583.5735</v>
      </c>
      <c r="AG102">
        <v>66573781.483499996</v>
      </c>
      <c r="AH102">
        <v>115184907464.26511</v>
      </c>
      <c r="AI102">
        <v>66615271.483499996</v>
      </c>
      <c r="AJ102">
        <v>119907488670.3</v>
      </c>
      <c r="AK102">
        <v>66615271.483499996</v>
      </c>
    </row>
    <row r="103" spans="1:37" x14ac:dyDescent="0.35">
      <c r="A103" t="s">
        <v>1171</v>
      </c>
      <c r="B103">
        <v>388.76</v>
      </c>
      <c r="C103" t="s">
        <v>1172</v>
      </c>
      <c r="D103" t="s">
        <v>1173</v>
      </c>
      <c r="E103" t="s">
        <v>1174</v>
      </c>
      <c r="F103">
        <v>0.02</v>
      </c>
      <c r="G103" t="s">
        <v>1175</v>
      </c>
      <c r="H103">
        <v>30.8</v>
      </c>
      <c r="I103">
        <v>0</v>
      </c>
      <c r="J103" t="s">
        <v>1176</v>
      </c>
      <c r="K103" t="s">
        <v>1177</v>
      </c>
      <c r="L103" t="s">
        <v>1178</v>
      </c>
      <c r="M103" t="s">
        <v>1179</v>
      </c>
      <c r="N103">
        <v>5009.5815501930119</v>
      </c>
      <c r="O103">
        <v>5069.696528795328</v>
      </c>
      <c r="P103">
        <v>5307.9722656487083</v>
      </c>
      <c r="Q103">
        <v>5732.6100469006051</v>
      </c>
      <c r="R103">
        <v>5967.6470588235297</v>
      </c>
      <c r="S103" t="s">
        <v>1180</v>
      </c>
      <c r="T103" t="s">
        <v>1181</v>
      </c>
      <c r="U103" t="s">
        <v>1182</v>
      </c>
      <c r="V103" t="s">
        <v>94</v>
      </c>
      <c r="W103">
        <v>265472419.80000001</v>
      </c>
      <c r="X103">
        <v>266439117.80000001</v>
      </c>
      <c r="Y103">
        <v>267499117.80000001</v>
      </c>
      <c r="Z103">
        <v>268599117.80000001</v>
      </c>
      <c r="AA103">
        <v>270179117.80000001</v>
      </c>
      <c r="AB103">
        <v>26598114726.303478</v>
      </c>
      <c r="AC103">
        <v>5309448.3960000006</v>
      </c>
      <c r="AD103">
        <v>27015309412.918991</v>
      </c>
      <c r="AE103">
        <v>5328782.3560000006</v>
      </c>
      <c r="AF103">
        <v>28397557967.357941</v>
      </c>
      <c r="AG103">
        <v>5349982.3560000006</v>
      </c>
      <c r="AH103">
        <v>30795480025.778389</v>
      </c>
      <c r="AI103">
        <v>5371982.3560000006</v>
      </c>
      <c r="AJ103">
        <v>32246672353.894119</v>
      </c>
      <c r="AK103">
        <v>5403582.3560000006</v>
      </c>
    </row>
    <row r="104" spans="1:37" x14ac:dyDescent="0.35">
      <c r="A104" t="s">
        <v>1183</v>
      </c>
      <c r="B104">
        <v>424.07</v>
      </c>
      <c r="C104" t="s">
        <v>1172</v>
      </c>
      <c r="D104" t="s">
        <v>1184</v>
      </c>
      <c r="E104" t="s">
        <v>1185</v>
      </c>
      <c r="F104">
        <v>0.02</v>
      </c>
      <c r="G104" t="s">
        <v>1186</v>
      </c>
      <c r="H104">
        <v>0.5</v>
      </c>
      <c r="I104">
        <v>0</v>
      </c>
      <c r="J104" t="s">
        <v>1187</v>
      </c>
      <c r="K104" t="s">
        <v>1188</v>
      </c>
      <c r="L104" t="s">
        <v>1189</v>
      </c>
      <c r="M104" t="s">
        <v>1190</v>
      </c>
      <c r="N104">
        <v>5009.5815501930119</v>
      </c>
      <c r="O104">
        <v>5069.696528795328</v>
      </c>
      <c r="P104">
        <v>5307.9722656487083</v>
      </c>
      <c r="Q104">
        <v>5732.6100469006051</v>
      </c>
      <c r="R104">
        <v>5967.6470588235297</v>
      </c>
      <c r="S104" t="s">
        <v>1191</v>
      </c>
      <c r="T104" t="s">
        <v>1192</v>
      </c>
      <c r="U104" t="s">
        <v>1193</v>
      </c>
      <c r="V104" t="s">
        <v>94</v>
      </c>
      <c r="W104">
        <v>265472419.80000001</v>
      </c>
      <c r="X104">
        <v>266439117.80000001</v>
      </c>
      <c r="Y104">
        <v>267499117.80000001</v>
      </c>
      <c r="Z104">
        <v>268599117.80000001</v>
      </c>
      <c r="AA104">
        <v>270179117.80000001</v>
      </c>
      <c r="AB104">
        <v>26598114726.303478</v>
      </c>
      <c r="AC104">
        <v>5309448.3960000006</v>
      </c>
      <c r="AD104">
        <v>27015309412.918991</v>
      </c>
      <c r="AE104">
        <v>5328782.3560000006</v>
      </c>
      <c r="AF104">
        <v>28397557967.357941</v>
      </c>
      <c r="AG104">
        <v>5349982.3560000006</v>
      </c>
      <c r="AH104">
        <v>30795480025.778389</v>
      </c>
      <c r="AI104">
        <v>5371982.3560000006</v>
      </c>
      <c r="AJ104">
        <v>32246672353.894119</v>
      </c>
      <c r="AK104">
        <v>5403582.3560000006</v>
      </c>
    </row>
    <row r="105" spans="1:37" x14ac:dyDescent="0.35">
      <c r="A105" t="s">
        <v>1194</v>
      </c>
      <c r="B105">
        <v>424.07</v>
      </c>
      <c r="C105" t="s">
        <v>1172</v>
      </c>
      <c r="D105" t="s">
        <v>1195</v>
      </c>
      <c r="E105" t="s">
        <v>1196</v>
      </c>
      <c r="F105">
        <v>0.02</v>
      </c>
      <c r="G105" t="s">
        <v>1197</v>
      </c>
      <c r="H105">
        <v>0.5</v>
      </c>
      <c r="I105">
        <v>0.15</v>
      </c>
      <c r="J105" t="s">
        <v>1198</v>
      </c>
      <c r="K105" t="s">
        <v>1199</v>
      </c>
      <c r="L105" t="s">
        <v>1200</v>
      </c>
      <c r="M105" t="s">
        <v>1201</v>
      </c>
      <c r="N105">
        <v>5009.5815501930119</v>
      </c>
      <c r="O105">
        <v>5069.696528795328</v>
      </c>
      <c r="P105">
        <v>5307.9722656487083</v>
      </c>
      <c r="Q105">
        <v>5732.6100469006051</v>
      </c>
      <c r="R105">
        <v>5967.6470588235297</v>
      </c>
      <c r="S105" t="s">
        <v>1202</v>
      </c>
      <c r="T105" t="s">
        <v>1203</v>
      </c>
      <c r="U105" t="s">
        <v>1204</v>
      </c>
      <c r="V105" t="s">
        <v>94</v>
      </c>
      <c r="W105">
        <v>265472419.80000001</v>
      </c>
      <c r="X105">
        <v>266439117.80000001</v>
      </c>
      <c r="Y105">
        <v>267499117.80000001</v>
      </c>
      <c r="Z105">
        <v>268599117.80000001</v>
      </c>
      <c r="AA105">
        <v>270179117.80000001</v>
      </c>
      <c r="AB105">
        <v>26598114726.303478</v>
      </c>
      <c r="AC105">
        <v>5309448.3960000006</v>
      </c>
      <c r="AD105">
        <v>27015309412.918991</v>
      </c>
      <c r="AE105">
        <v>5328782.3560000006</v>
      </c>
      <c r="AF105">
        <v>28397557967.357941</v>
      </c>
      <c r="AG105">
        <v>5349982.3560000006</v>
      </c>
      <c r="AH105">
        <v>30795480025.778389</v>
      </c>
      <c r="AI105">
        <v>5371982.3560000006</v>
      </c>
      <c r="AJ105">
        <v>32246672353.894119</v>
      </c>
      <c r="AK105">
        <v>5403582.3560000006</v>
      </c>
    </row>
    <row r="106" spans="1:37" x14ac:dyDescent="0.35">
      <c r="A106" t="s">
        <v>1205</v>
      </c>
      <c r="B106">
        <v>424.07</v>
      </c>
      <c r="C106" t="s">
        <v>1172</v>
      </c>
      <c r="D106" t="s">
        <v>1206</v>
      </c>
      <c r="E106" t="s">
        <v>1207</v>
      </c>
      <c r="F106">
        <v>0.02</v>
      </c>
      <c r="G106" t="s">
        <v>1208</v>
      </c>
      <c r="H106">
        <v>0.5</v>
      </c>
      <c r="I106">
        <v>0</v>
      </c>
      <c r="J106" t="s">
        <v>1209</v>
      </c>
      <c r="K106" t="s">
        <v>1210</v>
      </c>
      <c r="L106" t="s">
        <v>1211</v>
      </c>
      <c r="M106" t="s">
        <v>1212</v>
      </c>
      <c r="N106">
        <v>5009.5815501930119</v>
      </c>
      <c r="O106">
        <v>5069.696528795328</v>
      </c>
      <c r="P106">
        <v>5307.9722656487083</v>
      </c>
      <c r="Q106">
        <v>5732.6100469006051</v>
      </c>
      <c r="R106">
        <v>5967.6470588235297</v>
      </c>
      <c r="S106" t="s">
        <v>1213</v>
      </c>
      <c r="T106" t="s">
        <v>1214</v>
      </c>
      <c r="U106" t="s">
        <v>1215</v>
      </c>
      <c r="V106" t="s">
        <v>94</v>
      </c>
      <c r="W106">
        <v>265472419.80000001</v>
      </c>
      <c r="X106">
        <v>266439117.80000001</v>
      </c>
      <c r="Y106">
        <v>267499117.80000001</v>
      </c>
      <c r="Z106">
        <v>268599117.80000001</v>
      </c>
      <c r="AA106">
        <v>270179117.80000001</v>
      </c>
      <c r="AB106">
        <v>26598114726.303478</v>
      </c>
      <c r="AC106">
        <v>5309448.3960000006</v>
      </c>
      <c r="AD106">
        <v>27015309412.918991</v>
      </c>
      <c r="AE106">
        <v>5328782.3560000006</v>
      </c>
      <c r="AF106">
        <v>28397557967.357941</v>
      </c>
      <c r="AG106">
        <v>5349982.3560000006</v>
      </c>
      <c r="AH106">
        <v>30795480025.778389</v>
      </c>
      <c r="AI106">
        <v>5371982.3560000006</v>
      </c>
      <c r="AJ106">
        <v>32246672353.894119</v>
      </c>
      <c r="AK106">
        <v>5403582.3560000006</v>
      </c>
    </row>
    <row r="107" spans="1:37" x14ac:dyDescent="0.35">
      <c r="A107" t="s">
        <v>1216</v>
      </c>
      <c r="B107">
        <v>424.07</v>
      </c>
      <c r="C107" t="s">
        <v>1172</v>
      </c>
      <c r="D107" t="s">
        <v>1217</v>
      </c>
      <c r="E107" t="s">
        <v>1218</v>
      </c>
      <c r="F107">
        <v>0.02</v>
      </c>
      <c r="G107" t="s">
        <v>1219</v>
      </c>
      <c r="H107">
        <v>0.4</v>
      </c>
      <c r="J107" t="s">
        <v>1220</v>
      </c>
      <c r="K107" t="s">
        <v>1221</v>
      </c>
      <c r="L107" t="s">
        <v>1222</v>
      </c>
      <c r="M107" t="s">
        <v>1223</v>
      </c>
      <c r="N107">
        <v>5009.5815501930119</v>
      </c>
      <c r="O107">
        <v>5069.696528795328</v>
      </c>
      <c r="P107">
        <v>5307.9722656487083</v>
      </c>
      <c r="Q107">
        <v>5732.6100469006051</v>
      </c>
      <c r="R107">
        <v>5967.6470588235297</v>
      </c>
      <c r="S107" t="s">
        <v>1224</v>
      </c>
      <c r="T107" t="s">
        <v>1225</v>
      </c>
      <c r="U107" t="s">
        <v>1226</v>
      </c>
      <c r="V107" t="s">
        <v>94</v>
      </c>
      <c r="W107">
        <v>265472419.80000001</v>
      </c>
      <c r="X107">
        <v>266439117.80000001</v>
      </c>
      <c r="Y107">
        <v>267499117.80000001</v>
      </c>
      <c r="Z107">
        <v>268599117.80000001</v>
      </c>
      <c r="AA107">
        <v>270179117.80000001</v>
      </c>
      <c r="AB107">
        <v>26598114726.303478</v>
      </c>
      <c r="AC107">
        <v>5309448.3960000006</v>
      </c>
      <c r="AD107">
        <v>27015309412.918991</v>
      </c>
      <c r="AE107">
        <v>5328782.3560000006</v>
      </c>
      <c r="AF107">
        <v>28397557967.357941</v>
      </c>
      <c r="AG107">
        <v>5349982.3560000006</v>
      </c>
      <c r="AH107">
        <v>30795480025.778389</v>
      </c>
      <c r="AI107">
        <v>5371982.3560000006</v>
      </c>
      <c r="AJ107">
        <v>32246672353.894119</v>
      </c>
      <c r="AK107">
        <v>5403582.3560000006</v>
      </c>
    </row>
    <row r="108" spans="1:37" x14ac:dyDescent="0.35">
      <c r="A108" t="s">
        <v>1227</v>
      </c>
      <c r="B108">
        <v>1218.53</v>
      </c>
      <c r="C108" t="s">
        <v>208</v>
      </c>
      <c r="D108" t="s">
        <v>1228</v>
      </c>
      <c r="E108" t="s">
        <v>1229</v>
      </c>
      <c r="F108">
        <v>3.1E-2</v>
      </c>
      <c r="G108" t="s">
        <v>1230</v>
      </c>
      <c r="H108">
        <v>18.100000000000001</v>
      </c>
      <c r="I108">
        <v>0.25</v>
      </c>
      <c r="J108" t="s">
        <v>1231</v>
      </c>
      <c r="K108" t="s">
        <v>1232</v>
      </c>
      <c r="L108" t="s">
        <v>1233</v>
      </c>
      <c r="M108" t="s">
        <v>1234</v>
      </c>
      <c r="N108">
        <v>1106.1651733936201</v>
      </c>
      <c r="O108">
        <v>1119.4391554743429</v>
      </c>
      <c r="P108">
        <v>1172.0527957816371</v>
      </c>
      <c r="Q108">
        <v>1265.817019444168</v>
      </c>
      <c r="R108">
        <v>1317.7155172413791</v>
      </c>
      <c r="S108" t="s">
        <v>1235</v>
      </c>
      <c r="T108" t="s">
        <v>1236</v>
      </c>
      <c r="U108" t="s">
        <v>1237</v>
      </c>
      <c r="V108" t="s">
        <v>94</v>
      </c>
      <c r="W108">
        <v>265472419.80000001</v>
      </c>
      <c r="X108">
        <v>266439117.80000001</v>
      </c>
      <c r="Y108">
        <v>267499117.80000001</v>
      </c>
      <c r="Z108">
        <v>268599117.80000001</v>
      </c>
      <c r="AA108">
        <v>270179117.80000001</v>
      </c>
      <c r="AB108">
        <v>9103346703.6580143</v>
      </c>
      <c r="AC108">
        <v>8229645.0138000008</v>
      </c>
      <c r="AD108">
        <v>9246133811.4761925</v>
      </c>
      <c r="AE108">
        <v>8259612.6518000001</v>
      </c>
      <c r="AF108">
        <v>9719215755.4849567</v>
      </c>
      <c r="AG108">
        <v>8292472.6518000001</v>
      </c>
      <c r="AH108">
        <v>10539917376.2868</v>
      </c>
      <c r="AI108">
        <v>8326572.6518000001</v>
      </c>
      <c r="AJ108">
        <v>11036595694.749041</v>
      </c>
      <c r="AK108">
        <v>8375552.6518000001</v>
      </c>
    </row>
    <row r="109" spans="1:37" x14ac:dyDescent="0.35">
      <c r="A109" t="s">
        <v>1238</v>
      </c>
      <c r="B109">
        <v>1274.01</v>
      </c>
      <c r="C109" t="s">
        <v>208</v>
      </c>
      <c r="D109" t="s">
        <v>1239</v>
      </c>
      <c r="E109" t="s">
        <v>1240</v>
      </c>
      <c r="F109">
        <v>3.1E-2</v>
      </c>
      <c r="G109" t="s">
        <v>1241</v>
      </c>
      <c r="H109">
        <v>0.2</v>
      </c>
      <c r="I109">
        <v>0.28000000000000003</v>
      </c>
      <c r="J109" t="s">
        <v>1242</v>
      </c>
      <c r="K109" t="s">
        <v>1243</v>
      </c>
      <c r="L109" t="s">
        <v>1244</v>
      </c>
      <c r="M109" t="s">
        <v>1245</v>
      </c>
      <c r="N109">
        <v>1106.1651733936201</v>
      </c>
      <c r="O109">
        <v>1119.4391554743429</v>
      </c>
      <c r="P109">
        <v>1172.0527957816371</v>
      </c>
      <c r="Q109">
        <v>1265.817019444168</v>
      </c>
      <c r="R109">
        <v>1317.7155172413791</v>
      </c>
      <c r="S109" t="s">
        <v>1246</v>
      </c>
      <c r="T109" t="s">
        <v>1247</v>
      </c>
      <c r="U109" t="s">
        <v>1248</v>
      </c>
      <c r="V109" t="s">
        <v>94</v>
      </c>
      <c r="W109">
        <v>265472419.80000001</v>
      </c>
      <c r="X109">
        <v>266439117.80000001</v>
      </c>
      <c r="Y109">
        <v>267499117.80000001</v>
      </c>
      <c r="Z109">
        <v>268599117.80000001</v>
      </c>
      <c r="AA109">
        <v>270179117.80000001</v>
      </c>
      <c r="AB109">
        <v>9103346703.6580143</v>
      </c>
      <c r="AC109">
        <v>8229645.0138000008</v>
      </c>
      <c r="AD109">
        <v>9246133811.4761925</v>
      </c>
      <c r="AE109">
        <v>8259612.6518000001</v>
      </c>
      <c r="AF109">
        <v>9719215755.4849567</v>
      </c>
      <c r="AG109">
        <v>8292472.6518000001</v>
      </c>
      <c r="AH109">
        <v>10539917376.2868</v>
      </c>
      <c r="AI109">
        <v>8326572.6518000001</v>
      </c>
      <c r="AJ109">
        <v>11036595694.749041</v>
      </c>
      <c r="AK109">
        <v>8375552.6518000001</v>
      </c>
    </row>
    <row r="110" spans="1:37" x14ac:dyDescent="0.35">
      <c r="A110" t="s">
        <v>1249</v>
      </c>
      <c r="B110">
        <v>1329.45</v>
      </c>
      <c r="C110" t="s">
        <v>208</v>
      </c>
      <c r="D110" t="s">
        <v>1250</v>
      </c>
      <c r="E110" t="s">
        <v>1251</v>
      </c>
      <c r="F110">
        <v>3.1E-2</v>
      </c>
      <c r="G110" t="s">
        <v>1252</v>
      </c>
      <c r="H110">
        <v>0.5</v>
      </c>
      <c r="I110">
        <v>0.02</v>
      </c>
      <c r="J110" t="s">
        <v>1253</v>
      </c>
      <c r="K110" t="s">
        <v>1254</v>
      </c>
      <c r="L110" t="s">
        <v>1255</v>
      </c>
      <c r="M110" t="s">
        <v>1256</v>
      </c>
      <c r="N110">
        <v>1106.1651733936201</v>
      </c>
      <c r="O110">
        <v>1119.4391554743429</v>
      </c>
      <c r="P110">
        <v>1172.0527957816371</v>
      </c>
      <c r="Q110">
        <v>1265.817019444168</v>
      </c>
      <c r="R110">
        <v>1317.7155172413791</v>
      </c>
      <c r="S110" t="s">
        <v>1257</v>
      </c>
      <c r="T110" t="s">
        <v>1258</v>
      </c>
      <c r="U110" t="s">
        <v>1259</v>
      </c>
      <c r="V110" t="s">
        <v>94</v>
      </c>
      <c r="W110">
        <v>265472419.80000001</v>
      </c>
      <c r="X110">
        <v>266439117.80000001</v>
      </c>
      <c r="Y110">
        <v>267499117.80000001</v>
      </c>
      <c r="Z110">
        <v>268599117.80000001</v>
      </c>
      <c r="AA110">
        <v>270179117.80000001</v>
      </c>
      <c r="AB110">
        <v>9103346703.6580143</v>
      </c>
      <c r="AC110">
        <v>8229645.0138000008</v>
      </c>
      <c r="AD110">
        <v>9246133811.4761925</v>
      </c>
      <c r="AE110">
        <v>8259612.6518000001</v>
      </c>
      <c r="AF110">
        <v>9719215755.4849567</v>
      </c>
      <c r="AG110">
        <v>8292472.6518000001</v>
      </c>
      <c r="AH110">
        <v>10539917376.2868</v>
      </c>
      <c r="AI110">
        <v>8326572.6518000001</v>
      </c>
      <c r="AJ110">
        <v>11036595694.749041</v>
      </c>
      <c r="AK110">
        <v>8375552.6518000001</v>
      </c>
    </row>
    <row r="111" spans="1:37" x14ac:dyDescent="0.35">
      <c r="A111" t="s">
        <v>1260</v>
      </c>
      <c r="B111">
        <v>1182.7</v>
      </c>
      <c r="C111" t="s">
        <v>487</v>
      </c>
      <c r="D111" t="s">
        <v>1261</v>
      </c>
      <c r="E111" t="s">
        <v>1262</v>
      </c>
      <c r="F111">
        <v>2.8000000000000001E-2</v>
      </c>
      <c r="G111" t="s">
        <v>1263</v>
      </c>
      <c r="H111">
        <v>50.4</v>
      </c>
      <c r="I111">
        <v>10208.200000000001</v>
      </c>
      <c r="J111" t="s">
        <v>1264</v>
      </c>
      <c r="K111" t="s">
        <v>1265</v>
      </c>
      <c r="L111" t="s">
        <v>1266</v>
      </c>
      <c r="M111" t="s">
        <v>1267</v>
      </c>
      <c r="N111">
        <v>4761.448013576749</v>
      </c>
      <c r="O111">
        <v>4818.5853897396701</v>
      </c>
      <c r="P111">
        <v>5045.0589030574338</v>
      </c>
      <c r="Q111">
        <v>5448.663615302029</v>
      </c>
      <c r="R111">
        <v>5672.0588235294117</v>
      </c>
      <c r="S111" t="s">
        <v>1268</v>
      </c>
      <c r="T111" t="s">
        <v>1269</v>
      </c>
      <c r="U111" t="s">
        <v>1270</v>
      </c>
      <c r="V111" t="s">
        <v>94</v>
      </c>
      <c r="W111">
        <v>265472419.80000001</v>
      </c>
      <c r="X111">
        <v>266439117.80000001</v>
      </c>
      <c r="Y111">
        <v>267499117.80000001</v>
      </c>
      <c r="Z111">
        <v>268599117.80000001</v>
      </c>
      <c r="AA111">
        <v>270179117.80000001</v>
      </c>
      <c r="AB111">
        <v>35392927525.651443</v>
      </c>
      <c r="AC111">
        <v>7433227.7544000009</v>
      </c>
      <c r="AD111">
        <v>35948069928.013786</v>
      </c>
      <c r="AE111">
        <v>7460295.2984000007</v>
      </c>
      <c r="AF111">
        <v>37787366562.873177</v>
      </c>
      <c r="AG111">
        <v>7489975.2984000007</v>
      </c>
      <c r="AH111">
        <v>40978174727.254341</v>
      </c>
      <c r="AI111">
        <v>7520775.2984000007</v>
      </c>
      <c r="AJ111">
        <v>42909211773.424713</v>
      </c>
      <c r="AK111">
        <v>7565015.2984000007</v>
      </c>
    </row>
    <row r="112" spans="1:37" x14ac:dyDescent="0.35">
      <c r="A112" t="s">
        <v>1271</v>
      </c>
      <c r="B112">
        <v>547.37</v>
      </c>
      <c r="C112" t="s">
        <v>1272</v>
      </c>
      <c r="D112" t="s">
        <v>1273</v>
      </c>
      <c r="E112" t="s">
        <v>1274</v>
      </c>
      <c r="F112">
        <v>5.0000000000000001E-3</v>
      </c>
      <c r="G112" t="s">
        <v>1275</v>
      </c>
      <c r="H112">
        <v>0.25</v>
      </c>
      <c r="I112">
        <v>0</v>
      </c>
      <c r="J112" t="s">
        <v>1276</v>
      </c>
      <c r="K112" t="s">
        <v>1277</v>
      </c>
      <c r="L112" t="s">
        <v>1278</v>
      </c>
      <c r="M112" t="s">
        <v>1279</v>
      </c>
      <c r="N112">
        <v>251.8370222374013</v>
      </c>
      <c r="O112">
        <v>254.85906650425011</v>
      </c>
      <c r="P112">
        <v>266.83744262994992</v>
      </c>
      <c r="Q112">
        <v>288.18443804034592</v>
      </c>
      <c r="R112">
        <v>300</v>
      </c>
      <c r="S112" t="s">
        <v>1280</v>
      </c>
      <c r="T112" t="s">
        <v>1281</v>
      </c>
      <c r="U112" t="s">
        <v>1282</v>
      </c>
      <c r="V112" t="s">
        <v>49</v>
      </c>
      <c r="W112">
        <v>338996155</v>
      </c>
      <c r="X112">
        <v>339500751</v>
      </c>
      <c r="Y112">
        <v>340560751</v>
      </c>
      <c r="Z112">
        <v>341660751</v>
      </c>
      <c r="AA112">
        <v>343660751</v>
      </c>
      <c r="AB112">
        <v>426858911.12564278</v>
      </c>
      <c r="AC112">
        <v>1694980.7749999999</v>
      </c>
      <c r="AD112">
        <v>432624222.38675928</v>
      </c>
      <c r="AE112">
        <v>1697503.7549999999</v>
      </c>
      <c r="AF112">
        <v>454371799.28487581</v>
      </c>
      <c r="AG112">
        <v>1702803.7549999999</v>
      </c>
      <c r="AH112">
        <v>492306557.63688773</v>
      </c>
      <c r="AI112">
        <v>1708303.7549999999</v>
      </c>
      <c r="AJ112">
        <v>515491126.5</v>
      </c>
      <c r="AK112">
        <v>1718303.7549999999</v>
      </c>
    </row>
    <row r="113" spans="1:37" x14ac:dyDescent="0.35">
      <c r="A113" t="s">
        <v>1283</v>
      </c>
      <c r="B113">
        <v>861.52</v>
      </c>
      <c r="C113" t="s">
        <v>487</v>
      </c>
      <c r="D113" t="s">
        <v>1284</v>
      </c>
      <c r="E113" t="s">
        <v>1285</v>
      </c>
      <c r="F113">
        <v>2.8000000000000001E-2</v>
      </c>
      <c r="G113" t="s">
        <v>1286</v>
      </c>
      <c r="H113">
        <v>60.75</v>
      </c>
      <c r="I113">
        <v>15.1</v>
      </c>
      <c r="J113" t="s">
        <v>1287</v>
      </c>
      <c r="K113" t="s">
        <v>1288</v>
      </c>
      <c r="L113" t="s">
        <v>1289</v>
      </c>
      <c r="M113" t="s">
        <v>1290</v>
      </c>
      <c r="N113">
        <v>4761.448013576749</v>
      </c>
      <c r="O113">
        <v>4818.5853897396701</v>
      </c>
      <c r="P113">
        <v>5045.0589030574338</v>
      </c>
      <c r="Q113">
        <v>5448.663615302029</v>
      </c>
      <c r="R113">
        <v>5672.0588235294117</v>
      </c>
      <c r="S113" t="s">
        <v>1291</v>
      </c>
      <c r="T113" t="s">
        <v>1292</v>
      </c>
      <c r="U113" t="s">
        <v>1293</v>
      </c>
      <c r="V113" t="s">
        <v>94</v>
      </c>
      <c r="W113">
        <v>265472419.80000001</v>
      </c>
      <c r="X113">
        <v>266439117.80000001</v>
      </c>
      <c r="Y113">
        <v>267499117.80000001</v>
      </c>
      <c r="Z113">
        <v>268599117.80000001</v>
      </c>
      <c r="AA113">
        <v>270179117.80000001</v>
      </c>
      <c r="AB113">
        <v>35392927525.651443</v>
      </c>
      <c r="AC113">
        <v>7433227.7544000009</v>
      </c>
      <c r="AD113">
        <v>35948069928.013786</v>
      </c>
      <c r="AE113">
        <v>7460295.2984000007</v>
      </c>
      <c r="AF113">
        <v>37787366562.873177</v>
      </c>
      <c r="AG113">
        <v>7489975.2984000007</v>
      </c>
      <c r="AH113">
        <v>40978174727.254341</v>
      </c>
      <c r="AI113">
        <v>7520775.2984000007</v>
      </c>
      <c r="AJ113">
        <v>42909211773.424713</v>
      </c>
      <c r="AK113">
        <v>7565015.2984000007</v>
      </c>
    </row>
    <row r="114" spans="1:37" x14ac:dyDescent="0.35">
      <c r="A114" t="s">
        <v>1294</v>
      </c>
      <c r="B114">
        <v>900.53</v>
      </c>
      <c r="C114" t="s">
        <v>487</v>
      </c>
      <c r="D114" t="s">
        <v>1295</v>
      </c>
      <c r="E114" t="s">
        <v>1296</v>
      </c>
      <c r="F114">
        <v>2.8000000000000001E-2</v>
      </c>
      <c r="G114" t="s">
        <v>1297</v>
      </c>
      <c r="H114">
        <v>30.4</v>
      </c>
      <c r="I114">
        <v>515.20000000000005</v>
      </c>
      <c r="J114" t="s">
        <v>1298</v>
      </c>
      <c r="K114" t="s">
        <v>1299</v>
      </c>
      <c r="L114" t="s">
        <v>1300</v>
      </c>
      <c r="M114" t="s">
        <v>1301</v>
      </c>
      <c r="N114">
        <v>4761.448013576749</v>
      </c>
      <c r="O114">
        <v>4818.5853897396701</v>
      </c>
      <c r="P114">
        <v>5045.0589030574338</v>
      </c>
      <c r="Q114">
        <v>5448.663615302029</v>
      </c>
      <c r="R114">
        <v>5672.0588235294117</v>
      </c>
      <c r="S114" t="s">
        <v>1302</v>
      </c>
      <c r="T114" t="s">
        <v>1303</v>
      </c>
      <c r="U114" t="s">
        <v>1304</v>
      </c>
      <c r="V114" t="s">
        <v>94</v>
      </c>
      <c r="W114">
        <v>265472419.80000001</v>
      </c>
      <c r="X114">
        <v>266439117.80000001</v>
      </c>
      <c r="Y114">
        <v>267499117.80000001</v>
      </c>
      <c r="Z114">
        <v>268599117.80000001</v>
      </c>
      <c r="AA114">
        <v>270179117.80000001</v>
      </c>
      <c r="AB114">
        <v>35392927525.651443</v>
      </c>
      <c r="AC114">
        <v>7433227.7544000009</v>
      </c>
      <c r="AD114">
        <v>35948069928.013786</v>
      </c>
      <c r="AE114">
        <v>7460295.2984000007</v>
      </c>
      <c r="AF114">
        <v>37787366562.873177</v>
      </c>
      <c r="AG114">
        <v>7489975.2984000007</v>
      </c>
      <c r="AH114">
        <v>40978174727.254341</v>
      </c>
      <c r="AI114">
        <v>7520775.2984000007</v>
      </c>
      <c r="AJ114">
        <v>42909211773.424713</v>
      </c>
      <c r="AK114">
        <v>7565015.2984000007</v>
      </c>
    </row>
    <row r="115" spans="1:37" x14ac:dyDescent="0.35">
      <c r="A115" t="s">
        <v>1305</v>
      </c>
      <c r="B115">
        <v>1350.78</v>
      </c>
      <c r="C115" t="s">
        <v>487</v>
      </c>
      <c r="D115" t="s">
        <v>1306</v>
      </c>
      <c r="E115" t="s">
        <v>1307</v>
      </c>
      <c r="F115">
        <v>2.8000000000000001E-2</v>
      </c>
      <c r="G115" t="s">
        <v>1308</v>
      </c>
      <c r="H115">
        <v>60.3</v>
      </c>
      <c r="I115">
        <v>510.15</v>
      </c>
      <c r="J115" t="s">
        <v>1309</v>
      </c>
      <c r="K115" t="s">
        <v>1310</v>
      </c>
      <c r="L115" t="s">
        <v>1311</v>
      </c>
      <c r="M115" t="s">
        <v>1312</v>
      </c>
      <c r="N115">
        <v>4761.448013576749</v>
      </c>
      <c r="O115">
        <v>4818.5853897396701</v>
      </c>
      <c r="P115">
        <v>5045.0589030574338</v>
      </c>
      <c r="Q115">
        <v>5448.663615302029</v>
      </c>
      <c r="R115">
        <v>5672.0588235294117</v>
      </c>
      <c r="S115" t="s">
        <v>1313</v>
      </c>
      <c r="T115" t="s">
        <v>1314</v>
      </c>
      <c r="U115" t="s">
        <v>1293</v>
      </c>
      <c r="V115" t="s">
        <v>94</v>
      </c>
      <c r="W115">
        <v>265472419.80000001</v>
      </c>
      <c r="X115">
        <v>266439117.80000001</v>
      </c>
      <c r="Y115">
        <v>267499117.80000001</v>
      </c>
      <c r="Z115">
        <v>268599117.80000001</v>
      </c>
      <c r="AA115">
        <v>270179117.80000001</v>
      </c>
      <c r="AB115">
        <v>35392927525.651443</v>
      </c>
      <c r="AC115">
        <v>7433227.7544000009</v>
      </c>
      <c r="AD115">
        <v>35948069928.013786</v>
      </c>
      <c r="AE115">
        <v>7460295.2984000007</v>
      </c>
      <c r="AF115">
        <v>37787366562.873177</v>
      </c>
      <c r="AG115">
        <v>7489975.2984000007</v>
      </c>
      <c r="AH115">
        <v>40978174727.254341</v>
      </c>
      <c r="AI115">
        <v>7520775.2984000007</v>
      </c>
      <c r="AJ115">
        <v>42909211773.424713</v>
      </c>
      <c r="AK115">
        <v>7565015.2984000007</v>
      </c>
    </row>
    <row r="116" spans="1:37" x14ac:dyDescent="0.35">
      <c r="A116" t="s">
        <v>1315</v>
      </c>
      <c r="B116">
        <v>375.98</v>
      </c>
      <c r="C116" t="s">
        <v>487</v>
      </c>
      <c r="D116" t="s">
        <v>1316</v>
      </c>
      <c r="E116" t="s">
        <v>1317</v>
      </c>
      <c r="F116">
        <v>2.8000000000000001E-2</v>
      </c>
      <c r="G116" t="s">
        <v>1318</v>
      </c>
      <c r="H116">
        <v>50.6</v>
      </c>
      <c r="I116">
        <v>15.15</v>
      </c>
      <c r="J116" t="s">
        <v>1319</v>
      </c>
      <c r="K116" t="s">
        <v>1320</v>
      </c>
      <c r="L116" t="s">
        <v>1321</v>
      </c>
      <c r="M116" t="s">
        <v>1322</v>
      </c>
      <c r="N116">
        <v>4761.448013576749</v>
      </c>
      <c r="O116">
        <v>4818.5853897396701</v>
      </c>
      <c r="P116">
        <v>5045.0589030574338</v>
      </c>
      <c r="Q116">
        <v>5448.663615302029</v>
      </c>
      <c r="R116">
        <v>5672.0588235294117</v>
      </c>
      <c r="S116" t="s">
        <v>1323</v>
      </c>
      <c r="T116" t="s">
        <v>1324</v>
      </c>
      <c r="U116" t="s">
        <v>1293</v>
      </c>
      <c r="V116" t="s">
        <v>94</v>
      </c>
      <c r="W116">
        <v>265472419.80000001</v>
      </c>
      <c r="X116">
        <v>266439117.80000001</v>
      </c>
      <c r="Y116">
        <v>267499117.80000001</v>
      </c>
      <c r="Z116">
        <v>268599117.80000001</v>
      </c>
      <c r="AA116">
        <v>270179117.80000001</v>
      </c>
      <c r="AB116">
        <v>35392927525.651443</v>
      </c>
      <c r="AC116">
        <v>7433227.7544000009</v>
      </c>
      <c r="AD116">
        <v>35948069928.013786</v>
      </c>
      <c r="AE116">
        <v>7460295.2984000007</v>
      </c>
      <c r="AF116">
        <v>37787366562.873177</v>
      </c>
      <c r="AG116">
        <v>7489975.2984000007</v>
      </c>
      <c r="AH116">
        <v>40978174727.254341</v>
      </c>
      <c r="AI116">
        <v>7520775.2984000007</v>
      </c>
      <c r="AJ116">
        <v>42909211773.424713</v>
      </c>
      <c r="AK116">
        <v>7565015.2984000007</v>
      </c>
    </row>
    <row r="117" spans="1:37" x14ac:dyDescent="0.35">
      <c r="A117" t="s">
        <v>1325</v>
      </c>
      <c r="B117">
        <v>668.41</v>
      </c>
      <c r="C117" t="s">
        <v>487</v>
      </c>
      <c r="D117" t="s">
        <v>1326</v>
      </c>
      <c r="E117" t="s">
        <v>1327</v>
      </c>
      <c r="F117">
        <v>2.8000000000000001E-2</v>
      </c>
      <c r="G117" t="s">
        <v>1328</v>
      </c>
      <c r="H117">
        <v>304040.5</v>
      </c>
      <c r="I117">
        <v>10.15</v>
      </c>
      <c r="J117" t="s">
        <v>1329</v>
      </c>
      <c r="K117" t="s">
        <v>1330</v>
      </c>
      <c r="L117" t="s">
        <v>1331</v>
      </c>
      <c r="M117" t="s">
        <v>1332</v>
      </c>
      <c r="N117">
        <v>4761.448013576749</v>
      </c>
      <c r="O117">
        <v>4818.5853897396701</v>
      </c>
      <c r="P117">
        <v>5045.0589030574338</v>
      </c>
      <c r="Q117">
        <v>5448.663615302029</v>
      </c>
      <c r="R117">
        <v>5672.0588235294117</v>
      </c>
      <c r="S117" t="s">
        <v>1333</v>
      </c>
      <c r="T117" t="s">
        <v>1334</v>
      </c>
      <c r="U117" t="s">
        <v>1293</v>
      </c>
      <c r="V117" t="s">
        <v>94</v>
      </c>
      <c r="W117">
        <v>265472419.80000001</v>
      </c>
      <c r="X117">
        <v>266439117.80000001</v>
      </c>
      <c r="Y117">
        <v>267499117.80000001</v>
      </c>
      <c r="Z117">
        <v>268599117.80000001</v>
      </c>
      <c r="AA117">
        <v>270179117.80000001</v>
      </c>
      <c r="AB117">
        <v>35392927525.651443</v>
      </c>
      <c r="AC117">
        <v>7433227.7544000009</v>
      </c>
      <c r="AD117">
        <v>35948069928.013786</v>
      </c>
      <c r="AE117">
        <v>7460295.2984000007</v>
      </c>
      <c r="AF117">
        <v>37787366562.873177</v>
      </c>
      <c r="AG117">
        <v>7489975.2984000007</v>
      </c>
      <c r="AH117">
        <v>40978174727.254341</v>
      </c>
      <c r="AI117">
        <v>7520775.2984000007</v>
      </c>
      <c r="AJ117">
        <v>42909211773.424713</v>
      </c>
      <c r="AK117">
        <v>7565015.2984000007</v>
      </c>
    </row>
    <row r="118" spans="1:37" x14ac:dyDescent="0.35">
      <c r="A118" t="s">
        <v>1335</v>
      </c>
      <c r="B118">
        <v>698.99</v>
      </c>
      <c r="C118" t="s">
        <v>487</v>
      </c>
      <c r="D118" t="s">
        <v>1336</v>
      </c>
      <c r="E118" t="s">
        <v>1337</v>
      </c>
      <c r="F118">
        <v>2.8000000000000001E-2</v>
      </c>
      <c r="G118" t="s">
        <v>1338</v>
      </c>
      <c r="H118">
        <v>50.7</v>
      </c>
      <c r="I118">
        <v>23.15</v>
      </c>
      <c r="J118" t="s">
        <v>1339</v>
      </c>
      <c r="K118" t="s">
        <v>1340</v>
      </c>
      <c r="L118" t="s">
        <v>1341</v>
      </c>
      <c r="M118" t="s">
        <v>1342</v>
      </c>
      <c r="N118">
        <v>4761.448013576749</v>
      </c>
      <c r="O118">
        <v>4818.5853897396701</v>
      </c>
      <c r="P118">
        <v>5045.0589030574338</v>
      </c>
      <c r="Q118">
        <v>5448.663615302029</v>
      </c>
      <c r="R118">
        <v>5672.0588235294117</v>
      </c>
      <c r="S118" t="s">
        <v>1343</v>
      </c>
      <c r="T118" t="s">
        <v>1344</v>
      </c>
      <c r="U118" t="s">
        <v>1304</v>
      </c>
      <c r="V118" t="s">
        <v>94</v>
      </c>
      <c r="W118">
        <v>265472419.80000001</v>
      </c>
      <c r="X118">
        <v>266439117.80000001</v>
      </c>
      <c r="Y118">
        <v>267499117.80000001</v>
      </c>
      <c r="Z118">
        <v>268599117.80000001</v>
      </c>
      <c r="AA118">
        <v>270179117.80000001</v>
      </c>
      <c r="AB118">
        <v>35392927525.651443</v>
      </c>
      <c r="AC118">
        <v>7433227.7544000009</v>
      </c>
      <c r="AD118">
        <v>35948069928.013786</v>
      </c>
      <c r="AE118">
        <v>7460295.2984000007</v>
      </c>
      <c r="AF118">
        <v>37787366562.873177</v>
      </c>
      <c r="AG118">
        <v>7489975.2984000007</v>
      </c>
      <c r="AH118">
        <v>40978174727.254341</v>
      </c>
      <c r="AI118">
        <v>7520775.2984000007</v>
      </c>
      <c r="AJ118">
        <v>42909211773.424713</v>
      </c>
      <c r="AK118">
        <v>7565015.2984000007</v>
      </c>
    </row>
    <row r="119" spans="1:37" x14ac:dyDescent="0.35">
      <c r="A119" t="s">
        <v>1345</v>
      </c>
      <c r="B119">
        <v>1367.42</v>
      </c>
      <c r="C119" t="s">
        <v>487</v>
      </c>
      <c r="D119" t="s">
        <v>1346</v>
      </c>
      <c r="E119" t="s">
        <v>1347</v>
      </c>
      <c r="F119">
        <v>2.8000000000000001E-2</v>
      </c>
      <c r="G119" t="s">
        <v>1348</v>
      </c>
      <c r="H119">
        <v>7540.6</v>
      </c>
      <c r="I119">
        <v>515.25</v>
      </c>
      <c r="J119" t="s">
        <v>1349</v>
      </c>
      <c r="K119" t="s">
        <v>1350</v>
      </c>
      <c r="L119" t="s">
        <v>1351</v>
      </c>
      <c r="M119" t="s">
        <v>1352</v>
      </c>
      <c r="N119">
        <v>4761.448013576749</v>
      </c>
      <c r="O119">
        <v>4818.5853897396701</v>
      </c>
      <c r="P119">
        <v>5045.0589030574338</v>
      </c>
      <c r="Q119">
        <v>5448.663615302029</v>
      </c>
      <c r="R119">
        <v>5672.0588235294117</v>
      </c>
      <c r="S119" t="s">
        <v>1353</v>
      </c>
      <c r="T119" t="s">
        <v>1354</v>
      </c>
      <c r="U119" t="s">
        <v>1304</v>
      </c>
      <c r="V119" t="s">
        <v>94</v>
      </c>
      <c r="W119">
        <v>265472419.80000001</v>
      </c>
      <c r="X119">
        <v>266439117.80000001</v>
      </c>
      <c r="Y119">
        <v>267499117.80000001</v>
      </c>
      <c r="Z119">
        <v>268599117.80000001</v>
      </c>
      <c r="AA119">
        <v>270179117.80000001</v>
      </c>
      <c r="AB119">
        <v>35392927525.651443</v>
      </c>
      <c r="AC119">
        <v>7433227.7544000009</v>
      </c>
      <c r="AD119">
        <v>35948069928.013786</v>
      </c>
      <c r="AE119">
        <v>7460295.2984000007</v>
      </c>
      <c r="AF119">
        <v>37787366562.873177</v>
      </c>
      <c r="AG119">
        <v>7489975.2984000007</v>
      </c>
      <c r="AH119">
        <v>40978174727.254341</v>
      </c>
      <c r="AI119">
        <v>7520775.2984000007</v>
      </c>
      <c r="AJ119">
        <v>42909211773.424713</v>
      </c>
      <c r="AK119">
        <v>7565015.2984000007</v>
      </c>
    </row>
    <row r="120" spans="1:37" x14ac:dyDescent="0.35">
      <c r="A120" t="s">
        <v>1355</v>
      </c>
      <c r="B120">
        <v>1386.93</v>
      </c>
      <c r="C120" t="s">
        <v>1356</v>
      </c>
      <c r="D120" t="s">
        <v>1357</v>
      </c>
      <c r="E120" t="s">
        <v>1358</v>
      </c>
      <c r="F120">
        <v>1.5E-3</v>
      </c>
      <c r="G120" t="s">
        <v>1359</v>
      </c>
      <c r="H120">
        <v>0.5</v>
      </c>
      <c r="I120">
        <v>40.299999999999997</v>
      </c>
      <c r="J120" t="s">
        <v>1360</v>
      </c>
      <c r="K120" t="s">
        <v>1361</v>
      </c>
      <c r="L120" t="s">
        <v>1362</v>
      </c>
      <c r="M120" t="s">
        <v>1363</v>
      </c>
      <c r="N120">
        <v>49587.908902459727</v>
      </c>
      <c r="O120">
        <v>50182.963809289249</v>
      </c>
      <c r="P120">
        <v>52541.563108325841</v>
      </c>
      <c r="Q120">
        <v>56744.88815699191</v>
      </c>
      <c r="R120">
        <v>59071.428571428572</v>
      </c>
      <c r="S120" t="s">
        <v>1364</v>
      </c>
      <c r="T120" t="s">
        <v>1365</v>
      </c>
      <c r="U120" t="s">
        <v>1366</v>
      </c>
      <c r="V120" t="s">
        <v>49</v>
      </c>
      <c r="W120">
        <v>338996155</v>
      </c>
      <c r="X120">
        <v>339500751</v>
      </c>
      <c r="Y120">
        <v>340560751</v>
      </c>
      <c r="Z120">
        <v>341660751</v>
      </c>
      <c r="AA120">
        <v>343660751</v>
      </c>
      <c r="AB120">
        <v>25215165678.636181</v>
      </c>
      <c r="AC120">
        <v>508494.23249999998</v>
      </c>
      <c r="AD120">
        <v>25555730850.989281</v>
      </c>
      <c r="AE120">
        <v>509251.12650000001</v>
      </c>
      <c r="AF120">
        <v>26840391286.328018</v>
      </c>
      <c r="AG120">
        <v>510841.12650000001</v>
      </c>
      <c r="AH120">
        <v>29081251654.693291</v>
      </c>
      <c r="AI120">
        <v>512491.12650000001</v>
      </c>
      <c r="AJ120">
        <v>30450797258.25</v>
      </c>
      <c r="AK120">
        <v>515491.12650000001</v>
      </c>
    </row>
    <row r="121" spans="1:37" x14ac:dyDescent="0.35">
      <c r="A121" t="s">
        <v>1367</v>
      </c>
      <c r="B121">
        <v>0.79</v>
      </c>
      <c r="C121" t="s">
        <v>1368</v>
      </c>
      <c r="D121" t="s">
        <v>1369</v>
      </c>
      <c r="E121" t="s">
        <v>1370</v>
      </c>
      <c r="F121">
        <v>0.2</v>
      </c>
      <c r="G121" t="s">
        <v>1371</v>
      </c>
      <c r="H121">
        <v>30.4</v>
      </c>
      <c r="J121" t="s">
        <v>1372</v>
      </c>
      <c r="K121" t="s">
        <v>1373</v>
      </c>
      <c r="L121" t="s">
        <v>1374</v>
      </c>
      <c r="M121" t="s">
        <v>1375</v>
      </c>
      <c r="N121">
        <v>260.23158964531473</v>
      </c>
      <c r="O121">
        <v>263.35436872105839</v>
      </c>
      <c r="P121">
        <v>275.73202405094821</v>
      </c>
      <c r="Q121">
        <v>297.79058597502399</v>
      </c>
      <c r="R121">
        <v>310</v>
      </c>
      <c r="S121" t="s">
        <v>1376</v>
      </c>
      <c r="T121" t="s">
        <v>1377</v>
      </c>
      <c r="U121" t="s">
        <v>1378</v>
      </c>
      <c r="V121" t="s">
        <v>1017</v>
      </c>
      <c r="W121">
        <v>331357816</v>
      </c>
      <c r="X121">
        <v>331968553.60000002</v>
      </c>
      <c r="Y121">
        <v>333028553.60000002</v>
      </c>
      <c r="Z121">
        <v>334128553.60000002</v>
      </c>
      <c r="AA121">
        <v>336128553.60000002</v>
      </c>
      <c r="AB121">
        <v>17245954239.815941</v>
      </c>
      <c r="AC121">
        <v>66271563.200000003</v>
      </c>
      <c r="AD121">
        <v>17485073773.714169</v>
      </c>
      <c r="AE121">
        <v>66393710.720000014</v>
      </c>
      <c r="AF121">
        <v>18365327430.17754</v>
      </c>
      <c r="AG121">
        <v>66605710.720000014</v>
      </c>
      <c r="AH121">
        <v>19900067553.506248</v>
      </c>
      <c r="AI121">
        <v>66825710.720000014</v>
      </c>
      <c r="AJ121">
        <v>20839970323.200001</v>
      </c>
      <c r="AK121">
        <v>67225710.720000014</v>
      </c>
    </row>
    <row r="122" spans="1:37" x14ac:dyDescent="0.35">
      <c r="A122" t="s">
        <v>1379</v>
      </c>
      <c r="B122">
        <v>1.95</v>
      </c>
      <c r="C122" t="s">
        <v>863</v>
      </c>
      <c r="D122" t="s">
        <v>1380</v>
      </c>
      <c r="E122" t="s">
        <v>1381</v>
      </c>
      <c r="F122">
        <v>0.1</v>
      </c>
      <c r="G122" t="s">
        <v>1382</v>
      </c>
      <c r="H122">
        <v>0.15</v>
      </c>
      <c r="I122">
        <v>0</v>
      </c>
      <c r="J122" t="s">
        <v>1383</v>
      </c>
      <c r="K122" t="s">
        <v>1384</v>
      </c>
      <c r="L122" t="s">
        <v>1385</v>
      </c>
      <c r="M122" t="s">
        <v>1386</v>
      </c>
      <c r="N122">
        <v>278.56709214154648</v>
      </c>
      <c r="O122">
        <v>281.90989724724511</v>
      </c>
      <c r="P122">
        <v>295.1596624178656</v>
      </c>
      <c r="Q122">
        <v>318.77243541129491</v>
      </c>
      <c r="R122">
        <v>331.84210526315792</v>
      </c>
      <c r="S122" t="s">
        <v>1387</v>
      </c>
      <c r="T122" t="s">
        <v>1388</v>
      </c>
      <c r="U122" t="s">
        <v>1389</v>
      </c>
      <c r="V122" t="s">
        <v>49</v>
      </c>
      <c r="W122">
        <v>338996155</v>
      </c>
      <c r="X122">
        <v>339500751</v>
      </c>
      <c r="Y122">
        <v>340560751</v>
      </c>
      <c r="Z122">
        <v>341660751</v>
      </c>
      <c r="AA122">
        <v>343660751</v>
      </c>
      <c r="AB122">
        <v>9443317314.5515003</v>
      </c>
      <c r="AC122">
        <v>33899615.5</v>
      </c>
      <c r="AD122">
        <v>9570862182.9772549</v>
      </c>
      <c r="AE122">
        <v>33950075.100000001</v>
      </c>
      <c r="AF122">
        <v>10051979629.79348</v>
      </c>
      <c r="AG122">
        <v>34056075.100000001</v>
      </c>
      <c r="AH122">
        <v>10891202968.072201</v>
      </c>
      <c r="AI122">
        <v>34166075.100000001</v>
      </c>
      <c r="AJ122">
        <v>11404110710.81579</v>
      </c>
      <c r="AK122">
        <v>34366075.100000001</v>
      </c>
    </row>
    <row r="123" spans="1:37" x14ac:dyDescent="0.35">
      <c r="A123" t="s">
        <v>1390</v>
      </c>
      <c r="B123">
        <v>1.08</v>
      </c>
      <c r="C123" t="s">
        <v>418</v>
      </c>
      <c r="D123" t="s">
        <v>1391</v>
      </c>
      <c r="E123" t="s">
        <v>1392</v>
      </c>
      <c r="F123">
        <v>0.16200000000000001</v>
      </c>
      <c r="G123" t="s">
        <v>1393</v>
      </c>
      <c r="H123">
        <v>30.4</v>
      </c>
      <c r="I123">
        <v>0.01</v>
      </c>
      <c r="J123" t="s">
        <v>1394</v>
      </c>
      <c r="K123" t="s">
        <v>1395</v>
      </c>
      <c r="L123" t="s">
        <v>1396</v>
      </c>
      <c r="M123" t="s">
        <v>1397</v>
      </c>
      <c r="N123">
        <v>76.950201239205967</v>
      </c>
      <c r="O123">
        <v>77.873603654076433</v>
      </c>
      <c r="P123">
        <v>81.533663025818015</v>
      </c>
      <c r="Q123">
        <v>88.056356067883456</v>
      </c>
      <c r="R123">
        <v>91.666666666666671</v>
      </c>
      <c r="S123" t="s">
        <v>1398</v>
      </c>
      <c r="T123" t="s">
        <v>1399</v>
      </c>
      <c r="U123" t="s">
        <v>1400</v>
      </c>
      <c r="V123" t="s">
        <v>49</v>
      </c>
      <c r="W123">
        <v>338996155</v>
      </c>
      <c r="X123">
        <v>339500751</v>
      </c>
      <c r="Y123">
        <v>340560751</v>
      </c>
      <c r="Z123">
        <v>341660751</v>
      </c>
      <c r="AA123">
        <v>343660751</v>
      </c>
      <c r="AB123">
        <v>4225903220.1438642</v>
      </c>
      <c r="AC123">
        <v>54917377.109999999</v>
      </c>
      <c r="AD123">
        <v>4282979801.6289182</v>
      </c>
      <c r="AE123">
        <v>54999121.662</v>
      </c>
      <c r="AF123">
        <v>4498280812.92027</v>
      </c>
      <c r="AG123">
        <v>55170841.662</v>
      </c>
      <c r="AH123">
        <v>4873834920.6051884</v>
      </c>
      <c r="AI123">
        <v>55349041.662</v>
      </c>
      <c r="AJ123">
        <v>5103362152.3500004</v>
      </c>
      <c r="AK123">
        <v>55673041.662</v>
      </c>
    </row>
    <row r="124" spans="1:37" x14ac:dyDescent="0.35">
      <c r="A124" t="s">
        <v>1401</v>
      </c>
      <c r="B124">
        <v>14.65</v>
      </c>
      <c r="C124" t="s">
        <v>1402</v>
      </c>
      <c r="D124" t="s">
        <v>1403</v>
      </c>
      <c r="E124" t="s">
        <v>1404</v>
      </c>
      <c r="F124">
        <v>0.3</v>
      </c>
      <c r="G124" t="s">
        <v>1405</v>
      </c>
      <c r="H124">
        <v>0.15</v>
      </c>
      <c r="I124">
        <v>0.01</v>
      </c>
      <c r="J124" t="s">
        <v>1406</v>
      </c>
      <c r="K124" t="s">
        <v>1407</v>
      </c>
      <c r="L124" t="s">
        <v>1408</v>
      </c>
      <c r="M124" t="s">
        <v>1409</v>
      </c>
      <c r="N124">
        <v>245.54109668146631</v>
      </c>
      <c r="O124">
        <v>248.48758984164391</v>
      </c>
      <c r="P124">
        <v>260.16650656420109</v>
      </c>
      <c r="Q124">
        <v>280.97982708933722</v>
      </c>
      <c r="R124">
        <v>292.5</v>
      </c>
      <c r="S124" t="s">
        <v>1410</v>
      </c>
      <c r="T124" t="s">
        <v>1411</v>
      </c>
      <c r="U124" t="s">
        <v>1412</v>
      </c>
      <c r="V124" t="s">
        <v>49</v>
      </c>
      <c r="W124">
        <v>338996155</v>
      </c>
      <c r="X124">
        <v>339500751</v>
      </c>
      <c r="Y124">
        <v>340560751</v>
      </c>
      <c r="Z124">
        <v>341660751</v>
      </c>
      <c r="AA124">
        <v>343660751</v>
      </c>
      <c r="AB124">
        <v>24971246300.85009</v>
      </c>
      <c r="AC124">
        <v>101698846.5</v>
      </c>
      <c r="AD124">
        <v>25308517009.62542</v>
      </c>
      <c r="AE124">
        <v>101850225.3</v>
      </c>
      <c r="AF124">
        <v>26580750258.165218</v>
      </c>
      <c r="AG124">
        <v>102168225.3</v>
      </c>
      <c r="AH124">
        <v>28799933621.757931</v>
      </c>
      <c r="AI124">
        <v>102498225.3</v>
      </c>
      <c r="AJ124">
        <v>30156230900.25</v>
      </c>
      <c r="AK124">
        <v>103098225.3</v>
      </c>
    </row>
    <row r="125" spans="1:37" x14ac:dyDescent="0.35">
      <c r="A125" t="s">
        <v>1413</v>
      </c>
      <c r="B125">
        <v>0.66</v>
      </c>
      <c r="C125" t="s">
        <v>1414</v>
      </c>
      <c r="D125" t="s">
        <v>1415</v>
      </c>
      <c r="E125" t="s">
        <v>1416</v>
      </c>
      <c r="F125">
        <v>0.2</v>
      </c>
      <c r="G125" t="s">
        <v>1417</v>
      </c>
      <c r="H125">
        <v>0.25</v>
      </c>
      <c r="I125">
        <v>0</v>
      </c>
      <c r="J125" t="s">
        <v>1418</v>
      </c>
      <c r="K125" t="s">
        <v>1419</v>
      </c>
      <c r="L125" t="s">
        <v>1420</v>
      </c>
      <c r="M125" t="s">
        <v>1421</v>
      </c>
      <c r="N125">
        <v>183.6311620481051</v>
      </c>
      <c r="O125">
        <v>185.8347359926824</v>
      </c>
      <c r="P125">
        <v>194.56896858433839</v>
      </c>
      <c r="Q125">
        <v>210.13448607108549</v>
      </c>
      <c r="R125">
        <v>218.75</v>
      </c>
      <c r="S125" t="s">
        <v>1422</v>
      </c>
      <c r="T125" t="s">
        <v>1423</v>
      </c>
      <c r="U125" t="s">
        <v>1424</v>
      </c>
      <c r="V125" t="s">
        <v>49</v>
      </c>
      <c r="W125">
        <v>338996155</v>
      </c>
      <c r="X125">
        <v>339500751</v>
      </c>
      <c r="Y125">
        <v>340560751</v>
      </c>
      <c r="Z125">
        <v>341660751</v>
      </c>
      <c r="AA125">
        <v>343660751</v>
      </c>
      <c r="AB125">
        <v>12450051574.49791</v>
      </c>
      <c r="AC125">
        <v>67799231</v>
      </c>
      <c r="AD125">
        <v>12618206486.280479</v>
      </c>
      <c r="AE125">
        <v>67900150.200000003</v>
      </c>
      <c r="AF125">
        <v>13252510812.47554</v>
      </c>
      <c r="AG125">
        <v>68112150.200000003</v>
      </c>
      <c r="AH125">
        <v>14358941264.409229</v>
      </c>
      <c r="AI125">
        <v>68332150.200000003</v>
      </c>
      <c r="AJ125">
        <v>15035157856.25</v>
      </c>
      <c r="AK125">
        <v>68732150.200000003</v>
      </c>
    </row>
    <row r="126" spans="1:37" x14ac:dyDescent="0.35">
      <c r="A126" t="s">
        <v>1425</v>
      </c>
      <c r="B126">
        <v>2.57</v>
      </c>
      <c r="C126" t="s">
        <v>1426</v>
      </c>
      <c r="D126" t="s">
        <v>1427</v>
      </c>
      <c r="E126" t="s">
        <v>1428</v>
      </c>
      <c r="F126">
        <v>0.02</v>
      </c>
      <c r="G126" t="s">
        <v>1429</v>
      </c>
      <c r="H126">
        <v>0.1</v>
      </c>
      <c r="I126">
        <v>0.12</v>
      </c>
      <c r="J126" t="s">
        <v>1430</v>
      </c>
      <c r="K126" t="s">
        <v>1431</v>
      </c>
      <c r="L126" t="s">
        <v>1432</v>
      </c>
      <c r="M126" t="s">
        <v>1433</v>
      </c>
      <c r="N126">
        <v>1196.2258556276561</v>
      </c>
      <c r="O126">
        <v>1210.5805658951881</v>
      </c>
      <c r="P126">
        <v>1267.4778524922619</v>
      </c>
      <c r="Q126">
        <v>1368.876080691643</v>
      </c>
      <c r="R126">
        <v>1425</v>
      </c>
      <c r="S126" t="s">
        <v>1434</v>
      </c>
      <c r="T126" t="s">
        <v>1435</v>
      </c>
      <c r="U126" t="s">
        <v>1436</v>
      </c>
      <c r="V126" t="s">
        <v>49</v>
      </c>
      <c r="W126">
        <v>338996155</v>
      </c>
      <c r="X126">
        <v>339500751</v>
      </c>
      <c r="Y126">
        <v>340560751</v>
      </c>
      <c r="Z126">
        <v>341660751</v>
      </c>
      <c r="AA126">
        <v>343660751</v>
      </c>
      <c r="AB126">
        <v>8110319311.3872108</v>
      </c>
      <c r="AC126">
        <v>6779923.1000000006</v>
      </c>
      <c r="AD126">
        <v>8219860225.3484259</v>
      </c>
      <c r="AE126">
        <v>6790015.0199999996</v>
      </c>
      <c r="AF126">
        <v>8633064186.4126377</v>
      </c>
      <c r="AG126">
        <v>6811215.0199999996</v>
      </c>
      <c r="AH126">
        <v>9353824595.1008644</v>
      </c>
      <c r="AI126">
        <v>6833215.0199999996</v>
      </c>
      <c r="AJ126">
        <v>9794331403.5</v>
      </c>
      <c r="AK126">
        <v>6873215.0199999996</v>
      </c>
    </row>
    <row r="127" spans="1:37" x14ac:dyDescent="0.35">
      <c r="A127" t="s">
        <v>1437</v>
      </c>
      <c r="B127">
        <v>98.97</v>
      </c>
      <c r="C127" t="s">
        <v>83</v>
      </c>
      <c r="D127" t="s">
        <v>1438</v>
      </c>
      <c r="E127" t="s">
        <v>1439</v>
      </c>
      <c r="F127">
        <v>4.5999999999999999E-2</v>
      </c>
      <c r="G127" t="s">
        <v>1440</v>
      </c>
      <c r="H127">
        <v>0.2</v>
      </c>
      <c r="I127">
        <v>0.01</v>
      </c>
      <c r="J127" t="s">
        <v>1441</v>
      </c>
      <c r="K127" t="s">
        <v>1442</v>
      </c>
      <c r="L127" t="s">
        <v>1443</v>
      </c>
      <c r="M127" t="s">
        <v>1444</v>
      </c>
      <c r="N127">
        <v>963.93530786561541</v>
      </c>
      <c r="O127">
        <v>975.50253156000281</v>
      </c>
      <c r="P127">
        <v>1021.351150543323</v>
      </c>
      <c r="Q127">
        <v>1103.059242586789</v>
      </c>
      <c r="R127">
        <v>1148.2846715328469</v>
      </c>
      <c r="S127" t="s">
        <v>1445</v>
      </c>
      <c r="T127" t="s">
        <v>1446</v>
      </c>
      <c r="U127" t="s">
        <v>1447</v>
      </c>
      <c r="V127" t="s">
        <v>94</v>
      </c>
      <c r="W127">
        <v>265472419.80000001</v>
      </c>
      <c r="X127">
        <v>266439117.80000001</v>
      </c>
      <c r="Y127">
        <v>267499117.80000001</v>
      </c>
      <c r="Z127">
        <v>268599117.80000001</v>
      </c>
      <c r="AA127">
        <v>270179117.80000001</v>
      </c>
      <c r="AB127">
        <v>11771318980.64817</v>
      </c>
      <c r="AC127">
        <v>12211731.310799999</v>
      </c>
      <c r="AD127">
        <v>11955953560.343639</v>
      </c>
      <c r="AE127">
        <v>12256199.4188</v>
      </c>
      <c r="AF127">
        <v>12567684459.780279</v>
      </c>
      <c r="AG127">
        <v>12304959.4188</v>
      </c>
      <c r="AH127">
        <v>13628914014.237591</v>
      </c>
      <c r="AI127">
        <v>12355559.4188</v>
      </c>
      <c r="AJ127">
        <v>14271156818.748341</v>
      </c>
      <c r="AK127">
        <v>12428239.4188</v>
      </c>
    </row>
    <row r="128" spans="1:37" x14ac:dyDescent="0.35">
      <c r="A128" t="s">
        <v>1448</v>
      </c>
      <c r="B128">
        <v>3.05</v>
      </c>
      <c r="C128" t="s">
        <v>1449</v>
      </c>
      <c r="D128" t="s">
        <v>1450</v>
      </c>
      <c r="E128" t="s">
        <v>1451</v>
      </c>
      <c r="F128">
        <v>0.17199999999999999</v>
      </c>
      <c r="G128" t="s">
        <v>1452</v>
      </c>
      <c r="H128">
        <v>0.2</v>
      </c>
      <c r="I128">
        <v>0</v>
      </c>
      <c r="J128" t="s">
        <v>1453</v>
      </c>
      <c r="K128" t="s">
        <v>1454</v>
      </c>
      <c r="L128" t="s">
        <v>1455</v>
      </c>
      <c r="M128" t="s">
        <v>1456</v>
      </c>
      <c r="N128">
        <v>167.8913481582675</v>
      </c>
      <c r="O128">
        <v>169.9060443361667</v>
      </c>
      <c r="P128">
        <v>177.89162841996659</v>
      </c>
      <c r="Q128">
        <v>192.1229586935639</v>
      </c>
      <c r="R128">
        <v>200</v>
      </c>
      <c r="S128" t="s">
        <v>1457</v>
      </c>
      <c r="T128" t="s">
        <v>299</v>
      </c>
      <c r="U128" t="s">
        <v>1458</v>
      </c>
      <c r="V128" t="s">
        <v>49</v>
      </c>
      <c r="W128">
        <v>338996155</v>
      </c>
      <c r="X128">
        <v>339500751</v>
      </c>
      <c r="Y128">
        <v>340560751</v>
      </c>
      <c r="Z128">
        <v>341660751</v>
      </c>
      <c r="AA128">
        <v>343660751</v>
      </c>
      <c r="AB128">
        <v>9789297695.1480713</v>
      </c>
      <c r="AC128">
        <v>58307338.659999996</v>
      </c>
      <c r="AD128">
        <v>9921515500.0696774</v>
      </c>
      <c r="AE128">
        <v>58394129.171999998</v>
      </c>
      <c r="AF128">
        <v>10420259930.266479</v>
      </c>
      <c r="AG128">
        <v>58576449.171999998</v>
      </c>
      <c r="AH128">
        <v>11290230388.47262</v>
      </c>
      <c r="AI128">
        <v>58765649.171999998</v>
      </c>
      <c r="AJ128">
        <v>11821929834.4</v>
      </c>
      <c r="AK128">
        <v>59109649.171999998</v>
      </c>
    </row>
    <row r="129" spans="1:37" x14ac:dyDescent="0.35">
      <c r="A129" t="s">
        <v>1459</v>
      </c>
      <c r="B129">
        <v>0.99</v>
      </c>
      <c r="C129" t="s">
        <v>418</v>
      </c>
      <c r="D129" t="s">
        <v>1460</v>
      </c>
      <c r="E129" t="s">
        <v>1461</v>
      </c>
      <c r="F129">
        <v>0.16200000000000001</v>
      </c>
      <c r="G129" t="s">
        <v>1462</v>
      </c>
      <c r="H129">
        <v>0.3</v>
      </c>
      <c r="I129">
        <v>0.01</v>
      </c>
      <c r="J129" t="s">
        <v>1463</v>
      </c>
      <c r="K129" t="s">
        <v>1464</v>
      </c>
      <c r="L129" t="s">
        <v>1465</v>
      </c>
      <c r="M129" t="s">
        <v>1466</v>
      </c>
      <c r="N129">
        <v>76.950201239205967</v>
      </c>
      <c r="O129">
        <v>77.873603654076433</v>
      </c>
      <c r="P129">
        <v>81.533663025818015</v>
      </c>
      <c r="Q129">
        <v>88.056356067883456</v>
      </c>
      <c r="R129">
        <v>91.666666666666671</v>
      </c>
      <c r="S129" t="s">
        <v>1467</v>
      </c>
      <c r="T129" t="s">
        <v>1468</v>
      </c>
      <c r="U129" t="s">
        <v>1469</v>
      </c>
      <c r="V129" t="s">
        <v>49</v>
      </c>
      <c r="W129">
        <v>338996155</v>
      </c>
      <c r="X129">
        <v>339500751</v>
      </c>
      <c r="Y129">
        <v>340560751</v>
      </c>
      <c r="Z129">
        <v>341660751</v>
      </c>
      <c r="AA129">
        <v>343660751</v>
      </c>
      <c r="AB129">
        <v>4225903220.1438642</v>
      </c>
      <c r="AC129">
        <v>54917377.109999999</v>
      </c>
      <c r="AD129">
        <v>4282979801.6289182</v>
      </c>
      <c r="AE129">
        <v>54999121.662</v>
      </c>
      <c r="AF129">
        <v>4498280812.92027</v>
      </c>
      <c r="AG129">
        <v>55170841.662</v>
      </c>
      <c r="AH129">
        <v>4873834920.6051884</v>
      </c>
      <c r="AI129">
        <v>55349041.662</v>
      </c>
      <c r="AJ129">
        <v>5103362152.3500004</v>
      </c>
      <c r="AK129">
        <v>55673041.662</v>
      </c>
    </row>
    <row r="130" spans="1:37" x14ac:dyDescent="0.35">
      <c r="A130" t="s">
        <v>1470</v>
      </c>
      <c r="B130">
        <v>1.23</v>
      </c>
      <c r="C130" t="s">
        <v>863</v>
      </c>
      <c r="D130" t="s">
        <v>1471</v>
      </c>
      <c r="E130" t="s">
        <v>1472</v>
      </c>
      <c r="F130">
        <v>0.1</v>
      </c>
      <c r="G130" t="s">
        <v>1473</v>
      </c>
      <c r="H130">
        <v>0.25</v>
      </c>
      <c r="I130">
        <v>0</v>
      </c>
      <c r="J130" t="s">
        <v>1474</v>
      </c>
      <c r="K130" t="s">
        <v>1475</v>
      </c>
      <c r="L130" t="s">
        <v>1476</v>
      </c>
      <c r="M130" t="s">
        <v>1477</v>
      </c>
      <c r="N130">
        <v>278.56709214154648</v>
      </c>
      <c r="O130">
        <v>281.90989724724511</v>
      </c>
      <c r="P130">
        <v>295.1596624178656</v>
      </c>
      <c r="Q130">
        <v>318.77243541129491</v>
      </c>
      <c r="R130">
        <v>331.84210526315792</v>
      </c>
      <c r="S130" t="s">
        <v>1478</v>
      </c>
      <c r="T130" t="s">
        <v>1479</v>
      </c>
      <c r="U130" t="s">
        <v>1480</v>
      </c>
      <c r="V130" t="s">
        <v>49</v>
      </c>
      <c r="W130">
        <v>338996155</v>
      </c>
      <c r="X130">
        <v>339500751</v>
      </c>
      <c r="Y130">
        <v>340560751</v>
      </c>
      <c r="Z130">
        <v>341660751</v>
      </c>
      <c r="AA130">
        <v>343660751</v>
      </c>
      <c r="AB130">
        <v>9443317314.5515003</v>
      </c>
      <c r="AC130">
        <v>33899615.5</v>
      </c>
      <c r="AD130">
        <v>9570862182.9772549</v>
      </c>
      <c r="AE130">
        <v>33950075.100000001</v>
      </c>
      <c r="AF130">
        <v>10051979629.79348</v>
      </c>
      <c r="AG130">
        <v>34056075.100000001</v>
      </c>
      <c r="AH130">
        <v>10891202968.072201</v>
      </c>
      <c r="AI130">
        <v>34166075.100000001</v>
      </c>
      <c r="AJ130">
        <v>11404110710.81579</v>
      </c>
      <c r="AK130">
        <v>34366075.100000001</v>
      </c>
    </row>
    <row r="131" spans="1:37" x14ac:dyDescent="0.35">
      <c r="A131" t="s">
        <v>1481</v>
      </c>
      <c r="B131">
        <v>13.6</v>
      </c>
      <c r="C131" t="s">
        <v>208</v>
      </c>
      <c r="D131" t="s">
        <v>1482</v>
      </c>
      <c r="E131" t="s">
        <v>1483</v>
      </c>
      <c r="F131">
        <v>3.1E-2</v>
      </c>
      <c r="G131" t="s">
        <v>1484</v>
      </c>
      <c r="H131">
        <v>25.3</v>
      </c>
      <c r="I131">
        <v>0.04</v>
      </c>
      <c r="J131" t="s">
        <v>1485</v>
      </c>
      <c r="K131" t="s">
        <v>1486</v>
      </c>
      <c r="L131" t="s">
        <v>1487</v>
      </c>
      <c r="M131" t="s">
        <v>1488</v>
      </c>
      <c r="N131">
        <v>1106.1651733936201</v>
      </c>
      <c r="O131">
        <v>1119.4391554743429</v>
      </c>
      <c r="P131">
        <v>1172.0527957816371</v>
      </c>
      <c r="Q131">
        <v>1265.817019444168</v>
      </c>
      <c r="R131">
        <v>1317.7155172413791</v>
      </c>
      <c r="S131" t="s">
        <v>1489</v>
      </c>
      <c r="T131" t="s">
        <v>1490</v>
      </c>
      <c r="U131" t="s">
        <v>1491</v>
      </c>
      <c r="V131" t="s">
        <v>94</v>
      </c>
      <c r="W131">
        <v>265472419.80000001</v>
      </c>
      <c r="X131">
        <v>266439117.80000001</v>
      </c>
      <c r="Y131">
        <v>267499117.80000001</v>
      </c>
      <c r="Z131">
        <v>268599117.80000001</v>
      </c>
      <c r="AA131">
        <v>270179117.80000001</v>
      </c>
      <c r="AB131">
        <v>9103346703.6580143</v>
      </c>
      <c r="AC131">
        <v>8229645.0138000008</v>
      </c>
      <c r="AD131">
        <v>9246133811.4761925</v>
      </c>
      <c r="AE131">
        <v>8259612.6518000001</v>
      </c>
      <c r="AF131">
        <v>9719215755.4849567</v>
      </c>
      <c r="AG131">
        <v>8292472.6518000001</v>
      </c>
      <c r="AH131">
        <v>10539917376.2868</v>
      </c>
      <c r="AI131">
        <v>8326572.6518000001</v>
      </c>
      <c r="AJ131">
        <v>11036595694.749041</v>
      </c>
      <c r="AK131">
        <v>8375552.6518000001</v>
      </c>
    </row>
    <row r="132" spans="1:37" x14ac:dyDescent="0.35">
      <c r="A132" t="s">
        <v>1492</v>
      </c>
      <c r="B132">
        <v>1.3</v>
      </c>
      <c r="C132" t="s">
        <v>418</v>
      </c>
      <c r="D132" t="s">
        <v>1493</v>
      </c>
      <c r="E132" t="s">
        <v>1494</v>
      </c>
      <c r="F132">
        <v>0.16200000000000001</v>
      </c>
      <c r="G132" t="s">
        <v>1495</v>
      </c>
      <c r="H132">
        <v>1</v>
      </c>
      <c r="I132">
        <v>0.01</v>
      </c>
      <c r="J132" t="s">
        <v>1496</v>
      </c>
      <c r="K132" t="s">
        <v>1497</v>
      </c>
      <c r="L132" t="s">
        <v>1498</v>
      </c>
      <c r="M132" t="s">
        <v>1499</v>
      </c>
      <c r="N132">
        <v>76.950201239205967</v>
      </c>
      <c r="O132">
        <v>77.873603654076433</v>
      </c>
      <c r="P132">
        <v>81.533663025818015</v>
      </c>
      <c r="Q132">
        <v>88.056356067883456</v>
      </c>
      <c r="R132">
        <v>91.666666666666671</v>
      </c>
      <c r="S132" t="s">
        <v>1500</v>
      </c>
      <c r="T132" t="s">
        <v>1501</v>
      </c>
      <c r="U132" t="s">
        <v>1502</v>
      </c>
      <c r="V132" t="s">
        <v>49</v>
      </c>
      <c r="W132">
        <v>338996155</v>
      </c>
      <c r="X132">
        <v>339500751</v>
      </c>
      <c r="Y132">
        <v>340560751</v>
      </c>
      <c r="Z132">
        <v>341660751</v>
      </c>
      <c r="AA132">
        <v>343660751</v>
      </c>
      <c r="AB132">
        <v>4225903220.1438642</v>
      </c>
      <c r="AC132">
        <v>54917377.109999999</v>
      </c>
      <c r="AD132">
        <v>4282979801.6289182</v>
      </c>
      <c r="AE132">
        <v>54999121.662</v>
      </c>
      <c r="AF132">
        <v>4498280812.92027</v>
      </c>
      <c r="AG132">
        <v>55170841.662</v>
      </c>
      <c r="AH132">
        <v>4873834920.6051884</v>
      </c>
      <c r="AI132">
        <v>55349041.662</v>
      </c>
      <c r="AJ132">
        <v>5103362152.3500004</v>
      </c>
      <c r="AK132">
        <v>55673041.662</v>
      </c>
    </row>
    <row r="133" spans="1:37" x14ac:dyDescent="0.35">
      <c r="A133" t="s">
        <v>1503</v>
      </c>
      <c r="B133">
        <v>3.55</v>
      </c>
      <c r="C133" t="s">
        <v>1449</v>
      </c>
      <c r="D133" t="s">
        <v>1504</v>
      </c>
      <c r="E133" t="s">
        <v>1505</v>
      </c>
      <c r="F133">
        <v>0.17199999999999999</v>
      </c>
      <c r="G133" t="s">
        <v>1506</v>
      </c>
      <c r="H133">
        <v>10.1</v>
      </c>
      <c r="I133">
        <v>0</v>
      </c>
      <c r="J133" t="s">
        <v>1507</v>
      </c>
      <c r="K133" t="s">
        <v>1454</v>
      </c>
      <c r="L133" t="s">
        <v>1508</v>
      </c>
      <c r="M133" t="s">
        <v>1509</v>
      </c>
      <c r="N133">
        <v>167.8913481582675</v>
      </c>
      <c r="O133">
        <v>169.9060443361667</v>
      </c>
      <c r="P133">
        <v>177.89162841996659</v>
      </c>
      <c r="Q133">
        <v>192.1229586935639</v>
      </c>
      <c r="R133">
        <v>200</v>
      </c>
      <c r="S133" t="s">
        <v>1510</v>
      </c>
      <c r="T133" t="s">
        <v>1511</v>
      </c>
      <c r="U133" t="s">
        <v>1512</v>
      </c>
      <c r="V133" t="s">
        <v>49</v>
      </c>
      <c r="W133">
        <v>338996155</v>
      </c>
      <c r="X133">
        <v>339500751</v>
      </c>
      <c r="Y133">
        <v>340560751</v>
      </c>
      <c r="Z133">
        <v>341660751</v>
      </c>
      <c r="AA133">
        <v>343660751</v>
      </c>
      <c r="AB133">
        <v>9789297695.1480713</v>
      </c>
      <c r="AC133">
        <v>58307338.659999996</v>
      </c>
      <c r="AD133">
        <v>9921515500.0696774</v>
      </c>
      <c r="AE133">
        <v>58394129.171999998</v>
      </c>
      <c r="AF133">
        <v>10420259930.266479</v>
      </c>
      <c r="AG133">
        <v>58576449.171999998</v>
      </c>
      <c r="AH133">
        <v>11290230388.47262</v>
      </c>
      <c r="AI133">
        <v>58765649.171999998</v>
      </c>
      <c r="AJ133">
        <v>11821929834.4</v>
      </c>
      <c r="AK133">
        <v>59109649.171999998</v>
      </c>
    </row>
    <row r="134" spans="1:37" x14ac:dyDescent="0.35">
      <c r="A134" t="s">
        <v>1513</v>
      </c>
      <c r="B134">
        <v>4.4400000000000004</v>
      </c>
      <c r="C134" t="s">
        <v>231</v>
      </c>
      <c r="D134" t="s">
        <v>1514</v>
      </c>
      <c r="E134" t="s">
        <v>1515</v>
      </c>
      <c r="F134">
        <v>0.191</v>
      </c>
      <c r="G134" t="s">
        <v>1516</v>
      </c>
      <c r="H134">
        <v>0.2</v>
      </c>
      <c r="I134">
        <v>0.01</v>
      </c>
      <c r="J134" t="s">
        <v>1517</v>
      </c>
      <c r="K134" t="s">
        <v>1518</v>
      </c>
      <c r="L134" t="s">
        <v>1519</v>
      </c>
      <c r="M134" t="s">
        <v>1520</v>
      </c>
      <c r="N134">
        <v>725.9551939635088</v>
      </c>
      <c r="O134">
        <v>734.66665629107092</v>
      </c>
      <c r="P134">
        <v>769.19598913675122</v>
      </c>
      <c r="Q134">
        <v>830.73166826769136</v>
      </c>
      <c r="R134">
        <v>864.79166666666663</v>
      </c>
      <c r="S134" t="s">
        <v>1521</v>
      </c>
      <c r="T134" t="s">
        <v>1522</v>
      </c>
      <c r="U134" t="s">
        <v>1523</v>
      </c>
      <c r="V134" t="s">
        <v>94</v>
      </c>
      <c r="W134">
        <v>265472419.80000001</v>
      </c>
      <c r="X134">
        <v>266439117.80000001</v>
      </c>
      <c r="Y134">
        <v>267499117.80000001</v>
      </c>
      <c r="Z134">
        <v>268599117.80000001</v>
      </c>
      <c r="AA134">
        <v>270179117.80000001</v>
      </c>
      <c r="AB134">
        <v>36809726663.503357</v>
      </c>
      <c r="AC134">
        <v>50705232.1818</v>
      </c>
      <c r="AD134">
        <v>37387091733.840332</v>
      </c>
      <c r="AE134">
        <v>50889871.499799997</v>
      </c>
      <c r="AF134">
        <v>39300016465.291458</v>
      </c>
      <c r="AG134">
        <v>51092331.499799997</v>
      </c>
      <c r="AH134">
        <v>42618554506.017807</v>
      </c>
      <c r="AI134">
        <v>51302431.499799997</v>
      </c>
      <c r="AJ134">
        <v>44626892069.931213</v>
      </c>
      <c r="AK134">
        <v>51604211.499799997</v>
      </c>
    </row>
    <row r="135" spans="1:37" x14ac:dyDescent="0.35">
      <c r="A135" t="s">
        <v>1524</v>
      </c>
      <c r="B135">
        <v>6.19</v>
      </c>
      <c r="C135" t="s">
        <v>231</v>
      </c>
      <c r="D135" t="s">
        <v>1525</v>
      </c>
      <c r="E135" t="s">
        <v>1526</v>
      </c>
      <c r="F135">
        <v>0.191</v>
      </c>
      <c r="G135" t="s">
        <v>1527</v>
      </c>
      <c r="H135">
        <v>0.25</v>
      </c>
      <c r="I135">
        <v>0.12</v>
      </c>
      <c r="J135" t="s">
        <v>1528</v>
      </c>
      <c r="K135" t="s">
        <v>1529</v>
      </c>
      <c r="L135" t="s">
        <v>1530</v>
      </c>
      <c r="M135" t="s">
        <v>1531</v>
      </c>
      <c r="N135">
        <v>725.9551939635088</v>
      </c>
      <c r="O135">
        <v>734.66665629107092</v>
      </c>
      <c r="P135">
        <v>769.19598913675122</v>
      </c>
      <c r="Q135">
        <v>830.73166826769136</v>
      </c>
      <c r="R135">
        <v>864.79166666666663</v>
      </c>
      <c r="S135" t="s">
        <v>1532</v>
      </c>
      <c r="T135" t="s">
        <v>1533</v>
      </c>
      <c r="U135" t="s">
        <v>1534</v>
      </c>
      <c r="V135" t="s">
        <v>94</v>
      </c>
      <c r="W135">
        <v>265472419.80000001</v>
      </c>
      <c r="X135">
        <v>266439117.80000001</v>
      </c>
      <c r="Y135">
        <v>267499117.80000001</v>
      </c>
      <c r="Z135">
        <v>268599117.80000001</v>
      </c>
      <c r="AA135">
        <v>270179117.80000001</v>
      </c>
      <c r="AB135">
        <v>36809726663.503357</v>
      </c>
      <c r="AC135">
        <v>50705232.1818</v>
      </c>
      <c r="AD135">
        <v>37387091733.840332</v>
      </c>
      <c r="AE135">
        <v>50889871.499799997</v>
      </c>
      <c r="AF135">
        <v>39300016465.291458</v>
      </c>
      <c r="AG135">
        <v>51092331.499799997</v>
      </c>
      <c r="AH135">
        <v>42618554506.017807</v>
      </c>
      <c r="AI135">
        <v>51302431.499799997</v>
      </c>
      <c r="AJ135">
        <v>44626892069.931213</v>
      </c>
      <c r="AK135">
        <v>51604211.499799997</v>
      </c>
    </row>
    <row r="136" spans="1:37" x14ac:dyDescent="0.35">
      <c r="A136" t="s">
        <v>1535</v>
      </c>
      <c r="B136">
        <v>13.6</v>
      </c>
      <c r="C136" t="s">
        <v>231</v>
      </c>
      <c r="D136" t="s">
        <v>1536</v>
      </c>
      <c r="E136" t="s">
        <v>1537</v>
      </c>
      <c r="F136">
        <v>0.191</v>
      </c>
      <c r="G136" t="s">
        <v>1538</v>
      </c>
      <c r="H136">
        <v>20.25</v>
      </c>
      <c r="J136" t="s">
        <v>1539</v>
      </c>
      <c r="K136" t="s">
        <v>1540</v>
      </c>
      <c r="L136" t="s">
        <v>1541</v>
      </c>
      <c r="M136" t="s">
        <v>1542</v>
      </c>
      <c r="N136">
        <v>725.9551939635088</v>
      </c>
      <c r="O136">
        <v>734.66665629107092</v>
      </c>
      <c r="P136">
        <v>769.19598913675122</v>
      </c>
      <c r="Q136">
        <v>830.73166826769136</v>
      </c>
      <c r="R136">
        <v>864.79166666666663</v>
      </c>
      <c r="S136" t="s">
        <v>1543</v>
      </c>
      <c r="T136" t="s">
        <v>1544</v>
      </c>
      <c r="U136" t="s">
        <v>1545</v>
      </c>
      <c r="V136" t="s">
        <v>94</v>
      </c>
      <c r="W136">
        <v>265472419.80000001</v>
      </c>
      <c r="X136">
        <v>266439117.80000001</v>
      </c>
      <c r="Y136">
        <v>267499117.80000001</v>
      </c>
      <c r="Z136">
        <v>268599117.80000001</v>
      </c>
      <c r="AA136">
        <v>270179117.80000001</v>
      </c>
      <c r="AB136">
        <v>36809726663.503357</v>
      </c>
      <c r="AC136">
        <v>50705232.1818</v>
      </c>
      <c r="AD136">
        <v>37387091733.840332</v>
      </c>
      <c r="AE136">
        <v>50889871.499799997</v>
      </c>
      <c r="AF136">
        <v>39300016465.291458</v>
      </c>
      <c r="AG136">
        <v>51092331.499799997</v>
      </c>
      <c r="AH136">
        <v>42618554506.017807</v>
      </c>
      <c r="AI136">
        <v>51302431.499799997</v>
      </c>
      <c r="AJ136">
        <v>44626892069.931213</v>
      </c>
      <c r="AK136">
        <v>51604211.499799997</v>
      </c>
    </row>
    <row r="137" spans="1:37" x14ac:dyDescent="0.35">
      <c r="A137" t="s">
        <v>1546</v>
      </c>
      <c r="B137">
        <v>23.72</v>
      </c>
      <c r="C137" t="s">
        <v>231</v>
      </c>
      <c r="D137" t="s">
        <v>1547</v>
      </c>
      <c r="E137" t="s">
        <v>1548</v>
      </c>
      <c r="F137">
        <v>0.191</v>
      </c>
      <c r="G137" t="s">
        <v>1549</v>
      </c>
      <c r="H137">
        <v>30.12</v>
      </c>
      <c r="J137" t="s">
        <v>1550</v>
      </c>
      <c r="K137" t="s">
        <v>1551</v>
      </c>
      <c r="L137" t="s">
        <v>1552</v>
      </c>
      <c r="M137" t="s">
        <v>1553</v>
      </c>
      <c r="N137">
        <v>725.9551939635088</v>
      </c>
      <c r="O137">
        <v>734.66665629107092</v>
      </c>
      <c r="P137">
        <v>769.19598913675122</v>
      </c>
      <c r="Q137">
        <v>830.73166826769136</v>
      </c>
      <c r="R137">
        <v>864.79166666666663</v>
      </c>
      <c r="S137" t="s">
        <v>1554</v>
      </c>
      <c r="T137" t="s">
        <v>1555</v>
      </c>
      <c r="U137" t="s">
        <v>1556</v>
      </c>
      <c r="V137" t="s">
        <v>94</v>
      </c>
      <c r="W137">
        <v>265472419.80000001</v>
      </c>
      <c r="X137">
        <v>266439117.80000001</v>
      </c>
      <c r="Y137">
        <v>267499117.80000001</v>
      </c>
      <c r="Z137">
        <v>268599117.80000001</v>
      </c>
      <c r="AA137">
        <v>270179117.80000001</v>
      </c>
      <c r="AB137">
        <v>36809726663.503357</v>
      </c>
      <c r="AC137">
        <v>50705232.1818</v>
      </c>
      <c r="AD137">
        <v>37387091733.840332</v>
      </c>
      <c r="AE137">
        <v>50889871.499799997</v>
      </c>
      <c r="AF137">
        <v>39300016465.291458</v>
      </c>
      <c r="AG137">
        <v>51092331.499799997</v>
      </c>
      <c r="AH137">
        <v>42618554506.017807</v>
      </c>
      <c r="AI137">
        <v>51302431.499799997</v>
      </c>
      <c r="AJ137">
        <v>44626892069.931213</v>
      </c>
      <c r="AK137">
        <v>51604211.499799997</v>
      </c>
    </row>
    <row r="138" spans="1:37" x14ac:dyDescent="0.35">
      <c r="A138" t="s">
        <v>1557</v>
      </c>
      <c r="B138">
        <v>40.340000000000003</v>
      </c>
      <c r="C138" t="s">
        <v>1558</v>
      </c>
      <c r="D138" t="s">
        <v>1559</v>
      </c>
      <c r="E138" t="s">
        <v>1560</v>
      </c>
      <c r="F138">
        <v>0.03</v>
      </c>
      <c r="G138" t="s">
        <v>1561</v>
      </c>
      <c r="H138">
        <v>0.3</v>
      </c>
      <c r="I138">
        <v>0.34</v>
      </c>
      <c r="J138" t="s">
        <v>1562</v>
      </c>
      <c r="K138" t="s">
        <v>1563</v>
      </c>
      <c r="L138" t="s">
        <v>1564</v>
      </c>
      <c r="M138" t="s">
        <v>1565</v>
      </c>
      <c r="N138">
        <v>102.13390346294609</v>
      </c>
      <c r="O138">
        <v>103.3595103045015</v>
      </c>
      <c r="P138">
        <v>108.21740728881301</v>
      </c>
      <c r="Q138">
        <v>116.8747998719181</v>
      </c>
      <c r="R138">
        <v>121.6666666666667</v>
      </c>
      <c r="S138" t="s">
        <v>1566</v>
      </c>
      <c r="T138" t="s">
        <v>1567</v>
      </c>
      <c r="U138" t="s">
        <v>1568</v>
      </c>
      <c r="V138" t="s">
        <v>49</v>
      </c>
      <c r="W138">
        <v>338996155</v>
      </c>
      <c r="X138">
        <v>339500751</v>
      </c>
      <c r="Y138">
        <v>340560751</v>
      </c>
      <c r="Z138">
        <v>341660751</v>
      </c>
      <c r="AA138">
        <v>343660751</v>
      </c>
      <c r="AB138">
        <v>1038690017.072397</v>
      </c>
      <c r="AC138">
        <v>10169884.65</v>
      </c>
      <c r="AD138">
        <v>1052718941.141114</v>
      </c>
      <c r="AE138">
        <v>10185022.529999999</v>
      </c>
      <c r="AF138">
        <v>1105638044.9265311</v>
      </c>
      <c r="AG138">
        <v>10216822.529999999</v>
      </c>
      <c r="AH138">
        <v>1197945956.9164269</v>
      </c>
      <c r="AI138">
        <v>10249822.529999999</v>
      </c>
      <c r="AJ138">
        <v>1254361741.1500001</v>
      </c>
      <c r="AK138">
        <v>10309822.529999999</v>
      </c>
    </row>
    <row r="139" spans="1:37" x14ac:dyDescent="0.35">
      <c r="A139" t="s">
        <v>1569</v>
      </c>
      <c r="B139">
        <v>1.34</v>
      </c>
      <c r="C139" t="s">
        <v>1414</v>
      </c>
      <c r="D139" t="s">
        <v>1570</v>
      </c>
      <c r="E139" t="s">
        <v>1571</v>
      </c>
      <c r="F139">
        <v>0.2</v>
      </c>
      <c r="G139" t="s">
        <v>1572</v>
      </c>
      <c r="H139">
        <v>0.25</v>
      </c>
      <c r="I139">
        <v>0</v>
      </c>
      <c r="J139" t="s">
        <v>1573</v>
      </c>
      <c r="K139" t="s">
        <v>1574</v>
      </c>
      <c r="L139" t="s">
        <v>1575</v>
      </c>
      <c r="M139" t="s">
        <v>1576</v>
      </c>
      <c r="N139">
        <v>183.6311620481051</v>
      </c>
      <c r="O139">
        <v>185.8347359926824</v>
      </c>
      <c r="P139">
        <v>194.56896858433839</v>
      </c>
      <c r="Q139">
        <v>210.13448607108549</v>
      </c>
      <c r="R139">
        <v>218.75</v>
      </c>
      <c r="S139" t="s">
        <v>1577</v>
      </c>
      <c r="T139" t="s">
        <v>1578</v>
      </c>
      <c r="U139" t="s">
        <v>1579</v>
      </c>
      <c r="V139" t="s">
        <v>49</v>
      </c>
      <c r="W139">
        <v>338996155</v>
      </c>
      <c r="X139">
        <v>339500751</v>
      </c>
      <c r="Y139">
        <v>340560751</v>
      </c>
      <c r="Z139">
        <v>341660751</v>
      </c>
      <c r="AA139">
        <v>343660751</v>
      </c>
      <c r="AB139">
        <v>12450051574.49791</v>
      </c>
      <c r="AC139">
        <v>67799231</v>
      </c>
      <c r="AD139">
        <v>12618206486.280479</v>
      </c>
      <c r="AE139">
        <v>67900150.200000003</v>
      </c>
      <c r="AF139">
        <v>13252510812.47554</v>
      </c>
      <c r="AG139">
        <v>68112150.200000003</v>
      </c>
      <c r="AH139">
        <v>14358941264.409229</v>
      </c>
      <c r="AI139">
        <v>68332150.200000003</v>
      </c>
      <c r="AJ139">
        <v>15035157856.25</v>
      </c>
      <c r="AK139">
        <v>68732150.200000003</v>
      </c>
    </row>
    <row r="140" spans="1:37" x14ac:dyDescent="0.35">
      <c r="A140" t="s">
        <v>1580</v>
      </c>
      <c r="B140">
        <v>3.85</v>
      </c>
      <c r="C140" t="s">
        <v>1414</v>
      </c>
      <c r="D140" t="s">
        <v>1581</v>
      </c>
      <c r="E140" t="s">
        <v>1582</v>
      </c>
      <c r="F140">
        <v>0.2</v>
      </c>
      <c r="G140" t="s">
        <v>1583</v>
      </c>
      <c r="H140">
        <v>0.15</v>
      </c>
      <c r="I140">
        <v>0.01</v>
      </c>
      <c r="J140" t="s">
        <v>1584</v>
      </c>
      <c r="K140" t="s">
        <v>1585</v>
      </c>
      <c r="L140" t="s">
        <v>1586</v>
      </c>
      <c r="M140" t="s">
        <v>1587</v>
      </c>
      <c r="N140">
        <v>183.6311620481051</v>
      </c>
      <c r="O140">
        <v>185.8347359926824</v>
      </c>
      <c r="P140">
        <v>194.56896858433839</v>
      </c>
      <c r="Q140">
        <v>210.13448607108549</v>
      </c>
      <c r="R140">
        <v>218.75</v>
      </c>
      <c r="S140" t="s">
        <v>1588</v>
      </c>
      <c r="T140" t="s">
        <v>1589</v>
      </c>
      <c r="U140" t="s">
        <v>1590</v>
      </c>
      <c r="V140" t="s">
        <v>49</v>
      </c>
      <c r="W140">
        <v>338996155</v>
      </c>
      <c r="X140">
        <v>339500751</v>
      </c>
      <c r="Y140">
        <v>340560751</v>
      </c>
      <c r="Z140">
        <v>341660751</v>
      </c>
      <c r="AA140">
        <v>343660751</v>
      </c>
      <c r="AB140">
        <v>12450051574.49791</v>
      </c>
      <c r="AC140">
        <v>67799231</v>
      </c>
      <c r="AD140">
        <v>12618206486.280479</v>
      </c>
      <c r="AE140">
        <v>67900150.200000003</v>
      </c>
      <c r="AF140">
        <v>13252510812.47554</v>
      </c>
      <c r="AG140">
        <v>68112150.200000003</v>
      </c>
      <c r="AH140">
        <v>14358941264.409229</v>
      </c>
      <c r="AI140">
        <v>68332150.200000003</v>
      </c>
      <c r="AJ140">
        <v>15035157856.25</v>
      </c>
      <c r="AK140">
        <v>68732150.200000003</v>
      </c>
    </row>
    <row r="141" spans="1:37" x14ac:dyDescent="0.35">
      <c r="A141" t="s">
        <v>1591</v>
      </c>
      <c r="B141">
        <v>57.57</v>
      </c>
      <c r="C141" t="s">
        <v>372</v>
      </c>
      <c r="D141" t="s">
        <v>1592</v>
      </c>
      <c r="E141" t="s">
        <v>1593</v>
      </c>
      <c r="F141">
        <v>5.0000000000000001E-4</v>
      </c>
      <c r="G141" t="s">
        <v>1594</v>
      </c>
      <c r="H141">
        <v>3050.2</v>
      </c>
      <c r="I141">
        <v>0.01</v>
      </c>
      <c r="J141" t="s">
        <v>1595</v>
      </c>
      <c r="K141" t="s">
        <v>1596</v>
      </c>
      <c r="L141" t="s">
        <v>1597</v>
      </c>
      <c r="M141" t="s">
        <v>1598</v>
      </c>
      <c r="N141">
        <v>6885.5439810146627</v>
      </c>
      <c r="O141">
        <v>6968.1705087868386</v>
      </c>
      <c r="P141">
        <v>7295.6745226998191</v>
      </c>
      <c r="Q141">
        <v>7879.328484515805</v>
      </c>
      <c r="R141">
        <v>8202.3809523809523</v>
      </c>
      <c r="S141" t="s">
        <v>1599</v>
      </c>
      <c r="T141" t="s">
        <v>1600</v>
      </c>
      <c r="U141" t="s">
        <v>1601</v>
      </c>
      <c r="V141" t="s">
        <v>94</v>
      </c>
      <c r="W141">
        <v>265472419.80000001</v>
      </c>
      <c r="X141">
        <v>266439117.80000001</v>
      </c>
      <c r="Y141">
        <v>267499117.80000001</v>
      </c>
      <c r="Z141">
        <v>268599117.80000001</v>
      </c>
      <c r="AA141">
        <v>270179117.80000001</v>
      </c>
      <c r="AB141">
        <v>913961011.13964391</v>
      </c>
      <c r="AC141">
        <v>132736.20989999999</v>
      </c>
      <c r="AD141">
        <v>928296601.52057135</v>
      </c>
      <c r="AE141">
        <v>133219.5589</v>
      </c>
      <c r="AF141">
        <v>975793249.28906894</v>
      </c>
      <c r="AG141">
        <v>133749.5589</v>
      </c>
      <c r="AH141">
        <v>1058190339.8986779</v>
      </c>
      <c r="AI141">
        <v>134299.5589</v>
      </c>
      <c r="AJ141">
        <v>1108056024.7869051</v>
      </c>
      <c r="AK141">
        <v>135089.5589</v>
      </c>
    </row>
    <row r="142" spans="1:37" x14ac:dyDescent="0.35">
      <c r="A142" t="s">
        <v>1602</v>
      </c>
      <c r="B142">
        <v>70.790000000000006</v>
      </c>
      <c r="C142" t="s">
        <v>372</v>
      </c>
      <c r="D142" t="s">
        <v>1603</v>
      </c>
      <c r="E142" t="s">
        <v>1604</v>
      </c>
      <c r="F142">
        <v>5.0000000000000001E-4</v>
      </c>
      <c r="G142" t="s">
        <v>1605</v>
      </c>
      <c r="H142">
        <v>0.3</v>
      </c>
      <c r="I142">
        <v>0.05</v>
      </c>
      <c r="J142" t="s">
        <v>1606</v>
      </c>
      <c r="K142" t="s">
        <v>1607</v>
      </c>
      <c r="L142" t="s">
        <v>1608</v>
      </c>
      <c r="M142" t="s">
        <v>1609</v>
      </c>
      <c r="N142">
        <v>6885.5439810146627</v>
      </c>
      <c r="O142">
        <v>6968.1705087868386</v>
      </c>
      <c r="P142">
        <v>7295.6745226998191</v>
      </c>
      <c r="Q142">
        <v>7879.328484515805</v>
      </c>
      <c r="R142">
        <v>8202.3809523809523</v>
      </c>
      <c r="S142" t="s">
        <v>1610</v>
      </c>
      <c r="T142" t="s">
        <v>1611</v>
      </c>
      <c r="U142" t="s">
        <v>1612</v>
      </c>
      <c r="V142" t="s">
        <v>94</v>
      </c>
      <c r="W142">
        <v>265472419.80000001</v>
      </c>
      <c r="X142">
        <v>266439117.80000001</v>
      </c>
      <c r="Y142">
        <v>267499117.80000001</v>
      </c>
      <c r="Z142">
        <v>268599117.80000001</v>
      </c>
      <c r="AA142">
        <v>270179117.80000001</v>
      </c>
      <c r="AB142">
        <v>913961011.13964391</v>
      </c>
      <c r="AC142">
        <v>132736.20989999999</v>
      </c>
      <c r="AD142">
        <v>928296601.52057135</v>
      </c>
      <c r="AE142">
        <v>133219.5589</v>
      </c>
      <c r="AF142">
        <v>975793249.28906894</v>
      </c>
      <c r="AG142">
        <v>133749.5589</v>
      </c>
      <c r="AH142">
        <v>1058190339.8986779</v>
      </c>
      <c r="AI142">
        <v>134299.5589</v>
      </c>
      <c r="AJ142">
        <v>1108056024.7869051</v>
      </c>
      <c r="AK142">
        <v>135089.5589</v>
      </c>
    </row>
    <row r="143" spans="1:37" x14ac:dyDescent="0.35">
      <c r="A143" t="s">
        <v>1613</v>
      </c>
      <c r="B143">
        <v>2.83</v>
      </c>
      <c r="C143" t="s">
        <v>1614</v>
      </c>
      <c r="D143" t="s">
        <v>1615</v>
      </c>
      <c r="E143" t="s">
        <v>1616</v>
      </c>
      <c r="F143">
        <v>0.05</v>
      </c>
      <c r="G143" t="s">
        <v>1617</v>
      </c>
      <c r="H143">
        <v>0.15</v>
      </c>
      <c r="I143">
        <v>0.01</v>
      </c>
      <c r="J143" t="s">
        <v>1618</v>
      </c>
      <c r="K143" t="s">
        <v>1619</v>
      </c>
      <c r="L143" t="s">
        <v>1620</v>
      </c>
      <c r="M143" t="s">
        <v>1621</v>
      </c>
      <c r="N143">
        <v>67.15653926330701</v>
      </c>
      <c r="O143">
        <v>67.962417734466698</v>
      </c>
      <c r="P143">
        <v>71.156651367986626</v>
      </c>
      <c r="Q143">
        <v>76.849183477425555</v>
      </c>
      <c r="R143">
        <v>80</v>
      </c>
      <c r="S143" t="s">
        <v>1622</v>
      </c>
      <c r="T143" t="s">
        <v>427</v>
      </c>
      <c r="U143" t="s">
        <v>1623</v>
      </c>
      <c r="V143" t="s">
        <v>1017</v>
      </c>
      <c r="W143">
        <v>331357816</v>
      </c>
      <c r="X143">
        <v>331968553.60000002</v>
      </c>
      <c r="Y143">
        <v>333028553.60000002</v>
      </c>
      <c r="Z143">
        <v>334128553.60000002</v>
      </c>
      <c r="AA143">
        <v>336128553.60000002</v>
      </c>
      <c r="AB143">
        <v>1112642209.0203829</v>
      </c>
      <c r="AC143">
        <v>16567890.800000001</v>
      </c>
      <c r="AD143">
        <v>1128069275.723495</v>
      </c>
      <c r="AE143">
        <v>16598427.68</v>
      </c>
      <c r="AF143">
        <v>1184859834.205003</v>
      </c>
      <c r="AG143">
        <v>16651427.68</v>
      </c>
      <c r="AH143">
        <v>1283875326.032661</v>
      </c>
      <c r="AI143">
        <v>16706427.68</v>
      </c>
      <c r="AJ143">
        <v>1344514214.4000001</v>
      </c>
      <c r="AK143">
        <v>16806427.68</v>
      </c>
    </row>
    <row r="144" spans="1:37" x14ac:dyDescent="0.35">
      <c r="A144" t="s">
        <v>1624</v>
      </c>
      <c r="B144">
        <v>5.05</v>
      </c>
      <c r="C144" t="s">
        <v>1368</v>
      </c>
      <c r="D144" t="s">
        <v>1625</v>
      </c>
      <c r="E144" t="s">
        <v>1626</v>
      </c>
      <c r="F144">
        <v>0.2</v>
      </c>
      <c r="G144" t="s">
        <v>1627</v>
      </c>
      <c r="H144">
        <v>0.2</v>
      </c>
      <c r="I144">
        <v>0</v>
      </c>
      <c r="J144" t="s">
        <v>1628</v>
      </c>
      <c r="K144" t="s">
        <v>1629</v>
      </c>
      <c r="L144" t="s">
        <v>1630</v>
      </c>
      <c r="M144" t="s">
        <v>1631</v>
      </c>
      <c r="N144">
        <v>260.23158964531473</v>
      </c>
      <c r="O144">
        <v>263.35436872105839</v>
      </c>
      <c r="P144">
        <v>275.73202405094821</v>
      </c>
      <c r="Q144">
        <v>297.79058597502399</v>
      </c>
      <c r="R144">
        <v>310</v>
      </c>
      <c r="S144" t="s">
        <v>1632</v>
      </c>
      <c r="T144" t="s">
        <v>1633</v>
      </c>
      <c r="U144" t="s">
        <v>1634</v>
      </c>
      <c r="V144" t="s">
        <v>1017</v>
      </c>
      <c r="W144">
        <v>331357816</v>
      </c>
      <c r="X144">
        <v>331968553.60000002</v>
      </c>
      <c r="Y144">
        <v>333028553.60000002</v>
      </c>
      <c r="Z144">
        <v>334128553.60000002</v>
      </c>
      <c r="AA144">
        <v>336128553.60000002</v>
      </c>
      <c r="AB144">
        <v>17245954239.815941</v>
      </c>
      <c r="AC144">
        <v>66271563.200000003</v>
      </c>
      <c r="AD144">
        <v>17485073773.714169</v>
      </c>
      <c r="AE144">
        <v>66393710.720000014</v>
      </c>
      <c r="AF144">
        <v>18365327430.17754</v>
      </c>
      <c r="AG144">
        <v>66605710.720000014</v>
      </c>
      <c r="AH144">
        <v>19900067553.506248</v>
      </c>
      <c r="AI144">
        <v>66825710.720000014</v>
      </c>
      <c r="AJ144">
        <v>20839970323.200001</v>
      </c>
      <c r="AK144">
        <v>67225710.720000014</v>
      </c>
    </row>
    <row r="145" spans="1:37" x14ac:dyDescent="0.35">
      <c r="A145" t="s">
        <v>1635</v>
      </c>
      <c r="B145">
        <v>2.42</v>
      </c>
      <c r="C145" t="s">
        <v>1414</v>
      </c>
      <c r="D145" t="s">
        <v>1636</v>
      </c>
      <c r="E145" t="s">
        <v>1637</v>
      </c>
      <c r="F145">
        <v>0.2</v>
      </c>
      <c r="G145" t="s">
        <v>1638</v>
      </c>
      <c r="H145">
        <v>0.25</v>
      </c>
      <c r="I145">
        <v>0</v>
      </c>
      <c r="J145" t="s">
        <v>1639</v>
      </c>
      <c r="K145" t="s">
        <v>1640</v>
      </c>
      <c r="L145" t="s">
        <v>1641</v>
      </c>
      <c r="M145" t="s">
        <v>1642</v>
      </c>
      <c r="N145">
        <v>183.6311620481051</v>
      </c>
      <c r="O145">
        <v>185.8347359926824</v>
      </c>
      <c r="P145">
        <v>194.56896858433839</v>
      </c>
      <c r="Q145">
        <v>210.13448607108549</v>
      </c>
      <c r="R145">
        <v>218.75</v>
      </c>
      <c r="S145" t="s">
        <v>1643</v>
      </c>
      <c r="T145" t="s">
        <v>1644</v>
      </c>
      <c r="U145" t="s">
        <v>1645</v>
      </c>
      <c r="V145" t="s">
        <v>49</v>
      </c>
      <c r="W145">
        <v>338996155</v>
      </c>
      <c r="X145">
        <v>339500751</v>
      </c>
      <c r="Y145">
        <v>340560751</v>
      </c>
      <c r="Z145">
        <v>341660751</v>
      </c>
      <c r="AA145">
        <v>343660751</v>
      </c>
      <c r="AB145">
        <v>12450051574.49791</v>
      </c>
      <c r="AC145">
        <v>67799231</v>
      </c>
      <c r="AD145">
        <v>12618206486.280479</v>
      </c>
      <c r="AE145">
        <v>67900150.200000003</v>
      </c>
      <c r="AF145">
        <v>13252510812.47554</v>
      </c>
      <c r="AG145">
        <v>68112150.200000003</v>
      </c>
      <c r="AH145">
        <v>14358941264.409229</v>
      </c>
      <c r="AI145">
        <v>68332150.200000003</v>
      </c>
      <c r="AJ145">
        <v>15035157856.25</v>
      </c>
      <c r="AK145">
        <v>68732150.200000003</v>
      </c>
    </row>
    <row r="146" spans="1:37" x14ac:dyDescent="0.35">
      <c r="A146" t="s">
        <v>1646</v>
      </c>
      <c r="B146">
        <v>35.33</v>
      </c>
      <c r="C146" t="s">
        <v>38</v>
      </c>
      <c r="D146" t="s">
        <v>1647</v>
      </c>
      <c r="E146" t="s">
        <v>1648</v>
      </c>
      <c r="F146">
        <v>1.0000000000000001E-5</v>
      </c>
      <c r="G146" t="s">
        <v>1649</v>
      </c>
      <c r="H146">
        <v>0.3</v>
      </c>
      <c r="I146">
        <v>0.25</v>
      </c>
      <c r="J146" t="s">
        <v>1650</v>
      </c>
      <c r="K146" t="s">
        <v>1651</v>
      </c>
      <c r="L146" t="s">
        <v>1652</v>
      </c>
      <c r="M146" t="s">
        <v>1653</v>
      </c>
      <c r="N146">
        <v>105785.82010430199</v>
      </c>
      <c r="O146">
        <v>107055.2499455536</v>
      </c>
      <c r="P146">
        <v>112086.8466929946</v>
      </c>
      <c r="Q146">
        <v>121053.79442843419</v>
      </c>
      <c r="R146">
        <v>126017</v>
      </c>
      <c r="S146" t="s">
        <v>1654</v>
      </c>
      <c r="T146" t="s">
        <v>1655</v>
      </c>
      <c r="U146" t="s">
        <v>1656</v>
      </c>
      <c r="V146" t="s">
        <v>49</v>
      </c>
      <c r="W146">
        <v>338996155</v>
      </c>
      <c r="X146">
        <v>339500751</v>
      </c>
      <c r="Y146">
        <v>340560751</v>
      </c>
      <c r="Z146">
        <v>341660751</v>
      </c>
      <c r="AA146">
        <v>343660751</v>
      </c>
      <c r="AB146">
        <v>358609862.68880081</v>
      </c>
      <c r="AC146">
        <v>3389.96155</v>
      </c>
      <c r="AD146">
        <v>363453377.55008161</v>
      </c>
      <c r="AE146">
        <v>3395.0075099999999</v>
      </c>
      <c r="AF146">
        <v>381723806.86988121</v>
      </c>
      <c r="AG146">
        <v>3405.6075099999998</v>
      </c>
      <c r="AH146">
        <v>413593303.15818453</v>
      </c>
      <c r="AI146">
        <v>3416.6075099999998</v>
      </c>
      <c r="AJ146">
        <v>433070968.58767003</v>
      </c>
      <c r="AK146">
        <v>3436.6075099999998</v>
      </c>
    </row>
    <row r="147" spans="1:37" x14ac:dyDescent="0.35">
      <c r="A147" t="s">
        <v>1657</v>
      </c>
      <c r="B147">
        <v>23.57</v>
      </c>
      <c r="C147" t="s">
        <v>487</v>
      </c>
      <c r="D147" t="s">
        <v>1658</v>
      </c>
      <c r="E147" t="s">
        <v>1659</v>
      </c>
      <c r="F147">
        <v>2.8000000000000001E-2</v>
      </c>
      <c r="G147" t="s">
        <v>1660</v>
      </c>
      <c r="H147">
        <v>6020.3</v>
      </c>
      <c r="I147">
        <v>23.15</v>
      </c>
      <c r="J147" t="s">
        <v>1661</v>
      </c>
      <c r="K147" t="s">
        <v>1662</v>
      </c>
      <c r="L147" t="s">
        <v>1663</v>
      </c>
      <c r="M147" t="s">
        <v>1664</v>
      </c>
      <c r="N147">
        <v>4761.448013576749</v>
      </c>
      <c r="O147">
        <v>4818.5853897396701</v>
      </c>
      <c r="P147">
        <v>5045.0589030574338</v>
      </c>
      <c r="Q147">
        <v>5448.663615302029</v>
      </c>
      <c r="R147">
        <v>5672.0588235294117</v>
      </c>
      <c r="S147" t="s">
        <v>1665</v>
      </c>
      <c r="T147" t="s">
        <v>1666</v>
      </c>
      <c r="U147" t="s">
        <v>1667</v>
      </c>
      <c r="V147" t="s">
        <v>94</v>
      </c>
      <c r="W147">
        <v>265472419.80000001</v>
      </c>
      <c r="X147">
        <v>266439117.80000001</v>
      </c>
      <c r="Y147">
        <v>267499117.80000001</v>
      </c>
      <c r="Z147">
        <v>268599117.80000001</v>
      </c>
      <c r="AA147">
        <v>270179117.80000001</v>
      </c>
      <c r="AB147">
        <v>35392927525.651443</v>
      </c>
      <c r="AC147">
        <v>7433227.7544000009</v>
      </c>
      <c r="AD147">
        <v>35948069928.013786</v>
      </c>
      <c r="AE147">
        <v>7460295.2984000007</v>
      </c>
      <c r="AF147">
        <v>37787366562.873177</v>
      </c>
      <c r="AG147">
        <v>7489975.2984000007</v>
      </c>
      <c r="AH147">
        <v>40978174727.254341</v>
      </c>
      <c r="AI147">
        <v>7520775.2984000007</v>
      </c>
      <c r="AJ147">
        <v>42909211773.424713</v>
      </c>
      <c r="AK147">
        <v>7565015.2984000007</v>
      </c>
    </row>
    <row r="148" spans="1:37" x14ac:dyDescent="0.35">
      <c r="A148" t="s">
        <v>1668</v>
      </c>
      <c r="B148">
        <v>29.83</v>
      </c>
      <c r="C148" t="s">
        <v>231</v>
      </c>
      <c r="D148" t="s">
        <v>1669</v>
      </c>
      <c r="E148" t="s">
        <v>1670</v>
      </c>
      <c r="F148">
        <v>0.191</v>
      </c>
      <c r="G148" t="s">
        <v>1671</v>
      </c>
      <c r="H148">
        <v>40.25</v>
      </c>
      <c r="I148">
        <v>0.01</v>
      </c>
      <c r="J148" t="s">
        <v>1672</v>
      </c>
      <c r="K148" t="s">
        <v>1673</v>
      </c>
      <c r="L148" t="s">
        <v>1674</v>
      </c>
      <c r="M148" t="s">
        <v>1675</v>
      </c>
      <c r="N148">
        <v>725.9551939635088</v>
      </c>
      <c r="O148">
        <v>734.66665629107092</v>
      </c>
      <c r="P148">
        <v>769.19598913675122</v>
      </c>
      <c r="Q148">
        <v>830.73166826769136</v>
      </c>
      <c r="R148">
        <v>864.79166666666663</v>
      </c>
      <c r="S148" t="s">
        <v>1676</v>
      </c>
      <c r="T148" t="s">
        <v>1677</v>
      </c>
      <c r="U148" t="s">
        <v>1678</v>
      </c>
      <c r="V148" t="s">
        <v>94</v>
      </c>
      <c r="W148">
        <v>265472419.80000001</v>
      </c>
      <c r="X148">
        <v>266439117.80000001</v>
      </c>
      <c r="Y148">
        <v>267499117.80000001</v>
      </c>
      <c r="Z148">
        <v>268599117.80000001</v>
      </c>
      <c r="AA148">
        <v>270179117.80000001</v>
      </c>
      <c r="AB148">
        <v>36809726663.503357</v>
      </c>
      <c r="AC148">
        <v>50705232.1818</v>
      </c>
      <c r="AD148">
        <v>37387091733.840332</v>
      </c>
      <c r="AE148">
        <v>50889871.499799997</v>
      </c>
      <c r="AF148">
        <v>39300016465.291458</v>
      </c>
      <c r="AG148">
        <v>51092331.499799997</v>
      </c>
      <c r="AH148">
        <v>42618554506.017807</v>
      </c>
      <c r="AI148">
        <v>51302431.499799997</v>
      </c>
      <c r="AJ148">
        <v>44626892069.931213</v>
      </c>
      <c r="AK148">
        <v>51604211.499799997</v>
      </c>
    </row>
    <row r="149" spans="1:37" x14ac:dyDescent="0.35">
      <c r="A149" t="s">
        <v>1679</v>
      </c>
      <c r="B149">
        <v>32.24</v>
      </c>
      <c r="C149" t="s">
        <v>231</v>
      </c>
      <c r="D149" t="s">
        <v>1680</v>
      </c>
      <c r="E149" t="s">
        <v>1681</v>
      </c>
      <c r="F149">
        <v>0.191</v>
      </c>
      <c r="G149" t="s">
        <v>1682</v>
      </c>
      <c r="H149">
        <v>0.25</v>
      </c>
      <c r="I149">
        <v>0.01</v>
      </c>
      <c r="J149" t="s">
        <v>1683</v>
      </c>
      <c r="K149" t="s">
        <v>1684</v>
      </c>
      <c r="L149" t="s">
        <v>1685</v>
      </c>
      <c r="M149" t="s">
        <v>1686</v>
      </c>
      <c r="N149">
        <v>725.9551939635088</v>
      </c>
      <c r="O149">
        <v>734.66665629107092</v>
      </c>
      <c r="P149">
        <v>769.19598913675122</v>
      </c>
      <c r="Q149">
        <v>830.73166826769136</v>
      </c>
      <c r="R149">
        <v>864.79166666666663</v>
      </c>
      <c r="S149" t="s">
        <v>1687</v>
      </c>
      <c r="T149" t="s">
        <v>1688</v>
      </c>
      <c r="U149" t="s">
        <v>1689</v>
      </c>
      <c r="V149" t="s">
        <v>94</v>
      </c>
      <c r="W149">
        <v>265472419.80000001</v>
      </c>
      <c r="X149">
        <v>266439117.80000001</v>
      </c>
      <c r="Y149">
        <v>267499117.80000001</v>
      </c>
      <c r="Z149">
        <v>268599117.80000001</v>
      </c>
      <c r="AA149">
        <v>270179117.80000001</v>
      </c>
      <c r="AB149">
        <v>36809726663.503357</v>
      </c>
      <c r="AC149">
        <v>50705232.1818</v>
      </c>
      <c r="AD149">
        <v>37387091733.840332</v>
      </c>
      <c r="AE149">
        <v>50889871.499799997</v>
      </c>
      <c r="AF149">
        <v>39300016465.291458</v>
      </c>
      <c r="AG149">
        <v>51092331.499799997</v>
      </c>
      <c r="AH149">
        <v>42618554506.017807</v>
      </c>
      <c r="AI149">
        <v>51302431.499799997</v>
      </c>
      <c r="AJ149">
        <v>44626892069.931213</v>
      </c>
      <c r="AK149">
        <v>51604211.499799997</v>
      </c>
    </row>
    <row r="150" spans="1:37" x14ac:dyDescent="0.35">
      <c r="A150" t="s">
        <v>1690</v>
      </c>
      <c r="B150">
        <v>49.99</v>
      </c>
      <c r="C150" t="s">
        <v>231</v>
      </c>
      <c r="D150" t="s">
        <v>1691</v>
      </c>
      <c r="E150" t="s">
        <v>1692</v>
      </c>
      <c r="F150">
        <v>0.191</v>
      </c>
      <c r="G150" t="s">
        <v>1693</v>
      </c>
      <c r="H150">
        <v>0.4</v>
      </c>
      <c r="I150">
        <v>7.0000000000000007E-2</v>
      </c>
      <c r="J150" t="s">
        <v>1694</v>
      </c>
      <c r="K150" t="s">
        <v>1695</v>
      </c>
      <c r="L150" t="s">
        <v>1696</v>
      </c>
      <c r="M150" t="s">
        <v>1697</v>
      </c>
      <c r="N150">
        <v>725.9551939635088</v>
      </c>
      <c r="O150">
        <v>734.66665629107092</v>
      </c>
      <c r="P150">
        <v>769.19598913675122</v>
      </c>
      <c r="Q150">
        <v>830.73166826769136</v>
      </c>
      <c r="R150">
        <v>864.79166666666663</v>
      </c>
      <c r="S150" t="s">
        <v>1698</v>
      </c>
      <c r="T150" t="s">
        <v>1699</v>
      </c>
      <c r="U150" t="s">
        <v>1700</v>
      </c>
      <c r="V150" t="s">
        <v>94</v>
      </c>
      <c r="W150">
        <v>265472419.80000001</v>
      </c>
      <c r="X150">
        <v>266439117.80000001</v>
      </c>
      <c r="Y150">
        <v>267499117.80000001</v>
      </c>
      <c r="Z150">
        <v>268599117.80000001</v>
      </c>
      <c r="AA150">
        <v>270179117.80000001</v>
      </c>
      <c r="AB150">
        <v>36809726663.503357</v>
      </c>
      <c r="AC150">
        <v>50705232.1818</v>
      </c>
      <c r="AD150">
        <v>37387091733.840332</v>
      </c>
      <c r="AE150">
        <v>50889871.499799997</v>
      </c>
      <c r="AF150">
        <v>39300016465.291458</v>
      </c>
      <c r="AG150">
        <v>51092331.499799997</v>
      </c>
      <c r="AH150">
        <v>42618554506.017807</v>
      </c>
      <c r="AI150">
        <v>51302431.499799997</v>
      </c>
      <c r="AJ150">
        <v>44626892069.931213</v>
      </c>
      <c r="AK150">
        <v>51604211.499799997</v>
      </c>
    </row>
    <row r="151" spans="1:37" x14ac:dyDescent="0.35">
      <c r="A151" t="s">
        <v>1701</v>
      </c>
      <c r="B151">
        <v>1.83</v>
      </c>
      <c r="C151" t="s">
        <v>1414</v>
      </c>
      <c r="D151" t="s">
        <v>1702</v>
      </c>
      <c r="E151" t="s">
        <v>1703</v>
      </c>
      <c r="F151">
        <v>0.2</v>
      </c>
      <c r="G151" t="s">
        <v>1704</v>
      </c>
      <c r="H151">
        <v>0.15</v>
      </c>
      <c r="I151">
        <v>0</v>
      </c>
      <c r="J151" t="s">
        <v>1705</v>
      </c>
      <c r="K151" t="s">
        <v>1706</v>
      </c>
      <c r="L151" t="s">
        <v>1707</v>
      </c>
      <c r="M151" t="s">
        <v>1708</v>
      </c>
      <c r="N151">
        <v>183.6311620481051</v>
      </c>
      <c r="O151">
        <v>185.8347359926824</v>
      </c>
      <c r="P151">
        <v>194.56896858433839</v>
      </c>
      <c r="Q151">
        <v>210.13448607108549</v>
      </c>
      <c r="R151">
        <v>218.75</v>
      </c>
      <c r="S151" t="s">
        <v>1709</v>
      </c>
      <c r="T151" t="s">
        <v>1710</v>
      </c>
      <c r="U151" t="s">
        <v>1711</v>
      </c>
      <c r="V151" t="s">
        <v>49</v>
      </c>
      <c r="W151">
        <v>338996155</v>
      </c>
      <c r="X151">
        <v>339500751</v>
      </c>
      <c r="Y151">
        <v>340560751</v>
      </c>
      <c r="Z151">
        <v>341660751</v>
      </c>
      <c r="AA151">
        <v>343660751</v>
      </c>
      <c r="AB151">
        <v>12450051574.49791</v>
      </c>
      <c r="AC151">
        <v>67799231</v>
      </c>
      <c r="AD151">
        <v>12618206486.280479</v>
      </c>
      <c r="AE151">
        <v>67900150.200000003</v>
      </c>
      <c r="AF151">
        <v>13252510812.47554</v>
      </c>
      <c r="AG151">
        <v>68112150.200000003</v>
      </c>
      <c r="AH151">
        <v>14358941264.409229</v>
      </c>
      <c r="AI151">
        <v>68332150.200000003</v>
      </c>
      <c r="AJ151">
        <v>15035157856.25</v>
      </c>
      <c r="AK151">
        <v>68732150.200000003</v>
      </c>
    </row>
    <row r="152" spans="1:37" x14ac:dyDescent="0.35">
      <c r="A152" t="s">
        <v>1712</v>
      </c>
      <c r="B152">
        <v>0.99</v>
      </c>
      <c r="C152" t="s">
        <v>1614</v>
      </c>
      <c r="D152" t="s">
        <v>1713</v>
      </c>
      <c r="E152" t="s">
        <v>1714</v>
      </c>
      <c r="F152">
        <v>0.05</v>
      </c>
      <c r="G152" t="s">
        <v>1715</v>
      </c>
      <c r="H152">
        <v>0.1</v>
      </c>
      <c r="I152">
        <v>0.03</v>
      </c>
      <c r="J152" t="s">
        <v>1716</v>
      </c>
      <c r="K152" t="s">
        <v>1717</v>
      </c>
      <c r="L152" t="s">
        <v>1718</v>
      </c>
      <c r="M152" t="s">
        <v>1719</v>
      </c>
      <c r="N152">
        <v>67.15653926330701</v>
      </c>
      <c r="O152">
        <v>67.962417734466698</v>
      </c>
      <c r="P152">
        <v>71.156651367986626</v>
      </c>
      <c r="Q152">
        <v>76.849183477425555</v>
      </c>
      <c r="R152">
        <v>80</v>
      </c>
      <c r="S152" t="s">
        <v>1720</v>
      </c>
      <c r="T152" t="s">
        <v>1721</v>
      </c>
      <c r="U152" t="s">
        <v>1722</v>
      </c>
      <c r="V152" t="s">
        <v>1017</v>
      </c>
      <c r="W152">
        <v>331357816</v>
      </c>
      <c r="X152">
        <v>331968553.60000002</v>
      </c>
      <c r="Y152">
        <v>333028553.60000002</v>
      </c>
      <c r="Z152">
        <v>334128553.60000002</v>
      </c>
      <c r="AA152">
        <v>336128553.60000002</v>
      </c>
      <c r="AB152">
        <v>1112642209.0203829</v>
      </c>
      <c r="AC152">
        <v>16567890.800000001</v>
      </c>
      <c r="AD152">
        <v>1128069275.723495</v>
      </c>
      <c r="AE152">
        <v>16598427.68</v>
      </c>
      <c r="AF152">
        <v>1184859834.205003</v>
      </c>
      <c r="AG152">
        <v>16651427.68</v>
      </c>
      <c r="AH152">
        <v>1283875326.032661</v>
      </c>
      <c r="AI152">
        <v>16706427.68</v>
      </c>
      <c r="AJ152">
        <v>1344514214.4000001</v>
      </c>
      <c r="AK152">
        <v>16806427.68</v>
      </c>
    </row>
    <row r="153" spans="1:37" x14ac:dyDescent="0.35">
      <c r="A153" t="s">
        <v>1723</v>
      </c>
      <c r="B153">
        <v>2.68</v>
      </c>
      <c r="C153" t="s">
        <v>1724</v>
      </c>
      <c r="D153" t="s">
        <v>1725</v>
      </c>
      <c r="E153" t="s">
        <v>1726</v>
      </c>
      <c r="F153">
        <v>4.0000000000000003E-5</v>
      </c>
      <c r="G153" t="s">
        <v>1727</v>
      </c>
      <c r="H153">
        <v>0.5</v>
      </c>
      <c r="I153">
        <v>0.12</v>
      </c>
      <c r="J153" t="s">
        <v>1728</v>
      </c>
      <c r="K153" t="s">
        <v>1729</v>
      </c>
      <c r="L153" t="s">
        <v>1730</v>
      </c>
      <c r="M153" t="s">
        <v>1731</v>
      </c>
      <c r="N153">
        <v>3612.8926651750271</v>
      </c>
      <c r="O153">
        <v>3656.2473771571272</v>
      </c>
      <c r="P153">
        <v>3828.0910038835118</v>
      </c>
      <c r="Q153">
        <v>4134.338284194193</v>
      </c>
      <c r="R153">
        <v>4303.8461538461543</v>
      </c>
      <c r="S153" t="s">
        <v>1732</v>
      </c>
      <c r="T153" t="s">
        <v>1733</v>
      </c>
      <c r="U153" t="s">
        <v>1734</v>
      </c>
      <c r="V153" t="s">
        <v>49</v>
      </c>
      <c r="W153">
        <v>338996155</v>
      </c>
      <c r="X153">
        <v>339500751</v>
      </c>
      <c r="Y153">
        <v>340560751</v>
      </c>
      <c r="Z153">
        <v>341660751</v>
      </c>
      <c r="AA153">
        <v>343660751</v>
      </c>
      <c r="AB153">
        <v>48990268.876881473</v>
      </c>
      <c r="AC153">
        <v>13559.8462</v>
      </c>
      <c r="AD153">
        <v>49651949.215465002</v>
      </c>
      <c r="AE153">
        <v>13580.03004</v>
      </c>
      <c r="AF153">
        <v>52147901.887156516</v>
      </c>
      <c r="AG153">
        <v>13622.430039999999</v>
      </c>
      <c r="AH153">
        <v>56501644.922633581</v>
      </c>
      <c r="AI153">
        <v>13666.430039999999</v>
      </c>
      <c r="AJ153">
        <v>59162520.056769237</v>
      </c>
      <c r="AK153">
        <v>13746.430039999999</v>
      </c>
    </row>
    <row r="154" spans="1:37" x14ac:dyDescent="0.35">
      <c r="A154" t="s">
        <v>1735</v>
      </c>
      <c r="B154">
        <v>3.09</v>
      </c>
      <c r="C154" t="s">
        <v>1736</v>
      </c>
      <c r="D154" t="s">
        <v>1737</v>
      </c>
      <c r="E154" t="s">
        <v>1738</v>
      </c>
      <c r="F154">
        <v>0.03</v>
      </c>
      <c r="G154" t="s">
        <v>1739</v>
      </c>
      <c r="H154">
        <v>0.3</v>
      </c>
      <c r="I154">
        <v>0</v>
      </c>
      <c r="J154" t="s">
        <v>1740</v>
      </c>
      <c r="K154" t="s">
        <v>1741</v>
      </c>
      <c r="L154" t="s">
        <v>1742</v>
      </c>
      <c r="M154" t="s">
        <v>1743</v>
      </c>
      <c r="N154">
        <v>755.51106671220373</v>
      </c>
      <c r="O154">
        <v>764.57719951275021</v>
      </c>
      <c r="P154">
        <v>800.51232788984942</v>
      </c>
      <c r="Q154">
        <v>864.55331412103749</v>
      </c>
      <c r="R154">
        <v>900</v>
      </c>
      <c r="S154" t="s">
        <v>1744</v>
      </c>
      <c r="T154" t="s">
        <v>1745</v>
      </c>
      <c r="U154" t="s">
        <v>1746</v>
      </c>
      <c r="V154" t="s">
        <v>94</v>
      </c>
      <c r="W154">
        <v>265472419.80000001</v>
      </c>
      <c r="X154">
        <v>266439117.80000001</v>
      </c>
      <c r="Y154">
        <v>267499117.80000001</v>
      </c>
      <c r="Z154">
        <v>268599117.80000001</v>
      </c>
      <c r="AA154">
        <v>270179117.80000001</v>
      </c>
      <c r="AB154">
        <v>6017020531.9730387</v>
      </c>
      <c r="AC154">
        <v>7964172.5940000014</v>
      </c>
      <c r="AD154">
        <v>6111398235.8451529</v>
      </c>
      <c r="AE154">
        <v>7993173.534</v>
      </c>
      <c r="AF154">
        <v>6424090244.9567719</v>
      </c>
      <c r="AG154">
        <v>8024973.534</v>
      </c>
      <c r="AH154">
        <v>6966547723.9193087</v>
      </c>
      <c r="AI154">
        <v>8057973.534</v>
      </c>
      <c r="AJ154">
        <v>7294836180.6000004</v>
      </c>
      <c r="AK154">
        <v>8105373.534</v>
      </c>
    </row>
    <row r="155" spans="1:37" x14ac:dyDescent="0.35">
      <c r="A155" t="s">
        <v>1747</v>
      </c>
      <c r="B155">
        <v>5.54</v>
      </c>
      <c r="C155" t="s">
        <v>1748</v>
      </c>
      <c r="D155" t="s">
        <v>1749</v>
      </c>
      <c r="E155" t="s">
        <v>1750</v>
      </c>
      <c r="F155">
        <v>1E-3</v>
      </c>
      <c r="G155" t="s">
        <v>1751</v>
      </c>
      <c r="H155">
        <v>0.3</v>
      </c>
      <c r="I155">
        <v>0.01</v>
      </c>
      <c r="J155" t="s">
        <v>1752</v>
      </c>
      <c r="K155" t="s">
        <v>1753</v>
      </c>
      <c r="L155" t="s">
        <v>1754</v>
      </c>
      <c r="M155" t="s">
        <v>1755</v>
      </c>
      <c r="N155">
        <v>42.182701224764713</v>
      </c>
      <c r="O155">
        <v>42.688893639461888</v>
      </c>
      <c r="P155">
        <v>44.695271640516587</v>
      </c>
      <c r="Q155">
        <v>48.270893371757928</v>
      </c>
      <c r="R155">
        <v>50.25</v>
      </c>
      <c r="S155" t="s">
        <v>1756</v>
      </c>
      <c r="T155" t="s">
        <v>1757</v>
      </c>
      <c r="U155" t="s">
        <v>1758</v>
      </c>
      <c r="V155" t="s">
        <v>49</v>
      </c>
      <c r="W155">
        <v>338996155</v>
      </c>
      <c r="X155">
        <v>339500751</v>
      </c>
      <c r="Y155">
        <v>340560751</v>
      </c>
      <c r="Z155">
        <v>341660751</v>
      </c>
      <c r="AA155">
        <v>343660751</v>
      </c>
      <c r="AB155">
        <v>14299773.522709031</v>
      </c>
      <c r="AC155">
        <v>338996.15500000003</v>
      </c>
      <c r="AD155">
        <v>14492911.449956439</v>
      </c>
      <c r="AE155">
        <v>339500.75099999999</v>
      </c>
      <c r="AF155">
        <v>15221455.276043329</v>
      </c>
      <c r="AG155">
        <v>340560.75099999999</v>
      </c>
      <c r="AH155">
        <v>16492269.680835741</v>
      </c>
      <c r="AI155">
        <v>341660.75099999999</v>
      </c>
      <c r="AJ155">
        <v>17268952.737750001</v>
      </c>
      <c r="AK155">
        <v>343660.75099999999</v>
      </c>
    </row>
    <row r="156" spans="1:37" x14ac:dyDescent="0.35">
      <c r="A156" t="s">
        <v>1759</v>
      </c>
      <c r="B156">
        <v>1.21</v>
      </c>
      <c r="C156" t="s">
        <v>418</v>
      </c>
      <c r="D156" t="s">
        <v>1760</v>
      </c>
      <c r="E156" t="s">
        <v>1761</v>
      </c>
      <c r="F156">
        <v>0.16200000000000001</v>
      </c>
      <c r="G156" t="s">
        <v>1762</v>
      </c>
      <c r="H156">
        <v>1</v>
      </c>
      <c r="I156">
        <v>0</v>
      </c>
      <c r="J156" t="s">
        <v>1763</v>
      </c>
      <c r="K156" t="s">
        <v>1764</v>
      </c>
      <c r="L156" t="s">
        <v>1765</v>
      </c>
      <c r="M156" t="s">
        <v>1766</v>
      </c>
      <c r="N156">
        <v>76.950201239205967</v>
      </c>
      <c r="O156">
        <v>77.873603654076433</v>
      </c>
      <c r="P156">
        <v>81.533663025818015</v>
      </c>
      <c r="Q156">
        <v>88.056356067883456</v>
      </c>
      <c r="R156">
        <v>91.666666666666671</v>
      </c>
      <c r="S156" t="s">
        <v>1767</v>
      </c>
      <c r="T156" t="s">
        <v>1768</v>
      </c>
      <c r="U156" t="s">
        <v>1769</v>
      </c>
      <c r="V156" t="s">
        <v>49</v>
      </c>
      <c r="W156">
        <v>338996155</v>
      </c>
      <c r="X156">
        <v>339500751</v>
      </c>
      <c r="Y156">
        <v>340560751</v>
      </c>
      <c r="Z156">
        <v>341660751</v>
      </c>
      <c r="AA156">
        <v>343660751</v>
      </c>
      <c r="AB156">
        <v>4225903220.1438642</v>
      </c>
      <c r="AC156">
        <v>54917377.109999999</v>
      </c>
      <c r="AD156">
        <v>4282979801.6289182</v>
      </c>
      <c r="AE156">
        <v>54999121.662</v>
      </c>
      <c r="AF156">
        <v>4498280812.92027</v>
      </c>
      <c r="AG156">
        <v>55170841.662</v>
      </c>
      <c r="AH156">
        <v>4873834920.6051884</v>
      </c>
      <c r="AI156">
        <v>55349041.662</v>
      </c>
      <c r="AJ156">
        <v>5103362152.3500004</v>
      </c>
      <c r="AK156">
        <v>55673041.662</v>
      </c>
    </row>
    <row r="157" spans="1:37" x14ac:dyDescent="0.35">
      <c r="A157" t="s">
        <v>1770</v>
      </c>
      <c r="B157">
        <v>19282.46</v>
      </c>
      <c r="C157" t="s">
        <v>1771</v>
      </c>
      <c r="D157" t="s">
        <v>1772</v>
      </c>
      <c r="E157" t="s">
        <v>1773</v>
      </c>
      <c r="F157">
        <v>1.0000000000000001E-5</v>
      </c>
      <c r="G157" t="s">
        <v>1774</v>
      </c>
      <c r="H157">
        <v>0.3</v>
      </c>
      <c r="I157">
        <v>0.05</v>
      </c>
      <c r="J157" t="s">
        <v>1775</v>
      </c>
      <c r="K157" t="s">
        <v>1776</v>
      </c>
      <c r="L157" t="s">
        <v>1777</v>
      </c>
      <c r="M157" t="s">
        <v>1778</v>
      </c>
      <c r="N157">
        <v>148583.8431200668</v>
      </c>
      <c r="O157">
        <v>150366.84923750759</v>
      </c>
      <c r="P157">
        <v>157434.09115167041</v>
      </c>
      <c r="Q157">
        <v>170028.81844380399</v>
      </c>
      <c r="R157">
        <v>177000</v>
      </c>
      <c r="S157" t="s">
        <v>1779</v>
      </c>
      <c r="T157" t="s">
        <v>1780</v>
      </c>
      <c r="U157" t="s">
        <v>1781</v>
      </c>
      <c r="V157" t="s">
        <v>49</v>
      </c>
      <c r="W157">
        <v>338996155</v>
      </c>
      <c r="X157">
        <v>339500751</v>
      </c>
      <c r="Y157">
        <v>340560751</v>
      </c>
      <c r="Z157">
        <v>341660751</v>
      </c>
      <c r="AA157">
        <v>343660751</v>
      </c>
      <c r="AB157">
        <v>503693515.12825841</v>
      </c>
      <c r="AC157">
        <v>3389.96155</v>
      </c>
      <c r="AD157">
        <v>510496582.41637588</v>
      </c>
      <c r="AE157">
        <v>3395.0075099999999</v>
      </c>
      <c r="AF157">
        <v>536158723.15615332</v>
      </c>
      <c r="AG157">
        <v>3405.6075099999998</v>
      </c>
      <c r="AH157">
        <v>580921738.01152742</v>
      </c>
      <c r="AI157">
        <v>3416.6075099999998</v>
      </c>
      <c r="AJ157">
        <v>608279529.2700001</v>
      </c>
      <c r="AK157">
        <v>3436.6075099999998</v>
      </c>
    </row>
    <row r="158" spans="1:37" x14ac:dyDescent="0.35">
      <c r="A158" t="s">
        <v>1782</v>
      </c>
      <c r="B158">
        <v>19282.46</v>
      </c>
      <c r="C158" t="s">
        <v>1771</v>
      </c>
      <c r="D158" t="s">
        <v>1783</v>
      </c>
      <c r="E158" t="s">
        <v>1784</v>
      </c>
      <c r="F158">
        <v>1.0000000000000001E-5</v>
      </c>
      <c r="G158" t="s">
        <v>1785</v>
      </c>
      <c r="H158">
        <v>10.3</v>
      </c>
      <c r="I158">
        <v>0.25</v>
      </c>
      <c r="J158" t="s">
        <v>1786</v>
      </c>
      <c r="K158" t="s">
        <v>1787</v>
      </c>
      <c r="L158" t="s">
        <v>1788</v>
      </c>
      <c r="M158" t="s">
        <v>1789</v>
      </c>
      <c r="N158">
        <v>148583.8431200668</v>
      </c>
      <c r="O158">
        <v>150366.84923750759</v>
      </c>
      <c r="P158">
        <v>157434.09115167041</v>
      </c>
      <c r="Q158">
        <v>170028.81844380399</v>
      </c>
      <c r="R158">
        <v>177000</v>
      </c>
      <c r="S158" t="s">
        <v>1790</v>
      </c>
      <c r="T158" t="s">
        <v>1791</v>
      </c>
      <c r="U158" t="s">
        <v>1623</v>
      </c>
      <c r="V158" t="s">
        <v>49</v>
      </c>
      <c r="W158">
        <v>338996155</v>
      </c>
      <c r="X158">
        <v>339500751</v>
      </c>
      <c r="Y158">
        <v>340560751</v>
      </c>
      <c r="Z158">
        <v>341660751</v>
      </c>
      <c r="AA158">
        <v>343660751</v>
      </c>
      <c r="AB158">
        <v>503693515.12825841</v>
      </c>
      <c r="AC158">
        <v>3389.96155</v>
      </c>
      <c r="AD158">
        <v>510496582.41637588</v>
      </c>
      <c r="AE158">
        <v>3395.0075099999999</v>
      </c>
      <c r="AF158">
        <v>536158723.15615332</v>
      </c>
      <c r="AG158">
        <v>3405.6075099999998</v>
      </c>
      <c r="AH158">
        <v>580921738.01152742</v>
      </c>
      <c r="AI158">
        <v>3416.6075099999998</v>
      </c>
      <c r="AJ158">
        <v>608279529.2700001</v>
      </c>
      <c r="AK158">
        <v>3436.6075099999998</v>
      </c>
    </row>
    <row r="159" spans="1:37" x14ac:dyDescent="0.35">
      <c r="A159" t="s">
        <v>1792</v>
      </c>
      <c r="B159">
        <v>19282.46</v>
      </c>
      <c r="C159" t="s">
        <v>1771</v>
      </c>
      <c r="D159" t="s">
        <v>1793</v>
      </c>
      <c r="E159" t="s">
        <v>1794</v>
      </c>
      <c r="F159">
        <v>1.0000000000000001E-5</v>
      </c>
      <c r="G159" t="s">
        <v>1795</v>
      </c>
      <c r="H159">
        <v>0.5</v>
      </c>
      <c r="I159">
        <v>7.1</v>
      </c>
      <c r="J159" t="s">
        <v>1796</v>
      </c>
      <c r="K159" t="s">
        <v>1797</v>
      </c>
      <c r="L159" t="s">
        <v>1798</v>
      </c>
      <c r="M159" t="s">
        <v>1799</v>
      </c>
      <c r="N159">
        <v>148583.8431200668</v>
      </c>
      <c r="O159">
        <v>150366.84923750759</v>
      </c>
      <c r="P159">
        <v>157434.09115167041</v>
      </c>
      <c r="Q159">
        <v>170028.81844380399</v>
      </c>
      <c r="R159">
        <v>177000</v>
      </c>
      <c r="S159" t="s">
        <v>1800</v>
      </c>
      <c r="T159" t="s">
        <v>1801</v>
      </c>
      <c r="U159" t="s">
        <v>1623</v>
      </c>
      <c r="V159" t="s">
        <v>49</v>
      </c>
      <c r="W159">
        <v>338996155</v>
      </c>
      <c r="X159">
        <v>339500751</v>
      </c>
      <c r="Y159">
        <v>340560751</v>
      </c>
      <c r="Z159">
        <v>341660751</v>
      </c>
      <c r="AA159">
        <v>343660751</v>
      </c>
      <c r="AB159">
        <v>503693515.12825841</v>
      </c>
      <c r="AC159">
        <v>3389.96155</v>
      </c>
      <c r="AD159">
        <v>510496582.41637588</v>
      </c>
      <c r="AE159">
        <v>3395.0075099999999</v>
      </c>
      <c r="AF159">
        <v>536158723.15615332</v>
      </c>
      <c r="AG159">
        <v>3405.6075099999998</v>
      </c>
      <c r="AH159">
        <v>580921738.01152742</v>
      </c>
      <c r="AI159">
        <v>3416.6075099999998</v>
      </c>
      <c r="AJ159">
        <v>608279529.2700001</v>
      </c>
      <c r="AK159">
        <v>3436.6075099999998</v>
      </c>
    </row>
    <row r="160" spans="1:37" x14ac:dyDescent="0.35">
      <c r="A160" t="s">
        <v>1802</v>
      </c>
      <c r="B160">
        <v>2410.31</v>
      </c>
      <c r="C160" t="s">
        <v>1771</v>
      </c>
      <c r="D160" t="s">
        <v>1803</v>
      </c>
      <c r="E160" t="s">
        <v>1804</v>
      </c>
      <c r="F160">
        <v>1.0000000000000001E-5</v>
      </c>
      <c r="G160" t="s">
        <v>1805</v>
      </c>
      <c r="H160">
        <v>30.35</v>
      </c>
      <c r="I160">
        <v>0.05</v>
      </c>
      <c r="J160" t="s">
        <v>1806</v>
      </c>
      <c r="K160" t="s">
        <v>1807</v>
      </c>
      <c r="L160" t="s">
        <v>1808</v>
      </c>
      <c r="M160" t="s">
        <v>1809</v>
      </c>
      <c r="N160">
        <v>148583.8431200668</v>
      </c>
      <c r="O160">
        <v>150366.84923750759</v>
      </c>
      <c r="P160">
        <v>157434.09115167041</v>
      </c>
      <c r="Q160">
        <v>170028.81844380399</v>
      </c>
      <c r="R160">
        <v>177000</v>
      </c>
      <c r="S160" t="s">
        <v>1810</v>
      </c>
      <c r="T160" t="s">
        <v>1811</v>
      </c>
      <c r="U160" t="s">
        <v>1812</v>
      </c>
      <c r="V160" t="s">
        <v>49</v>
      </c>
      <c r="W160">
        <v>338996155</v>
      </c>
      <c r="X160">
        <v>339500751</v>
      </c>
      <c r="Y160">
        <v>340560751</v>
      </c>
      <c r="Z160">
        <v>341660751</v>
      </c>
      <c r="AA160">
        <v>343660751</v>
      </c>
      <c r="AB160">
        <v>503693515.12825841</v>
      </c>
      <c r="AC160">
        <v>3389.96155</v>
      </c>
      <c r="AD160">
        <v>510496582.41637588</v>
      </c>
      <c r="AE160">
        <v>3395.0075099999999</v>
      </c>
      <c r="AF160">
        <v>536158723.15615332</v>
      </c>
      <c r="AG160">
        <v>3405.6075099999998</v>
      </c>
      <c r="AH160">
        <v>580921738.01152742</v>
      </c>
      <c r="AI160">
        <v>3416.6075099999998</v>
      </c>
      <c r="AJ160">
        <v>608279529.2700001</v>
      </c>
      <c r="AK160">
        <v>3436.6075099999998</v>
      </c>
    </row>
    <row r="161" spans="1:37" x14ac:dyDescent="0.35">
      <c r="A161" t="s">
        <v>1813</v>
      </c>
      <c r="B161">
        <v>4820.6099999999997</v>
      </c>
      <c r="C161" t="s">
        <v>1771</v>
      </c>
      <c r="D161" t="s">
        <v>1814</v>
      </c>
      <c r="E161" t="s">
        <v>1815</v>
      </c>
      <c r="F161">
        <v>1.0000000000000001E-5</v>
      </c>
      <c r="G161" t="s">
        <v>1816</v>
      </c>
      <c r="H161">
        <v>0.3</v>
      </c>
      <c r="I161">
        <v>0.05</v>
      </c>
      <c r="J161" t="s">
        <v>1817</v>
      </c>
      <c r="K161" t="s">
        <v>1818</v>
      </c>
      <c r="L161" t="s">
        <v>1819</v>
      </c>
      <c r="M161" t="s">
        <v>1820</v>
      </c>
      <c r="N161">
        <v>148583.8431200668</v>
      </c>
      <c r="O161">
        <v>150366.84923750759</v>
      </c>
      <c r="P161">
        <v>157434.09115167041</v>
      </c>
      <c r="Q161">
        <v>170028.81844380399</v>
      </c>
      <c r="R161">
        <v>177000</v>
      </c>
      <c r="S161" t="s">
        <v>1821</v>
      </c>
      <c r="T161" t="s">
        <v>1822</v>
      </c>
      <c r="U161" t="s">
        <v>1823</v>
      </c>
      <c r="V161" t="s">
        <v>49</v>
      </c>
      <c r="W161">
        <v>338996155</v>
      </c>
      <c r="X161">
        <v>339500751</v>
      </c>
      <c r="Y161">
        <v>340560751</v>
      </c>
      <c r="Z161">
        <v>341660751</v>
      </c>
      <c r="AA161">
        <v>343660751</v>
      </c>
      <c r="AB161">
        <v>503693515.12825841</v>
      </c>
      <c r="AC161">
        <v>3389.96155</v>
      </c>
      <c r="AD161">
        <v>510496582.41637588</v>
      </c>
      <c r="AE161">
        <v>3395.0075099999999</v>
      </c>
      <c r="AF161">
        <v>536158723.15615332</v>
      </c>
      <c r="AG161">
        <v>3405.6075099999998</v>
      </c>
      <c r="AH161">
        <v>580921738.01152742</v>
      </c>
      <c r="AI161">
        <v>3416.6075099999998</v>
      </c>
      <c r="AJ161">
        <v>608279529.2700001</v>
      </c>
      <c r="AK161">
        <v>3436.6075099999998</v>
      </c>
    </row>
    <row r="162" spans="1:37" x14ac:dyDescent="0.35">
      <c r="A162" t="s">
        <v>1824</v>
      </c>
      <c r="B162">
        <v>229.29</v>
      </c>
      <c r="C162" t="s">
        <v>1825</v>
      </c>
      <c r="D162" t="s">
        <v>1826</v>
      </c>
      <c r="E162" t="s">
        <v>1827</v>
      </c>
      <c r="F162">
        <v>0.1</v>
      </c>
      <c r="G162" t="s">
        <v>1828</v>
      </c>
      <c r="H162">
        <v>0.4</v>
      </c>
      <c r="I162">
        <v>0.01</v>
      </c>
      <c r="J162" t="s">
        <v>1829</v>
      </c>
      <c r="K162" t="s">
        <v>1830</v>
      </c>
      <c r="L162" t="s">
        <v>1831</v>
      </c>
      <c r="M162" t="s">
        <v>1832</v>
      </c>
      <c r="N162">
        <v>4310.6103639635176</v>
      </c>
      <c r="O162">
        <v>4362.3376883310812</v>
      </c>
      <c r="P162">
        <v>4567.3675596826424</v>
      </c>
      <c r="Q162">
        <v>4932.7569644572532</v>
      </c>
      <c r="R162">
        <v>5135</v>
      </c>
      <c r="S162" t="s">
        <v>1833</v>
      </c>
      <c r="T162" t="s">
        <v>1834</v>
      </c>
      <c r="U162" t="s">
        <v>1835</v>
      </c>
      <c r="V162" t="s">
        <v>49</v>
      </c>
      <c r="W162">
        <v>338996155</v>
      </c>
      <c r="X162">
        <v>339500751</v>
      </c>
      <c r="Y162">
        <v>340560751</v>
      </c>
      <c r="Z162">
        <v>341660751</v>
      </c>
      <c r="AA162">
        <v>343660751</v>
      </c>
      <c r="AB162">
        <v>146128033908.67831</v>
      </c>
      <c r="AC162">
        <v>33899615.5</v>
      </c>
      <c r="AD162">
        <v>148101692130.4006</v>
      </c>
      <c r="AE162">
        <v>33950075.100000001</v>
      </c>
      <c r="AF162">
        <v>155546612621.8558</v>
      </c>
      <c r="AG162">
        <v>34056075.100000001</v>
      </c>
      <c r="AH162">
        <v>168532944897.69449</v>
      </c>
      <c r="AI162">
        <v>34166075.100000001</v>
      </c>
      <c r="AJ162">
        <v>176469795638.5</v>
      </c>
      <c r="AK162">
        <v>34366075.100000001</v>
      </c>
    </row>
    <row r="163" spans="1:37" x14ac:dyDescent="0.35">
      <c r="A163" t="s">
        <v>1836</v>
      </c>
      <c r="B163">
        <v>98.72</v>
      </c>
      <c r="C163" t="s">
        <v>83</v>
      </c>
      <c r="D163" t="s">
        <v>1837</v>
      </c>
      <c r="E163" t="s">
        <v>1838</v>
      </c>
      <c r="F163">
        <v>4.5999999999999999E-2</v>
      </c>
      <c r="G163" t="s">
        <v>1839</v>
      </c>
      <c r="H163">
        <v>0.3</v>
      </c>
      <c r="I163">
        <v>10.15</v>
      </c>
      <c r="J163" t="s">
        <v>1840</v>
      </c>
      <c r="K163" t="s">
        <v>1841</v>
      </c>
      <c r="L163" t="s">
        <v>1842</v>
      </c>
      <c r="M163" t="s">
        <v>1843</v>
      </c>
      <c r="N163">
        <v>963.93530786561541</v>
      </c>
      <c r="O163">
        <v>975.50253156000281</v>
      </c>
      <c r="P163">
        <v>1021.351150543323</v>
      </c>
      <c r="Q163">
        <v>1103.059242586789</v>
      </c>
      <c r="R163">
        <v>1148.2846715328469</v>
      </c>
      <c r="S163" t="s">
        <v>1844</v>
      </c>
      <c r="T163" t="s">
        <v>1845</v>
      </c>
      <c r="U163" t="s">
        <v>1846</v>
      </c>
      <c r="V163" t="s">
        <v>94</v>
      </c>
      <c r="W163">
        <v>265472419.80000001</v>
      </c>
      <c r="X163">
        <v>266439117.80000001</v>
      </c>
      <c r="Y163">
        <v>267499117.80000001</v>
      </c>
      <c r="Z163">
        <v>268599117.80000001</v>
      </c>
      <c r="AA163">
        <v>270179117.80000001</v>
      </c>
      <c r="AB163">
        <v>11771318980.64817</v>
      </c>
      <c r="AC163">
        <v>12211731.310799999</v>
      </c>
      <c r="AD163">
        <v>11955953560.343639</v>
      </c>
      <c r="AE163">
        <v>12256199.4188</v>
      </c>
      <c r="AF163">
        <v>12567684459.780279</v>
      </c>
      <c r="AG163">
        <v>12304959.4188</v>
      </c>
      <c r="AH163">
        <v>13628914014.237591</v>
      </c>
      <c r="AI163">
        <v>12355559.4188</v>
      </c>
      <c r="AJ163">
        <v>14271156818.748341</v>
      </c>
      <c r="AK163">
        <v>12428239.4188</v>
      </c>
    </row>
    <row r="164" spans="1:37" x14ac:dyDescent="0.35">
      <c r="A164" t="s">
        <v>1847</v>
      </c>
      <c r="B164">
        <v>853.29</v>
      </c>
      <c r="C164" t="s">
        <v>1825</v>
      </c>
      <c r="D164" t="s">
        <v>1848</v>
      </c>
      <c r="E164" t="s">
        <v>1849</v>
      </c>
      <c r="F164">
        <v>0.1</v>
      </c>
      <c r="G164" t="s">
        <v>1850</v>
      </c>
      <c r="H164">
        <v>0.25</v>
      </c>
      <c r="I164">
        <v>0</v>
      </c>
      <c r="J164" t="s">
        <v>1851</v>
      </c>
      <c r="K164" t="s">
        <v>1852</v>
      </c>
      <c r="L164" t="s">
        <v>1853</v>
      </c>
      <c r="M164" t="s">
        <v>1854</v>
      </c>
      <c r="N164">
        <v>4310.6103639635176</v>
      </c>
      <c r="O164">
        <v>4362.3376883310812</v>
      </c>
      <c r="P164">
        <v>4567.3675596826424</v>
      </c>
      <c r="Q164">
        <v>4932.7569644572532</v>
      </c>
      <c r="R164">
        <v>5135</v>
      </c>
      <c r="S164" t="s">
        <v>1855</v>
      </c>
      <c r="T164" t="s">
        <v>1856</v>
      </c>
      <c r="U164" t="s">
        <v>1857</v>
      </c>
      <c r="V164" t="s">
        <v>49</v>
      </c>
      <c r="W164">
        <v>338996155</v>
      </c>
      <c r="X164">
        <v>339500751</v>
      </c>
      <c r="Y164">
        <v>340560751</v>
      </c>
      <c r="Z164">
        <v>341660751</v>
      </c>
      <c r="AA164">
        <v>343660751</v>
      </c>
      <c r="AB164">
        <v>146128033908.67831</v>
      </c>
      <c r="AC164">
        <v>33899615.5</v>
      </c>
      <c r="AD164">
        <v>148101692130.4006</v>
      </c>
      <c r="AE164">
        <v>33950075.100000001</v>
      </c>
      <c r="AF164">
        <v>155546612621.8558</v>
      </c>
      <c r="AG164">
        <v>34056075.100000001</v>
      </c>
      <c r="AH164">
        <v>168532944897.69449</v>
      </c>
      <c r="AI164">
        <v>34166075.100000001</v>
      </c>
      <c r="AJ164">
        <v>176469795638.5</v>
      </c>
      <c r="AK164">
        <v>34366075.100000001</v>
      </c>
    </row>
    <row r="165" spans="1:37" x14ac:dyDescent="0.35">
      <c r="A165" t="s">
        <v>1858</v>
      </c>
      <c r="B165">
        <v>58.91</v>
      </c>
      <c r="C165" t="s">
        <v>863</v>
      </c>
      <c r="D165" t="s">
        <v>1859</v>
      </c>
      <c r="E165" t="s">
        <v>1860</v>
      </c>
      <c r="F165">
        <v>0.1</v>
      </c>
      <c r="G165" t="s">
        <v>1861</v>
      </c>
      <c r="H165">
        <v>0.3</v>
      </c>
      <c r="I165">
        <v>0</v>
      </c>
      <c r="J165" t="s">
        <v>1862</v>
      </c>
      <c r="K165" t="s">
        <v>1863</v>
      </c>
      <c r="L165" t="s">
        <v>1864</v>
      </c>
      <c r="M165" t="s">
        <v>1865</v>
      </c>
      <c r="N165">
        <v>278.56709214154648</v>
      </c>
      <c r="O165">
        <v>281.90989724724511</v>
      </c>
      <c r="P165">
        <v>295.1596624178656</v>
      </c>
      <c r="Q165">
        <v>318.77243541129491</v>
      </c>
      <c r="R165">
        <v>331.84210526315792</v>
      </c>
      <c r="S165" t="s">
        <v>1866</v>
      </c>
      <c r="T165" t="s">
        <v>1867</v>
      </c>
      <c r="U165" t="s">
        <v>1868</v>
      </c>
      <c r="V165" t="s">
        <v>49</v>
      </c>
      <c r="W165">
        <v>338996155</v>
      </c>
      <c r="X165">
        <v>339500751</v>
      </c>
      <c r="Y165">
        <v>340560751</v>
      </c>
      <c r="Z165">
        <v>341660751</v>
      </c>
      <c r="AA165">
        <v>343660751</v>
      </c>
      <c r="AB165">
        <v>9443317314.5515003</v>
      </c>
      <c r="AC165">
        <v>33899615.5</v>
      </c>
      <c r="AD165">
        <v>9570862182.9772549</v>
      </c>
      <c r="AE165">
        <v>33950075.100000001</v>
      </c>
      <c r="AF165">
        <v>10051979629.79348</v>
      </c>
      <c r="AG165">
        <v>34056075.100000001</v>
      </c>
      <c r="AH165">
        <v>10891202968.072201</v>
      </c>
      <c r="AI165">
        <v>34166075.100000001</v>
      </c>
      <c r="AJ165">
        <v>11404110710.81579</v>
      </c>
      <c r="AK165">
        <v>34366075.100000001</v>
      </c>
    </row>
    <row r="166" spans="1:37" x14ac:dyDescent="0.35">
      <c r="A166" t="s">
        <v>1869</v>
      </c>
      <c r="B166">
        <v>98.79</v>
      </c>
      <c r="C166" t="s">
        <v>83</v>
      </c>
      <c r="D166" t="s">
        <v>1870</v>
      </c>
      <c r="E166" t="s">
        <v>1871</v>
      </c>
      <c r="F166">
        <v>4.5999999999999999E-2</v>
      </c>
      <c r="G166" t="s">
        <v>1872</v>
      </c>
      <c r="H166">
        <v>0.2</v>
      </c>
      <c r="I166">
        <v>0.3</v>
      </c>
      <c r="J166" t="s">
        <v>1873</v>
      </c>
      <c r="K166" t="s">
        <v>1874</v>
      </c>
      <c r="L166" t="s">
        <v>1875</v>
      </c>
      <c r="M166" t="s">
        <v>1876</v>
      </c>
      <c r="N166">
        <v>963.93530786561541</v>
      </c>
      <c r="O166">
        <v>975.50253156000281</v>
      </c>
      <c r="P166">
        <v>1021.351150543323</v>
      </c>
      <c r="Q166">
        <v>1103.059242586789</v>
      </c>
      <c r="R166">
        <v>1148.2846715328469</v>
      </c>
      <c r="S166" t="s">
        <v>1877</v>
      </c>
      <c r="T166" t="s">
        <v>1878</v>
      </c>
      <c r="U166" t="s">
        <v>1879</v>
      </c>
      <c r="V166" t="s">
        <v>94</v>
      </c>
      <c r="W166">
        <v>265472419.80000001</v>
      </c>
      <c r="X166">
        <v>266439117.80000001</v>
      </c>
      <c r="Y166">
        <v>267499117.80000001</v>
      </c>
      <c r="Z166">
        <v>268599117.80000001</v>
      </c>
      <c r="AA166">
        <v>270179117.80000001</v>
      </c>
      <c r="AB166">
        <v>11771318980.64817</v>
      </c>
      <c r="AC166">
        <v>12211731.310799999</v>
      </c>
      <c r="AD166">
        <v>11955953560.343639</v>
      </c>
      <c r="AE166">
        <v>12256199.4188</v>
      </c>
      <c r="AF166">
        <v>12567684459.780279</v>
      </c>
      <c r="AG166">
        <v>12304959.4188</v>
      </c>
      <c r="AH166">
        <v>13628914014.237591</v>
      </c>
      <c r="AI166">
        <v>12355559.4188</v>
      </c>
      <c r="AJ166">
        <v>14271156818.748341</v>
      </c>
      <c r="AK166">
        <v>12428239.4188</v>
      </c>
    </row>
    <row r="167" spans="1:37" x14ac:dyDescent="0.35">
      <c r="A167" t="s">
        <v>1880</v>
      </c>
      <c r="B167">
        <v>110</v>
      </c>
      <c r="C167" t="s">
        <v>1402</v>
      </c>
      <c r="D167" t="s">
        <v>1881</v>
      </c>
      <c r="E167" t="s">
        <v>1882</v>
      </c>
      <c r="F167">
        <v>0.3</v>
      </c>
      <c r="G167" t="s">
        <v>1883</v>
      </c>
      <c r="H167">
        <v>0.1</v>
      </c>
      <c r="I167">
        <v>0</v>
      </c>
      <c r="J167" t="s">
        <v>1884</v>
      </c>
      <c r="K167" t="s">
        <v>1885</v>
      </c>
      <c r="L167" t="s">
        <v>1886</v>
      </c>
      <c r="M167" t="s">
        <v>1887</v>
      </c>
      <c r="N167">
        <v>245.54109668146631</v>
      </c>
      <c r="O167">
        <v>248.48758984164391</v>
      </c>
      <c r="P167">
        <v>260.16650656420109</v>
      </c>
      <c r="Q167">
        <v>280.97982708933722</v>
      </c>
      <c r="R167">
        <v>292.5</v>
      </c>
      <c r="S167" t="s">
        <v>1888</v>
      </c>
      <c r="T167" t="s">
        <v>1889</v>
      </c>
      <c r="U167" t="s">
        <v>1890</v>
      </c>
      <c r="V167" t="s">
        <v>49</v>
      </c>
      <c r="W167">
        <v>338996155</v>
      </c>
      <c r="X167">
        <v>339500751</v>
      </c>
      <c r="Y167">
        <v>340560751</v>
      </c>
      <c r="Z167">
        <v>341660751</v>
      </c>
      <c r="AA167">
        <v>343660751</v>
      </c>
      <c r="AB167">
        <v>24971246300.85009</v>
      </c>
      <c r="AC167">
        <v>101698846.5</v>
      </c>
      <c r="AD167">
        <v>25308517009.62542</v>
      </c>
      <c r="AE167">
        <v>101850225.3</v>
      </c>
      <c r="AF167">
        <v>26580750258.165218</v>
      </c>
      <c r="AG167">
        <v>102168225.3</v>
      </c>
      <c r="AH167">
        <v>28799933621.757931</v>
      </c>
      <c r="AI167">
        <v>102498225.3</v>
      </c>
      <c r="AJ167">
        <v>30156230900.25</v>
      </c>
      <c r="AK167">
        <v>103098225.3</v>
      </c>
    </row>
    <row r="168" spans="1:37" x14ac:dyDescent="0.35">
      <c r="A168" t="s">
        <v>1891</v>
      </c>
      <c r="B168">
        <v>7.45</v>
      </c>
      <c r="C168" t="s">
        <v>1892</v>
      </c>
      <c r="D168" t="s">
        <v>1893</v>
      </c>
      <c r="E168" t="s">
        <v>1894</v>
      </c>
      <c r="F168">
        <v>0.02</v>
      </c>
      <c r="G168" t="s">
        <v>1895</v>
      </c>
      <c r="H168">
        <v>0.1</v>
      </c>
      <c r="I168">
        <v>0</v>
      </c>
      <c r="J168" t="s">
        <v>1896</v>
      </c>
      <c r="K168" t="s">
        <v>1897</v>
      </c>
      <c r="L168" t="s">
        <v>1898</v>
      </c>
      <c r="M168" t="s">
        <v>1899</v>
      </c>
      <c r="N168">
        <v>293.80985927696821</v>
      </c>
      <c r="O168">
        <v>297.33557758829181</v>
      </c>
      <c r="P168">
        <v>311.31034973494138</v>
      </c>
      <c r="Q168">
        <v>336.21517771373681</v>
      </c>
      <c r="R168">
        <v>350</v>
      </c>
      <c r="S168" t="s">
        <v>1900</v>
      </c>
      <c r="T168" t="s">
        <v>1901</v>
      </c>
      <c r="U168" t="s">
        <v>1902</v>
      </c>
      <c r="V168" t="s">
        <v>49</v>
      </c>
      <c r="W168">
        <v>338996155</v>
      </c>
      <c r="X168">
        <v>339500751</v>
      </c>
      <c r="Y168">
        <v>340560751</v>
      </c>
      <c r="Z168">
        <v>341660751</v>
      </c>
      <c r="AA168">
        <v>343660751</v>
      </c>
      <c r="AB168">
        <v>1992008251.9196661</v>
      </c>
      <c r="AC168">
        <v>6779923.1000000006</v>
      </c>
      <c r="AD168">
        <v>2018913037.804877</v>
      </c>
      <c r="AE168">
        <v>6790015.0199999996</v>
      </c>
      <c r="AF168">
        <v>2120401729.9960859</v>
      </c>
      <c r="AG168">
        <v>6811215.0199999996</v>
      </c>
      <c r="AH168">
        <v>2297430602.3054762</v>
      </c>
      <c r="AI168">
        <v>6833215.0199999996</v>
      </c>
      <c r="AJ168">
        <v>2405625257</v>
      </c>
      <c r="AK168">
        <v>6873215.0199999996</v>
      </c>
    </row>
    <row r="169" spans="1:37" x14ac:dyDescent="0.35">
      <c r="A169" t="s">
        <v>1903</v>
      </c>
      <c r="B169">
        <v>44.5</v>
      </c>
      <c r="C169" t="s">
        <v>886</v>
      </c>
      <c r="D169" t="s">
        <v>1904</v>
      </c>
      <c r="E169" t="s">
        <v>1905</v>
      </c>
      <c r="F169">
        <v>4.5999999999999999E-2</v>
      </c>
      <c r="G169" t="s">
        <v>1906</v>
      </c>
      <c r="H169">
        <v>20.3</v>
      </c>
      <c r="I169">
        <v>0.23</v>
      </c>
      <c r="J169" t="s">
        <v>1907</v>
      </c>
      <c r="K169" t="s">
        <v>1908</v>
      </c>
      <c r="L169" t="s">
        <v>1909</v>
      </c>
      <c r="M169" t="s">
        <v>1910</v>
      </c>
      <c r="N169">
        <v>963.93530786561541</v>
      </c>
      <c r="O169">
        <v>975.50253156000281</v>
      </c>
      <c r="P169">
        <v>1021.351150543323</v>
      </c>
      <c r="Q169">
        <v>1103.059242586789</v>
      </c>
      <c r="R169">
        <v>1148.2846715328469</v>
      </c>
      <c r="S169" t="s">
        <v>1911</v>
      </c>
      <c r="T169" t="s">
        <v>1912</v>
      </c>
      <c r="U169" t="s">
        <v>1913</v>
      </c>
      <c r="V169" t="s">
        <v>94</v>
      </c>
      <c r="W169">
        <v>265472419.80000001</v>
      </c>
      <c r="X169">
        <v>266439117.80000001</v>
      </c>
      <c r="Y169">
        <v>267499117.80000001</v>
      </c>
      <c r="Z169">
        <v>268599117.80000001</v>
      </c>
      <c r="AA169">
        <v>270179117.80000001</v>
      </c>
      <c r="AB169">
        <v>11771318980.64817</v>
      </c>
      <c r="AC169">
        <v>12211731.310799999</v>
      </c>
      <c r="AD169">
        <v>11955953560.343639</v>
      </c>
      <c r="AE169">
        <v>12256199.4188</v>
      </c>
      <c r="AF169">
        <v>12567684459.780279</v>
      </c>
      <c r="AG169">
        <v>12304959.4188</v>
      </c>
      <c r="AH169">
        <v>13628914014.237591</v>
      </c>
      <c r="AI169">
        <v>12355559.4188</v>
      </c>
      <c r="AJ169">
        <v>14271156818.748341</v>
      </c>
      <c r="AK169">
        <v>12428239.4188</v>
      </c>
    </row>
    <row r="170" spans="1:37" x14ac:dyDescent="0.35">
      <c r="A170" t="s">
        <v>1914</v>
      </c>
      <c r="B170">
        <v>63.96</v>
      </c>
      <c r="C170" t="s">
        <v>1915</v>
      </c>
      <c r="D170" t="s">
        <v>1916</v>
      </c>
      <c r="E170" t="s">
        <v>1917</v>
      </c>
      <c r="F170">
        <v>3.3332999999999999E-6</v>
      </c>
      <c r="G170" t="s">
        <v>1918</v>
      </c>
      <c r="H170">
        <v>0.3</v>
      </c>
      <c r="I170">
        <v>52.01</v>
      </c>
      <c r="J170" t="s">
        <v>1919</v>
      </c>
      <c r="K170" t="s">
        <v>1920</v>
      </c>
      <c r="L170" t="s">
        <v>1921</v>
      </c>
      <c r="M170" t="s">
        <v>1922</v>
      </c>
      <c r="N170">
        <v>3927.4583229880441</v>
      </c>
      <c r="O170">
        <v>3974.5878228638999</v>
      </c>
      <c r="P170">
        <v>4161.3934505385032</v>
      </c>
      <c r="Q170">
        <v>4494.3049265815825</v>
      </c>
      <c r="R170">
        <v>4678.5714285714284</v>
      </c>
      <c r="S170" t="s">
        <v>1923</v>
      </c>
      <c r="T170" t="s">
        <v>1924</v>
      </c>
      <c r="U170" t="s">
        <v>1623</v>
      </c>
      <c r="V170" t="s">
        <v>49</v>
      </c>
      <c r="W170">
        <v>338996155</v>
      </c>
      <c r="X170">
        <v>339500751</v>
      </c>
      <c r="Y170">
        <v>340560751</v>
      </c>
      <c r="Z170">
        <v>341660751</v>
      </c>
      <c r="AA170">
        <v>343660751</v>
      </c>
      <c r="AB170">
        <v>4437933.1882766364</v>
      </c>
      <c r="AC170">
        <v>1129.9758834615</v>
      </c>
      <c r="AD170">
        <v>4497873.5234074714</v>
      </c>
      <c r="AE170">
        <v>1131.6578533083</v>
      </c>
      <c r="AF170">
        <v>4723977.0221636221</v>
      </c>
      <c r="AG170">
        <v>1135.1911513083001</v>
      </c>
      <c r="AH170">
        <v>5118374.1372096641</v>
      </c>
      <c r="AI170">
        <v>1138.8577813083</v>
      </c>
      <c r="AJ170">
        <v>5359417.6411209749</v>
      </c>
      <c r="AK170">
        <v>1145.5243813083</v>
      </c>
    </row>
    <row r="171" spans="1:37" x14ac:dyDescent="0.35">
      <c r="A171" t="s">
        <v>1925</v>
      </c>
      <c r="B171">
        <v>99.79</v>
      </c>
      <c r="C171" t="s">
        <v>1915</v>
      </c>
      <c r="D171" t="s">
        <v>1926</v>
      </c>
      <c r="E171" t="s">
        <v>1927</v>
      </c>
      <c r="F171">
        <v>3.3332999999999999E-6</v>
      </c>
      <c r="G171" t="s">
        <v>1928</v>
      </c>
      <c r="H171">
        <v>0.5</v>
      </c>
      <c r="I171">
        <v>5.0999999999999996</v>
      </c>
      <c r="J171" t="s">
        <v>1929</v>
      </c>
      <c r="K171" t="s">
        <v>1930</v>
      </c>
      <c r="L171" t="s">
        <v>1931</v>
      </c>
      <c r="M171" t="s">
        <v>1932</v>
      </c>
      <c r="N171">
        <v>3927.4583229880441</v>
      </c>
      <c r="O171">
        <v>3974.5878228638999</v>
      </c>
      <c r="P171">
        <v>4161.3934505385032</v>
      </c>
      <c r="Q171">
        <v>4494.3049265815825</v>
      </c>
      <c r="R171">
        <v>4678.5714285714284</v>
      </c>
      <c r="S171" t="s">
        <v>1933</v>
      </c>
      <c r="T171" t="s">
        <v>1934</v>
      </c>
      <c r="U171" t="s">
        <v>1935</v>
      </c>
      <c r="V171" t="s">
        <v>49</v>
      </c>
      <c r="W171">
        <v>338996155</v>
      </c>
      <c r="X171">
        <v>339500751</v>
      </c>
      <c r="Y171">
        <v>340560751</v>
      </c>
      <c r="Z171">
        <v>341660751</v>
      </c>
      <c r="AA171">
        <v>343660751</v>
      </c>
      <c r="AB171">
        <v>4437933.1882766364</v>
      </c>
      <c r="AC171">
        <v>1129.9758834615</v>
      </c>
      <c r="AD171">
        <v>4497873.5234074714</v>
      </c>
      <c r="AE171">
        <v>1131.6578533083</v>
      </c>
      <c r="AF171">
        <v>4723977.0221636221</v>
      </c>
      <c r="AG171">
        <v>1135.1911513083001</v>
      </c>
      <c r="AH171">
        <v>5118374.1372096641</v>
      </c>
      <c r="AI171">
        <v>1138.8577813083</v>
      </c>
      <c r="AJ171">
        <v>5359417.6411209749</v>
      </c>
      <c r="AK171">
        <v>1145.5243813083</v>
      </c>
    </row>
    <row r="172" spans="1:37" x14ac:dyDescent="0.35">
      <c r="A172" t="s">
        <v>1936</v>
      </c>
      <c r="B172">
        <v>123.76</v>
      </c>
      <c r="C172" t="s">
        <v>1915</v>
      </c>
      <c r="D172" t="s">
        <v>1937</v>
      </c>
      <c r="E172" t="s">
        <v>1938</v>
      </c>
      <c r="F172">
        <v>3.3332999999999999E-6</v>
      </c>
      <c r="G172" t="s">
        <v>1939</v>
      </c>
      <c r="H172">
        <v>0.25</v>
      </c>
      <c r="I172">
        <v>0.1</v>
      </c>
      <c r="J172" t="s">
        <v>1940</v>
      </c>
      <c r="K172" t="s">
        <v>1941</v>
      </c>
      <c r="L172" t="s">
        <v>1942</v>
      </c>
      <c r="M172" t="s">
        <v>1943</v>
      </c>
      <c r="N172">
        <v>3927.4583229880441</v>
      </c>
      <c r="O172">
        <v>3974.5878228638999</v>
      </c>
      <c r="P172">
        <v>4161.3934505385032</v>
      </c>
      <c r="Q172">
        <v>4494.3049265815825</v>
      </c>
      <c r="R172">
        <v>4678.5714285714284</v>
      </c>
      <c r="S172" t="s">
        <v>1944</v>
      </c>
      <c r="T172" t="s">
        <v>1945</v>
      </c>
      <c r="U172" t="s">
        <v>1946</v>
      </c>
      <c r="V172" t="s">
        <v>49</v>
      </c>
      <c r="W172">
        <v>338996155</v>
      </c>
      <c r="X172">
        <v>339500751</v>
      </c>
      <c r="Y172">
        <v>340560751</v>
      </c>
      <c r="Z172">
        <v>341660751</v>
      </c>
      <c r="AA172">
        <v>343660751</v>
      </c>
      <c r="AB172">
        <v>4437933.1882766364</v>
      </c>
      <c r="AC172">
        <v>1129.9758834615</v>
      </c>
      <c r="AD172">
        <v>4497873.5234074714</v>
      </c>
      <c r="AE172">
        <v>1131.6578533083</v>
      </c>
      <c r="AF172">
        <v>4723977.0221636221</v>
      </c>
      <c r="AG172">
        <v>1135.1911513083001</v>
      </c>
      <c r="AH172">
        <v>5118374.1372096641</v>
      </c>
      <c r="AI172">
        <v>1138.8577813083</v>
      </c>
      <c r="AJ172">
        <v>5359417.6411209749</v>
      </c>
      <c r="AK172">
        <v>1145.5243813083</v>
      </c>
    </row>
    <row r="173" spans="1:37" x14ac:dyDescent="0.35">
      <c r="A173" t="s">
        <v>1947</v>
      </c>
      <c r="B173">
        <v>13.43</v>
      </c>
      <c r="C173" t="s">
        <v>1948</v>
      </c>
      <c r="D173" t="s">
        <v>1949</v>
      </c>
      <c r="E173" t="s">
        <v>1950</v>
      </c>
      <c r="F173">
        <v>1.2500000000000001E-2</v>
      </c>
      <c r="G173" t="s">
        <v>1951</v>
      </c>
      <c r="H173">
        <v>0.15</v>
      </c>
      <c r="I173">
        <v>0</v>
      </c>
      <c r="J173" t="s">
        <v>1952</v>
      </c>
      <c r="K173" t="s">
        <v>1953</v>
      </c>
      <c r="L173" t="s">
        <v>1954</v>
      </c>
      <c r="M173" t="s">
        <v>1955</v>
      </c>
      <c r="N173">
        <v>419.72837039566878</v>
      </c>
      <c r="O173">
        <v>424.76511084041681</v>
      </c>
      <c r="P173">
        <v>444.7290710499164</v>
      </c>
      <c r="Q173">
        <v>480.30739673390968</v>
      </c>
      <c r="R173">
        <v>500</v>
      </c>
      <c r="S173" t="s">
        <v>1956</v>
      </c>
      <c r="T173" t="s">
        <v>927</v>
      </c>
      <c r="U173" t="s">
        <v>1957</v>
      </c>
      <c r="V173" t="s">
        <v>94</v>
      </c>
      <c r="W173">
        <v>265472419.80000001</v>
      </c>
      <c r="X173">
        <v>266439117.80000001</v>
      </c>
      <c r="Y173">
        <v>267499117.80000001</v>
      </c>
      <c r="Z173">
        <v>268599117.80000001</v>
      </c>
      <c r="AA173">
        <v>270179117.80000001</v>
      </c>
      <c r="AB173">
        <v>1392828826.8456111</v>
      </c>
      <c r="AC173">
        <v>3318405.247500001</v>
      </c>
      <c r="AD173">
        <v>1414675517.5567479</v>
      </c>
      <c r="AE173">
        <v>3330488.9725000001</v>
      </c>
      <c r="AF173">
        <v>1487057927.0733271</v>
      </c>
      <c r="AG173">
        <v>3343738.9725000001</v>
      </c>
      <c r="AH173">
        <v>1612626787.9442849</v>
      </c>
      <c r="AI173">
        <v>3357488.9725000001</v>
      </c>
      <c r="AJ173">
        <v>1688619486.25</v>
      </c>
      <c r="AK173">
        <v>3377238.9725000001</v>
      </c>
    </row>
    <row r="174" spans="1:37" x14ac:dyDescent="0.35">
      <c r="A174" t="s">
        <v>1958</v>
      </c>
      <c r="B174">
        <v>29.7</v>
      </c>
      <c r="C174" t="s">
        <v>83</v>
      </c>
      <c r="D174" t="s">
        <v>1959</v>
      </c>
      <c r="E174" t="s">
        <v>1960</v>
      </c>
      <c r="F174">
        <v>4.5999999999999999E-2</v>
      </c>
      <c r="G174" t="s">
        <v>1961</v>
      </c>
      <c r="H174">
        <v>0.2</v>
      </c>
      <c r="I174">
        <v>0.01</v>
      </c>
      <c r="J174" t="s">
        <v>1962</v>
      </c>
      <c r="K174" t="s">
        <v>1963</v>
      </c>
      <c r="L174" t="s">
        <v>1964</v>
      </c>
      <c r="M174" t="s">
        <v>1965</v>
      </c>
      <c r="N174">
        <v>963.93530786561541</v>
      </c>
      <c r="O174">
        <v>975.50253156000281</v>
      </c>
      <c r="P174">
        <v>1021.351150543323</v>
      </c>
      <c r="Q174">
        <v>1103.059242586789</v>
      </c>
      <c r="R174">
        <v>1148.2846715328469</v>
      </c>
      <c r="S174" t="s">
        <v>1966</v>
      </c>
      <c r="T174" t="s">
        <v>1967</v>
      </c>
      <c r="U174" t="s">
        <v>1968</v>
      </c>
      <c r="V174" t="s">
        <v>94</v>
      </c>
      <c r="W174">
        <v>265472419.80000001</v>
      </c>
      <c r="X174">
        <v>266439117.80000001</v>
      </c>
      <c r="Y174">
        <v>267499117.80000001</v>
      </c>
      <c r="Z174">
        <v>268599117.80000001</v>
      </c>
      <c r="AA174">
        <v>270179117.80000001</v>
      </c>
      <c r="AB174">
        <v>11771318980.64817</v>
      </c>
      <c r="AC174">
        <v>12211731.310799999</v>
      </c>
      <c r="AD174">
        <v>11955953560.343639</v>
      </c>
      <c r="AE174">
        <v>12256199.4188</v>
      </c>
      <c r="AF174">
        <v>12567684459.780279</v>
      </c>
      <c r="AG174">
        <v>12304959.4188</v>
      </c>
      <c r="AH174">
        <v>13628914014.237591</v>
      </c>
      <c r="AI174">
        <v>12355559.4188</v>
      </c>
      <c r="AJ174">
        <v>14271156818.748341</v>
      </c>
      <c r="AK174">
        <v>12428239.4188</v>
      </c>
    </row>
    <row r="175" spans="1:37" x14ac:dyDescent="0.35">
      <c r="A175" t="s">
        <v>1969</v>
      </c>
      <c r="B175">
        <v>95.98</v>
      </c>
      <c r="C175" t="s">
        <v>613</v>
      </c>
      <c r="D175" t="s">
        <v>1970</v>
      </c>
      <c r="E175" t="s">
        <v>1971</v>
      </c>
      <c r="F175">
        <v>4.6899999999999997E-2</v>
      </c>
      <c r="G175" t="s">
        <v>1972</v>
      </c>
      <c r="H175">
        <v>0.3</v>
      </c>
      <c r="I175">
        <v>0.2</v>
      </c>
      <c r="J175" t="s">
        <v>1973</v>
      </c>
      <c r="K175" t="s">
        <v>1974</v>
      </c>
      <c r="L175" t="s">
        <v>1975</v>
      </c>
      <c r="M175" t="s">
        <v>1976</v>
      </c>
      <c r="N175">
        <v>3294.8677076059998</v>
      </c>
      <c r="O175">
        <v>3334.4061200972719</v>
      </c>
      <c r="P175">
        <v>3491.123207741844</v>
      </c>
      <c r="Q175">
        <v>3770.413064361192</v>
      </c>
      <c r="R175">
        <v>3925</v>
      </c>
      <c r="S175" t="s">
        <v>1977</v>
      </c>
      <c r="T175" t="s">
        <v>1978</v>
      </c>
      <c r="U175" t="s">
        <v>1979</v>
      </c>
      <c r="V175" t="s">
        <v>94</v>
      </c>
      <c r="W175">
        <v>265472419.80000001</v>
      </c>
      <c r="X175">
        <v>266439117.80000001</v>
      </c>
      <c r="Y175">
        <v>267499117.80000001</v>
      </c>
      <c r="Z175">
        <v>268599117.80000001</v>
      </c>
      <c r="AA175">
        <v>270179117.80000001</v>
      </c>
      <c r="AB175">
        <v>41023266002.849152</v>
      </c>
      <c r="AC175">
        <v>12450656.48862</v>
      </c>
      <c r="AD175">
        <v>41666720953.702423</v>
      </c>
      <c r="AE175">
        <v>12495994.62482</v>
      </c>
      <c r="AF175">
        <v>43798614537.676117</v>
      </c>
      <c r="AG175">
        <v>12545708.62482</v>
      </c>
      <c r="AH175">
        <v>47497019310.680603</v>
      </c>
      <c r="AI175">
        <v>12597298.62482</v>
      </c>
      <c r="AJ175">
        <v>49735247452.418503</v>
      </c>
      <c r="AK175">
        <v>12671400.62482</v>
      </c>
    </row>
    <row r="176" spans="1:37" x14ac:dyDescent="0.35">
      <c r="A176" t="s">
        <v>1980</v>
      </c>
      <c r="B176">
        <v>548.91</v>
      </c>
      <c r="C176" t="s">
        <v>278</v>
      </c>
      <c r="D176" t="s">
        <v>1981</v>
      </c>
      <c r="E176" t="s">
        <v>1982</v>
      </c>
      <c r="F176">
        <v>1.2999999999999999E-5</v>
      </c>
      <c r="G176" t="s">
        <v>1983</v>
      </c>
      <c r="H176">
        <v>30.4</v>
      </c>
      <c r="I176">
        <v>57080203051</v>
      </c>
      <c r="J176" t="s">
        <v>1984</v>
      </c>
      <c r="K176" t="s">
        <v>1985</v>
      </c>
      <c r="L176" t="s">
        <v>1986</v>
      </c>
      <c r="M176" t="s">
        <v>1987</v>
      </c>
      <c r="N176">
        <v>117659.73818356229</v>
      </c>
      <c r="O176">
        <v>119071.655041765</v>
      </c>
      <c r="P176">
        <v>124668.022828728</v>
      </c>
      <c r="Q176">
        <v>134641.46465502621</v>
      </c>
      <c r="R176">
        <v>140161.76470588229</v>
      </c>
      <c r="S176" t="s">
        <v>1988</v>
      </c>
      <c r="T176" t="s">
        <v>1989</v>
      </c>
      <c r="U176" t="s">
        <v>1990</v>
      </c>
      <c r="V176" t="s">
        <v>49</v>
      </c>
      <c r="W176">
        <v>338996155</v>
      </c>
      <c r="X176">
        <v>339500751</v>
      </c>
      <c r="Y176">
        <v>340560751</v>
      </c>
      <c r="Z176">
        <v>341660751</v>
      </c>
      <c r="AA176">
        <v>343660751</v>
      </c>
      <c r="AB176">
        <v>518520584.95294589</v>
      </c>
      <c r="AC176">
        <v>4406.9500149999994</v>
      </c>
      <c r="AD176">
        <v>525523912.02339822</v>
      </c>
      <c r="AE176">
        <v>4413.509763</v>
      </c>
      <c r="AF176">
        <v>551941461.24307775</v>
      </c>
      <c r="AG176">
        <v>4427.2897629999998</v>
      </c>
      <c r="AH176">
        <v>598022151.08709085</v>
      </c>
      <c r="AI176">
        <v>4441.5897629999999</v>
      </c>
      <c r="AJ176">
        <v>626185265.16401446</v>
      </c>
      <c r="AK176">
        <v>4467.5897629999999</v>
      </c>
    </row>
    <row r="177" spans="1:37" x14ac:dyDescent="0.35">
      <c r="A177" t="s">
        <v>1991</v>
      </c>
      <c r="B177">
        <v>261.31</v>
      </c>
      <c r="C177" t="s">
        <v>83</v>
      </c>
      <c r="D177" t="s">
        <v>1992</v>
      </c>
      <c r="E177" t="s">
        <v>672</v>
      </c>
      <c r="F177">
        <v>4.5999999999999999E-2</v>
      </c>
      <c r="G177" t="s">
        <v>1993</v>
      </c>
      <c r="H177">
        <v>0.2</v>
      </c>
      <c r="I177">
        <v>0.05</v>
      </c>
      <c r="J177" t="s">
        <v>1994</v>
      </c>
      <c r="K177" t="s">
        <v>1995</v>
      </c>
      <c r="L177" t="s">
        <v>1996</v>
      </c>
      <c r="M177" t="s">
        <v>1997</v>
      </c>
      <c r="N177">
        <v>963.93530786561541</v>
      </c>
      <c r="O177">
        <v>975.50253156000281</v>
      </c>
      <c r="P177">
        <v>1021.351150543323</v>
      </c>
      <c r="Q177">
        <v>1103.059242586789</v>
      </c>
      <c r="R177">
        <v>1148.2846715328469</v>
      </c>
      <c r="S177" t="s">
        <v>1998</v>
      </c>
      <c r="T177" t="s">
        <v>1999</v>
      </c>
      <c r="U177" t="s">
        <v>2000</v>
      </c>
      <c r="V177" t="s">
        <v>94</v>
      </c>
      <c r="W177">
        <v>265472419.80000001</v>
      </c>
      <c r="X177">
        <v>266439117.80000001</v>
      </c>
      <c r="Y177">
        <v>267499117.80000001</v>
      </c>
      <c r="Z177">
        <v>268599117.80000001</v>
      </c>
      <c r="AA177">
        <v>270179117.80000001</v>
      </c>
      <c r="AB177">
        <v>11771318980.64817</v>
      </c>
      <c r="AC177">
        <v>12211731.310799999</v>
      </c>
      <c r="AD177">
        <v>11955953560.343639</v>
      </c>
      <c r="AE177">
        <v>12256199.4188</v>
      </c>
      <c r="AF177">
        <v>12567684459.780279</v>
      </c>
      <c r="AG177">
        <v>12304959.4188</v>
      </c>
      <c r="AH177">
        <v>13628914014.237591</v>
      </c>
      <c r="AI177">
        <v>12355559.4188</v>
      </c>
      <c r="AJ177">
        <v>14271156818.748341</v>
      </c>
      <c r="AK177">
        <v>12428239.4188</v>
      </c>
    </row>
    <row r="178" spans="1:37" x14ac:dyDescent="0.35">
      <c r="A178" t="s">
        <v>2001</v>
      </c>
      <c r="B178">
        <v>98.53</v>
      </c>
      <c r="C178" t="s">
        <v>83</v>
      </c>
      <c r="D178" t="s">
        <v>777</v>
      </c>
      <c r="E178" t="s">
        <v>2002</v>
      </c>
      <c r="F178">
        <v>4.5999999999999999E-2</v>
      </c>
      <c r="G178" t="s">
        <v>2003</v>
      </c>
      <c r="H178">
        <v>0.1</v>
      </c>
      <c r="I178">
        <v>0.01</v>
      </c>
      <c r="J178" t="s">
        <v>2004</v>
      </c>
      <c r="K178" t="s">
        <v>2005</v>
      </c>
      <c r="L178" t="s">
        <v>2006</v>
      </c>
      <c r="M178" t="s">
        <v>2007</v>
      </c>
      <c r="N178">
        <v>963.93530786561541</v>
      </c>
      <c r="O178">
        <v>975.50253156000281</v>
      </c>
      <c r="P178">
        <v>1021.351150543323</v>
      </c>
      <c r="Q178">
        <v>1103.059242586789</v>
      </c>
      <c r="R178">
        <v>1148.2846715328469</v>
      </c>
      <c r="S178" t="s">
        <v>2008</v>
      </c>
      <c r="T178" t="s">
        <v>2009</v>
      </c>
      <c r="U178" t="s">
        <v>2010</v>
      </c>
      <c r="V178" t="s">
        <v>94</v>
      </c>
      <c r="W178">
        <v>265472419.80000001</v>
      </c>
      <c r="X178">
        <v>266439117.80000001</v>
      </c>
      <c r="Y178">
        <v>267499117.80000001</v>
      </c>
      <c r="Z178">
        <v>268599117.80000001</v>
      </c>
      <c r="AA178">
        <v>270179117.80000001</v>
      </c>
      <c r="AB178">
        <v>11771318980.64817</v>
      </c>
      <c r="AC178">
        <v>12211731.310799999</v>
      </c>
      <c r="AD178">
        <v>11955953560.343639</v>
      </c>
      <c r="AE178">
        <v>12256199.4188</v>
      </c>
      <c r="AF178">
        <v>12567684459.780279</v>
      </c>
      <c r="AG178">
        <v>12304959.4188</v>
      </c>
      <c r="AH178">
        <v>13628914014.237591</v>
      </c>
      <c r="AI178">
        <v>12355559.4188</v>
      </c>
      <c r="AJ178">
        <v>14271156818.748341</v>
      </c>
      <c r="AK178">
        <v>12428239.4188</v>
      </c>
    </row>
    <row r="179" spans="1:37" x14ac:dyDescent="0.35">
      <c r="A179" t="s">
        <v>2011</v>
      </c>
      <c r="B179">
        <v>98.45</v>
      </c>
      <c r="C179" t="s">
        <v>83</v>
      </c>
      <c r="D179" t="s">
        <v>2012</v>
      </c>
      <c r="E179" t="s">
        <v>2013</v>
      </c>
      <c r="F179">
        <v>4.5999999999999999E-2</v>
      </c>
      <c r="G179" t="s">
        <v>2014</v>
      </c>
      <c r="H179">
        <v>15.3</v>
      </c>
      <c r="I179">
        <v>0.3</v>
      </c>
      <c r="J179" t="s">
        <v>2015</v>
      </c>
      <c r="K179" t="s">
        <v>2016</v>
      </c>
      <c r="L179" t="s">
        <v>2017</v>
      </c>
      <c r="M179" t="s">
        <v>2018</v>
      </c>
      <c r="N179">
        <v>963.93530786561541</v>
      </c>
      <c r="O179">
        <v>975.50253156000281</v>
      </c>
      <c r="P179">
        <v>1021.351150543323</v>
      </c>
      <c r="Q179">
        <v>1103.059242586789</v>
      </c>
      <c r="R179">
        <v>1148.2846715328469</v>
      </c>
      <c r="S179" t="s">
        <v>2019</v>
      </c>
      <c r="T179" t="s">
        <v>2020</v>
      </c>
      <c r="U179" t="s">
        <v>2021</v>
      </c>
      <c r="V179" t="s">
        <v>94</v>
      </c>
      <c r="W179">
        <v>265472419.80000001</v>
      </c>
      <c r="X179">
        <v>266439117.80000001</v>
      </c>
      <c r="Y179">
        <v>267499117.80000001</v>
      </c>
      <c r="Z179">
        <v>268599117.80000001</v>
      </c>
      <c r="AA179">
        <v>270179117.80000001</v>
      </c>
      <c r="AB179">
        <v>11771318980.64817</v>
      </c>
      <c r="AC179">
        <v>12211731.310799999</v>
      </c>
      <c r="AD179">
        <v>11955953560.343639</v>
      </c>
      <c r="AE179">
        <v>12256199.4188</v>
      </c>
      <c r="AF179">
        <v>12567684459.780279</v>
      </c>
      <c r="AG179">
        <v>12304959.4188</v>
      </c>
      <c r="AH179">
        <v>13628914014.237591</v>
      </c>
      <c r="AI179">
        <v>12355559.4188</v>
      </c>
      <c r="AJ179">
        <v>14271156818.748341</v>
      </c>
      <c r="AK179">
        <v>12428239.4188</v>
      </c>
    </row>
    <row r="180" spans="1:37" x14ac:dyDescent="0.35">
      <c r="A180" t="s">
        <v>2022</v>
      </c>
      <c r="B180">
        <v>101.61</v>
      </c>
      <c r="C180" t="s">
        <v>83</v>
      </c>
      <c r="D180" t="s">
        <v>2023</v>
      </c>
      <c r="E180" t="s">
        <v>705</v>
      </c>
      <c r="F180">
        <v>4.5999999999999999E-2</v>
      </c>
      <c r="G180" t="s">
        <v>2024</v>
      </c>
      <c r="H180">
        <v>0.1</v>
      </c>
      <c r="I180">
        <v>0.05</v>
      </c>
      <c r="J180" t="s">
        <v>2025</v>
      </c>
      <c r="K180" t="s">
        <v>2026</v>
      </c>
      <c r="L180" t="s">
        <v>2027</v>
      </c>
      <c r="M180" t="s">
        <v>2028</v>
      </c>
      <c r="N180">
        <v>963.93530786561541</v>
      </c>
      <c r="O180">
        <v>975.50253156000281</v>
      </c>
      <c r="P180">
        <v>1021.351150543323</v>
      </c>
      <c r="Q180">
        <v>1103.059242586789</v>
      </c>
      <c r="R180">
        <v>1148.2846715328469</v>
      </c>
      <c r="S180" t="s">
        <v>2029</v>
      </c>
      <c r="T180" t="s">
        <v>2030</v>
      </c>
      <c r="U180" t="s">
        <v>2031</v>
      </c>
      <c r="V180" t="s">
        <v>94</v>
      </c>
      <c r="W180">
        <v>265472419.80000001</v>
      </c>
      <c r="X180">
        <v>266439117.80000001</v>
      </c>
      <c r="Y180">
        <v>267499117.80000001</v>
      </c>
      <c r="Z180">
        <v>268599117.80000001</v>
      </c>
      <c r="AA180">
        <v>270179117.80000001</v>
      </c>
      <c r="AB180">
        <v>11771318980.64817</v>
      </c>
      <c r="AC180">
        <v>12211731.310799999</v>
      </c>
      <c r="AD180">
        <v>11955953560.343639</v>
      </c>
      <c r="AE180">
        <v>12256199.4188</v>
      </c>
      <c r="AF180">
        <v>12567684459.780279</v>
      </c>
      <c r="AG180">
        <v>12304959.4188</v>
      </c>
      <c r="AH180">
        <v>13628914014.237591</v>
      </c>
      <c r="AI180">
        <v>12355559.4188</v>
      </c>
      <c r="AJ180">
        <v>14271156818.748341</v>
      </c>
      <c r="AK180">
        <v>12428239.4188</v>
      </c>
    </row>
    <row r="181" spans="1:37" x14ac:dyDescent="0.35">
      <c r="A181" t="s">
        <v>2032</v>
      </c>
      <c r="B181">
        <v>100.11</v>
      </c>
      <c r="C181" t="s">
        <v>83</v>
      </c>
      <c r="D181" t="s">
        <v>2033</v>
      </c>
      <c r="E181" t="s">
        <v>2034</v>
      </c>
      <c r="F181">
        <v>4.5999999999999999E-2</v>
      </c>
      <c r="G181" t="s">
        <v>2035</v>
      </c>
      <c r="H181">
        <v>0.2</v>
      </c>
      <c r="I181">
        <v>0.01</v>
      </c>
      <c r="J181" t="s">
        <v>2036</v>
      </c>
      <c r="K181" t="s">
        <v>2037</v>
      </c>
      <c r="L181" t="s">
        <v>2038</v>
      </c>
      <c r="M181" t="s">
        <v>2039</v>
      </c>
      <c r="N181">
        <v>963.93530786561541</v>
      </c>
      <c r="O181">
        <v>975.50253156000281</v>
      </c>
      <c r="P181">
        <v>1021.351150543323</v>
      </c>
      <c r="Q181">
        <v>1103.059242586789</v>
      </c>
      <c r="R181">
        <v>1148.2846715328469</v>
      </c>
      <c r="S181" t="s">
        <v>2040</v>
      </c>
      <c r="T181" t="s">
        <v>2041</v>
      </c>
      <c r="U181" t="s">
        <v>786</v>
      </c>
      <c r="V181" t="s">
        <v>94</v>
      </c>
      <c r="W181">
        <v>265472419.80000001</v>
      </c>
      <c r="X181">
        <v>266439117.80000001</v>
      </c>
      <c r="Y181">
        <v>267499117.80000001</v>
      </c>
      <c r="Z181">
        <v>268599117.80000001</v>
      </c>
      <c r="AA181">
        <v>270179117.80000001</v>
      </c>
      <c r="AB181">
        <v>11771318980.64817</v>
      </c>
      <c r="AC181">
        <v>12211731.310799999</v>
      </c>
      <c r="AD181">
        <v>11955953560.343639</v>
      </c>
      <c r="AE181">
        <v>12256199.4188</v>
      </c>
      <c r="AF181">
        <v>12567684459.780279</v>
      </c>
      <c r="AG181">
        <v>12304959.4188</v>
      </c>
      <c r="AH181">
        <v>13628914014.237591</v>
      </c>
      <c r="AI181">
        <v>12355559.4188</v>
      </c>
      <c r="AJ181">
        <v>14271156818.748341</v>
      </c>
      <c r="AK181">
        <v>12428239.4188</v>
      </c>
    </row>
    <row r="182" spans="1:37" x14ac:dyDescent="0.35">
      <c r="A182" t="s">
        <v>2042</v>
      </c>
      <c r="B182">
        <v>98.75</v>
      </c>
      <c r="C182" t="s">
        <v>83</v>
      </c>
      <c r="D182" t="s">
        <v>2043</v>
      </c>
      <c r="E182" t="s">
        <v>1439</v>
      </c>
      <c r="F182">
        <v>4.5999999999999999E-2</v>
      </c>
      <c r="G182" t="s">
        <v>2044</v>
      </c>
      <c r="H182">
        <v>0.1</v>
      </c>
      <c r="I182">
        <v>0.01</v>
      </c>
      <c r="J182" t="s">
        <v>2045</v>
      </c>
      <c r="K182" t="s">
        <v>2046</v>
      </c>
      <c r="L182" t="s">
        <v>2047</v>
      </c>
      <c r="M182" t="s">
        <v>2048</v>
      </c>
      <c r="N182">
        <v>963.93530786561541</v>
      </c>
      <c r="O182">
        <v>975.50253156000281</v>
      </c>
      <c r="P182">
        <v>1021.351150543323</v>
      </c>
      <c r="Q182">
        <v>1103.059242586789</v>
      </c>
      <c r="R182">
        <v>1148.2846715328469</v>
      </c>
      <c r="S182" t="s">
        <v>2049</v>
      </c>
      <c r="T182" t="s">
        <v>2050</v>
      </c>
      <c r="U182" t="s">
        <v>702</v>
      </c>
      <c r="V182" t="s">
        <v>94</v>
      </c>
      <c r="W182">
        <v>265472419.80000001</v>
      </c>
      <c r="X182">
        <v>266439117.80000001</v>
      </c>
      <c r="Y182">
        <v>267499117.80000001</v>
      </c>
      <c r="Z182">
        <v>268599117.80000001</v>
      </c>
      <c r="AA182">
        <v>270179117.80000001</v>
      </c>
      <c r="AB182">
        <v>11771318980.64817</v>
      </c>
      <c r="AC182">
        <v>12211731.310799999</v>
      </c>
      <c r="AD182">
        <v>11955953560.343639</v>
      </c>
      <c r="AE182">
        <v>12256199.4188</v>
      </c>
      <c r="AF182">
        <v>12567684459.780279</v>
      </c>
      <c r="AG182">
        <v>12304959.4188</v>
      </c>
      <c r="AH182">
        <v>13628914014.237591</v>
      </c>
      <c r="AI182">
        <v>12355559.4188</v>
      </c>
      <c r="AJ182">
        <v>14271156818.748341</v>
      </c>
      <c r="AK182">
        <v>12428239.4188</v>
      </c>
    </row>
    <row r="183" spans="1:37" x14ac:dyDescent="0.35">
      <c r="A183" t="s">
        <v>2051</v>
      </c>
      <c r="B183">
        <v>100.14</v>
      </c>
      <c r="C183" t="s">
        <v>83</v>
      </c>
      <c r="D183" t="s">
        <v>2052</v>
      </c>
      <c r="E183" t="s">
        <v>2053</v>
      </c>
      <c r="F183">
        <v>4.5999999999999999E-2</v>
      </c>
      <c r="G183" t="s">
        <v>2054</v>
      </c>
      <c r="H183">
        <v>0.3</v>
      </c>
      <c r="I183">
        <v>0.12</v>
      </c>
      <c r="J183" t="s">
        <v>2055</v>
      </c>
      <c r="K183" t="s">
        <v>2056</v>
      </c>
      <c r="L183" t="s">
        <v>2057</v>
      </c>
      <c r="M183" t="s">
        <v>2058</v>
      </c>
      <c r="N183">
        <v>963.93530786561541</v>
      </c>
      <c r="O183">
        <v>975.50253156000281</v>
      </c>
      <c r="P183">
        <v>1021.351150543323</v>
      </c>
      <c r="Q183">
        <v>1103.059242586789</v>
      </c>
      <c r="R183">
        <v>1148.2846715328469</v>
      </c>
      <c r="S183" t="s">
        <v>2059</v>
      </c>
      <c r="T183" t="s">
        <v>2020</v>
      </c>
      <c r="U183" t="s">
        <v>2060</v>
      </c>
      <c r="V183" t="s">
        <v>94</v>
      </c>
      <c r="W183">
        <v>265472419.80000001</v>
      </c>
      <c r="X183">
        <v>266439117.80000001</v>
      </c>
      <c r="Y183">
        <v>267499117.80000001</v>
      </c>
      <c r="Z183">
        <v>268599117.80000001</v>
      </c>
      <c r="AA183">
        <v>270179117.80000001</v>
      </c>
      <c r="AB183">
        <v>11771318980.64817</v>
      </c>
      <c r="AC183">
        <v>12211731.310799999</v>
      </c>
      <c r="AD183">
        <v>11955953560.343639</v>
      </c>
      <c r="AE183">
        <v>12256199.4188</v>
      </c>
      <c r="AF183">
        <v>12567684459.780279</v>
      </c>
      <c r="AG183">
        <v>12304959.4188</v>
      </c>
      <c r="AH183">
        <v>13628914014.237591</v>
      </c>
      <c r="AI183">
        <v>12355559.4188</v>
      </c>
      <c r="AJ183">
        <v>14271156818.748341</v>
      </c>
      <c r="AK183">
        <v>12428239.4188</v>
      </c>
    </row>
    <row r="184" spans="1:37" x14ac:dyDescent="0.35">
      <c r="A184" t="s">
        <v>2061</v>
      </c>
      <c r="B184">
        <v>98.89</v>
      </c>
      <c r="C184" t="s">
        <v>83</v>
      </c>
      <c r="D184" t="s">
        <v>2062</v>
      </c>
      <c r="E184" t="s">
        <v>2063</v>
      </c>
      <c r="F184">
        <v>4.5999999999999999E-2</v>
      </c>
      <c r="G184" t="s">
        <v>2064</v>
      </c>
      <c r="H184">
        <v>0.3</v>
      </c>
      <c r="I184">
        <v>0.01</v>
      </c>
      <c r="J184" t="s">
        <v>2065</v>
      </c>
      <c r="K184" t="s">
        <v>2066</v>
      </c>
      <c r="L184" t="s">
        <v>2067</v>
      </c>
      <c r="M184" t="s">
        <v>2068</v>
      </c>
      <c r="N184">
        <v>963.93530786561541</v>
      </c>
      <c r="O184">
        <v>975.50253156000281</v>
      </c>
      <c r="P184">
        <v>1021.351150543323</v>
      </c>
      <c r="Q184">
        <v>1103.059242586789</v>
      </c>
      <c r="R184">
        <v>1148.2846715328469</v>
      </c>
      <c r="S184" t="s">
        <v>2069</v>
      </c>
      <c r="T184" t="s">
        <v>2070</v>
      </c>
      <c r="U184" t="s">
        <v>2071</v>
      </c>
      <c r="V184" t="s">
        <v>94</v>
      </c>
      <c r="W184">
        <v>265472419.80000001</v>
      </c>
      <c r="X184">
        <v>266439117.80000001</v>
      </c>
      <c r="Y184">
        <v>267499117.80000001</v>
      </c>
      <c r="Z184">
        <v>268599117.80000001</v>
      </c>
      <c r="AA184">
        <v>270179117.80000001</v>
      </c>
      <c r="AB184">
        <v>11771318980.64817</v>
      </c>
      <c r="AC184">
        <v>12211731.310799999</v>
      </c>
      <c r="AD184">
        <v>11955953560.343639</v>
      </c>
      <c r="AE184">
        <v>12256199.4188</v>
      </c>
      <c r="AF184">
        <v>12567684459.780279</v>
      </c>
      <c r="AG184">
        <v>12304959.4188</v>
      </c>
      <c r="AH184">
        <v>13628914014.237591</v>
      </c>
      <c r="AI184">
        <v>12355559.4188</v>
      </c>
      <c r="AJ184">
        <v>14271156818.748341</v>
      </c>
      <c r="AK184">
        <v>12428239.4188</v>
      </c>
    </row>
    <row r="185" spans="1:37" x14ac:dyDescent="0.35">
      <c r="A185" t="s">
        <v>2072</v>
      </c>
      <c r="B185">
        <v>98.77</v>
      </c>
      <c r="C185" t="s">
        <v>83</v>
      </c>
      <c r="D185" t="s">
        <v>2073</v>
      </c>
      <c r="E185" t="s">
        <v>2074</v>
      </c>
      <c r="F185">
        <v>4.5999999999999999E-2</v>
      </c>
      <c r="G185" t="s">
        <v>2075</v>
      </c>
      <c r="H185">
        <v>0.2</v>
      </c>
      <c r="I185">
        <v>0.05</v>
      </c>
      <c r="J185" t="s">
        <v>2076</v>
      </c>
      <c r="K185" t="s">
        <v>2077</v>
      </c>
      <c r="L185" t="s">
        <v>2078</v>
      </c>
      <c r="M185" t="s">
        <v>2079</v>
      </c>
      <c r="N185">
        <v>963.93530786561541</v>
      </c>
      <c r="O185">
        <v>975.50253156000281</v>
      </c>
      <c r="P185">
        <v>1021.351150543323</v>
      </c>
      <c r="Q185">
        <v>1103.059242586789</v>
      </c>
      <c r="R185">
        <v>1148.2846715328469</v>
      </c>
      <c r="S185" t="s">
        <v>2080</v>
      </c>
      <c r="T185" t="s">
        <v>2081</v>
      </c>
      <c r="U185" t="s">
        <v>2082</v>
      </c>
      <c r="V185" t="s">
        <v>94</v>
      </c>
      <c r="W185">
        <v>265472419.80000001</v>
      </c>
      <c r="X185">
        <v>266439117.80000001</v>
      </c>
      <c r="Y185">
        <v>267499117.80000001</v>
      </c>
      <c r="Z185">
        <v>268599117.80000001</v>
      </c>
      <c r="AA185">
        <v>270179117.80000001</v>
      </c>
      <c r="AB185">
        <v>11771318980.64817</v>
      </c>
      <c r="AC185">
        <v>12211731.310799999</v>
      </c>
      <c r="AD185">
        <v>11955953560.343639</v>
      </c>
      <c r="AE185">
        <v>12256199.4188</v>
      </c>
      <c r="AF185">
        <v>12567684459.780279</v>
      </c>
      <c r="AG185">
        <v>12304959.4188</v>
      </c>
      <c r="AH185">
        <v>13628914014.237591</v>
      </c>
      <c r="AI185">
        <v>12355559.4188</v>
      </c>
      <c r="AJ185">
        <v>14271156818.748341</v>
      </c>
      <c r="AK185">
        <v>12428239.4188</v>
      </c>
    </row>
    <row r="186" spans="1:37" x14ac:dyDescent="0.35">
      <c r="A186" t="s">
        <v>2083</v>
      </c>
      <c r="B186">
        <v>98.75</v>
      </c>
      <c r="C186" t="s">
        <v>83</v>
      </c>
      <c r="D186" t="s">
        <v>2084</v>
      </c>
      <c r="E186" t="s">
        <v>2085</v>
      </c>
      <c r="F186">
        <v>4.5999999999999999E-2</v>
      </c>
      <c r="G186" t="s">
        <v>2086</v>
      </c>
      <c r="H186">
        <v>0.3</v>
      </c>
      <c r="I186">
        <v>0.05</v>
      </c>
      <c r="J186" t="s">
        <v>2087</v>
      </c>
      <c r="K186" t="s">
        <v>2088</v>
      </c>
      <c r="L186" t="s">
        <v>2089</v>
      </c>
      <c r="M186" t="s">
        <v>2090</v>
      </c>
      <c r="N186">
        <v>963.93530786561541</v>
      </c>
      <c r="O186">
        <v>975.50253156000281</v>
      </c>
      <c r="P186">
        <v>1021.351150543323</v>
      </c>
      <c r="Q186">
        <v>1103.059242586789</v>
      </c>
      <c r="R186">
        <v>1148.2846715328469</v>
      </c>
      <c r="S186" t="s">
        <v>2091</v>
      </c>
      <c r="T186" t="s">
        <v>1845</v>
      </c>
      <c r="U186" t="s">
        <v>2092</v>
      </c>
      <c r="V186" t="s">
        <v>94</v>
      </c>
      <c r="W186">
        <v>265472419.80000001</v>
      </c>
      <c r="X186">
        <v>266439117.80000001</v>
      </c>
      <c r="Y186">
        <v>267499117.80000001</v>
      </c>
      <c r="Z186">
        <v>268599117.80000001</v>
      </c>
      <c r="AA186">
        <v>270179117.80000001</v>
      </c>
      <c r="AB186">
        <v>11771318980.64817</v>
      </c>
      <c r="AC186">
        <v>12211731.310799999</v>
      </c>
      <c r="AD186">
        <v>11955953560.343639</v>
      </c>
      <c r="AE186">
        <v>12256199.4188</v>
      </c>
      <c r="AF186">
        <v>12567684459.780279</v>
      </c>
      <c r="AG186">
        <v>12304959.4188</v>
      </c>
      <c r="AH186">
        <v>13628914014.237591</v>
      </c>
      <c r="AI186">
        <v>12355559.4188</v>
      </c>
      <c r="AJ186">
        <v>14271156818.748341</v>
      </c>
      <c r="AK186">
        <v>12428239.4188</v>
      </c>
    </row>
    <row r="187" spans="1:37" x14ac:dyDescent="0.35">
      <c r="A187" t="s">
        <v>2093</v>
      </c>
      <c r="B187">
        <v>98.85</v>
      </c>
      <c r="C187" t="s">
        <v>83</v>
      </c>
      <c r="D187" t="s">
        <v>2094</v>
      </c>
      <c r="E187" t="s">
        <v>2095</v>
      </c>
      <c r="F187">
        <v>4.5999999999999999E-2</v>
      </c>
      <c r="G187" t="s">
        <v>2096</v>
      </c>
      <c r="H187">
        <v>0.2</v>
      </c>
      <c r="I187">
        <v>0.1</v>
      </c>
      <c r="J187" t="s">
        <v>2097</v>
      </c>
      <c r="K187" t="s">
        <v>2098</v>
      </c>
      <c r="L187" t="s">
        <v>2099</v>
      </c>
      <c r="M187" t="s">
        <v>2100</v>
      </c>
      <c r="N187">
        <v>963.93530786561541</v>
      </c>
      <c r="O187">
        <v>975.50253156000281</v>
      </c>
      <c r="P187">
        <v>1021.351150543323</v>
      </c>
      <c r="Q187">
        <v>1103.059242586789</v>
      </c>
      <c r="R187">
        <v>1148.2846715328469</v>
      </c>
      <c r="S187" t="s">
        <v>2101</v>
      </c>
      <c r="T187" t="s">
        <v>2102</v>
      </c>
      <c r="U187" t="s">
        <v>2103</v>
      </c>
      <c r="V187" t="s">
        <v>94</v>
      </c>
      <c r="W187">
        <v>265472419.80000001</v>
      </c>
      <c r="X187">
        <v>266439117.80000001</v>
      </c>
      <c r="Y187">
        <v>267499117.80000001</v>
      </c>
      <c r="Z187">
        <v>268599117.80000001</v>
      </c>
      <c r="AA187">
        <v>270179117.80000001</v>
      </c>
      <c r="AB187">
        <v>11771318980.64817</v>
      </c>
      <c r="AC187">
        <v>12211731.310799999</v>
      </c>
      <c r="AD187">
        <v>11955953560.343639</v>
      </c>
      <c r="AE187">
        <v>12256199.4188</v>
      </c>
      <c r="AF187">
        <v>12567684459.780279</v>
      </c>
      <c r="AG187">
        <v>12304959.4188</v>
      </c>
      <c r="AH187">
        <v>13628914014.237591</v>
      </c>
      <c r="AI187">
        <v>12355559.4188</v>
      </c>
      <c r="AJ187">
        <v>14271156818.748341</v>
      </c>
      <c r="AK187">
        <v>12428239.4188</v>
      </c>
    </row>
    <row r="188" spans="1:37" x14ac:dyDescent="0.35">
      <c r="A188" t="s">
        <v>2104</v>
      </c>
      <c r="B188">
        <v>98.68</v>
      </c>
      <c r="C188" t="s">
        <v>83</v>
      </c>
      <c r="D188" t="s">
        <v>2105</v>
      </c>
      <c r="E188" t="s">
        <v>2106</v>
      </c>
      <c r="F188">
        <v>4.5999999999999999E-2</v>
      </c>
      <c r="G188" t="s">
        <v>2107</v>
      </c>
      <c r="H188">
        <v>0.3</v>
      </c>
      <c r="I188">
        <v>0.02</v>
      </c>
      <c r="J188" t="s">
        <v>2108</v>
      </c>
      <c r="K188" t="s">
        <v>2109</v>
      </c>
      <c r="L188" t="s">
        <v>2110</v>
      </c>
      <c r="M188" t="s">
        <v>2111</v>
      </c>
      <c r="N188">
        <v>963.93530786561541</v>
      </c>
      <c r="O188">
        <v>975.50253156000281</v>
      </c>
      <c r="P188">
        <v>1021.351150543323</v>
      </c>
      <c r="Q188">
        <v>1103.059242586789</v>
      </c>
      <c r="R188">
        <v>1148.2846715328469</v>
      </c>
      <c r="S188" t="s">
        <v>2112</v>
      </c>
      <c r="T188" t="s">
        <v>2113</v>
      </c>
      <c r="U188" t="s">
        <v>829</v>
      </c>
      <c r="V188" t="s">
        <v>94</v>
      </c>
      <c r="W188">
        <v>265472419.80000001</v>
      </c>
      <c r="X188">
        <v>266439117.80000001</v>
      </c>
      <c r="Y188">
        <v>267499117.80000001</v>
      </c>
      <c r="Z188">
        <v>268599117.80000001</v>
      </c>
      <c r="AA188">
        <v>270179117.80000001</v>
      </c>
      <c r="AB188">
        <v>11771318980.64817</v>
      </c>
      <c r="AC188">
        <v>12211731.310799999</v>
      </c>
      <c r="AD188">
        <v>11955953560.343639</v>
      </c>
      <c r="AE188">
        <v>12256199.4188</v>
      </c>
      <c r="AF188">
        <v>12567684459.780279</v>
      </c>
      <c r="AG188">
        <v>12304959.4188</v>
      </c>
      <c r="AH188">
        <v>13628914014.237591</v>
      </c>
      <c r="AI188">
        <v>12355559.4188</v>
      </c>
      <c r="AJ188">
        <v>14271156818.748341</v>
      </c>
      <c r="AK188">
        <v>12428239.4188</v>
      </c>
    </row>
    <row r="189" spans="1:37" x14ac:dyDescent="0.35">
      <c r="A189" t="s">
        <v>2114</v>
      </c>
      <c r="B189">
        <v>98.9</v>
      </c>
      <c r="C189" t="s">
        <v>83</v>
      </c>
      <c r="D189" t="s">
        <v>2115</v>
      </c>
      <c r="E189" t="s">
        <v>716</v>
      </c>
      <c r="F189">
        <v>4.5999999999999999E-2</v>
      </c>
      <c r="G189" t="s">
        <v>2116</v>
      </c>
      <c r="H189">
        <v>10.15</v>
      </c>
      <c r="I189">
        <v>0.12</v>
      </c>
      <c r="J189" t="s">
        <v>2117</v>
      </c>
      <c r="K189" t="s">
        <v>2118</v>
      </c>
      <c r="L189" t="s">
        <v>2119</v>
      </c>
      <c r="M189" t="s">
        <v>2120</v>
      </c>
      <c r="N189">
        <v>963.93530786561541</v>
      </c>
      <c r="O189">
        <v>975.50253156000281</v>
      </c>
      <c r="P189">
        <v>1021.351150543323</v>
      </c>
      <c r="Q189">
        <v>1103.059242586789</v>
      </c>
      <c r="R189">
        <v>1148.2846715328469</v>
      </c>
      <c r="S189" t="s">
        <v>2121</v>
      </c>
      <c r="T189" t="s">
        <v>2122</v>
      </c>
      <c r="U189" t="s">
        <v>2103</v>
      </c>
      <c r="V189" t="s">
        <v>94</v>
      </c>
      <c r="W189">
        <v>265472419.80000001</v>
      </c>
      <c r="X189">
        <v>266439117.80000001</v>
      </c>
      <c r="Y189">
        <v>267499117.80000001</v>
      </c>
      <c r="Z189">
        <v>268599117.80000001</v>
      </c>
      <c r="AA189">
        <v>270179117.80000001</v>
      </c>
      <c r="AB189">
        <v>11771318980.64817</v>
      </c>
      <c r="AC189">
        <v>12211731.310799999</v>
      </c>
      <c r="AD189">
        <v>11955953560.343639</v>
      </c>
      <c r="AE189">
        <v>12256199.4188</v>
      </c>
      <c r="AF189">
        <v>12567684459.780279</v>
      </c>
      <c r="AG189">
        <v>12304959.4188</v>
      </c>
      <c r="AH189">
        <v>13628914014.237591</v>
      </c>
      <c r="AI189">
        <v>12355559.4188</v>
      </c>
      <c r="AJ189">
        <v>14271156818.748341</v>
      </c>
      <c r="AK189">
        <v>12428239.4188</v>
      </c>
    </row>
    <row r="190" spans="1:37" x14ac:dyDescent="0.35">
      <c r="A190" t="s">
        <v>2123</v>
      </c>
      <c r="B190">
        <v>99.11</v>
      </c>
      <c r="C190" t="s">
        <v>83</v>
      </c>
      <c r="D190" t="s">
        <v>2124</v>
      </c>
      <c r="E190" t="s">
        <v>118</v>
      </c>
      <c r="F190">
        <v>4.5999999999999999E-2</v>
      </c>
      <c r="G190" t="s">
        <v>2125</v>
      </c>
      <c r="H190">
        <v>0.3</v>
      </c>
      <c r="I190">
        <v>0.26</v>
      </c>
      <c r="J190" t="s">
        <v>2126</v>
      </c>
      <c r="K190" t="s">
        <v>2127</v>
      </c>
      <c r="L190" t="s">
        <v>2128</v>
      </c>
      <c r="M190" t="s">
        <v>2129</v>
      </c>
      <c r="N190">
        <v>963.93530786561541</v>
      </c>
      <c r="O190">
        <v>975.50253156000281</v>
      </c>
      <c r="P190">
        <v>1021.351150543323</v>
      </c>
      <c r="Q190">
        <v>1103.059242586789</v>
      </c>
      <c r="R190">
        <v>1148.2846715328469</v>
      </c>
      <c r="S190" t="s">
        <v>2130</v>
      </c>
      <c r="T190" t="s">
        <v>2131</v>
      </c>
      <c r="U190" t="s">
        <v>2132</v>
      </c>
      <c r="V190" t="s">
        <v>94</v>
      </c>
      <c r="W190">
        <v>265472419.80000001</v>
      </c>
      <c r="X190">
        <v>266439117.80000001</v>
      </c>
      <c r="Y190">
        <v>267499117.80000001</v>
      </c>
      <c r="Z190">
        <v>268599117.80000001</v>
      </c>
      <c r="AA190">
        <v>270179117.80000001</v>
      </c>
      <c r="AB190">
        <v>11771318980.64817</v>
      </c>
      <c r="AC190">
        <v>12211731.310799999</v>
      </c>
      <c r="AD190">
        <v>11955953560.343639</v>
      </c>
      <c r="AE190">
        <v>12256199.4188</v>
      </c>
      <c r="AF190">
        <v>12567684459.780279</v>
      </c>
      <c r="AG190">
        <v>12304959.4188</v>
      </c>
      <c r="AH190">
        <v>13628914014.237591</v>
      </c>
      <c r="AI190">
        <v>12355559.4188</v>
      </c>
      <c r="AJ190">
        <v>14271156818.748341</v>
      </c>
      <c r="AK190">
        <v>12428239.4188</v>
      </c>
    </row>
    <row r="191" spans="1:37" x14ac:dyDescent="0.35">
      <c r="A191" t="s">
        <v>2133</v>
      </c>
      <c r="B191">
        <v>98.87</v>
      </c>
      <c r="C191" t="s">
        <v>83</v>
      </c>
      <c r="D191" t="s">
        <v>2134</v>
      </c>
      <c r="E191" t="s">
        <v>2135</v>
      </c>
      <c r="F191">
        <v>4.5999999999999999E-2</v>
      </c>
      <c r="G191" t="s">
        <v>2136</v>
      </c>
      <c r="H191">
        <v>0.3</v>
      </c>
      <c r="I191">
        <v>0.3</v>
      </c>
      <c r="J191" t="s">
        <v>2137</v>
      </c>
      <c r="K191" t="s">
        <v>2138</v>
      </c>
      <c r="L191" t="s">
        <v>2139</v>
      </c>
      <c r="M191" t="s">
        <v>2140</v>
      </c>
      <c r="N191">
        <v>963.93530786561541</v>
      </c>
      <c r="O191">
        <v>975.50253156000281</v>
      </c>
      <c r="P191">
        <v>1021.351150543323</v>
      </c>
      <c r="Q191">
        <v>1103.059242586789</v>
      </c>
      <c r="R191">
        <v>1148.2846715328469</v>
      </c>
      <c r="S191" t="s">
        <v>2141</v>
      </c>
      <c r="T191" t="s">
        <v>2142</v>
      </c>
      <c r="U191" t="s">
        <v>2143</v>
      </c>
      <c r="V191" t="s">
        <v>94</v>
      </c>
      <c r="W191">
        <v>265472419.80000001</v>
      </c>
      <c r="X191">
        <v>266439117.80000001</v>
      </c>
      <c r="Y191">
        <v>267499117.80000001</v>
      </c>
      <c r="Z191">
        <v>268599117.80000001</v>
      </c>
      <c r="AA191">
        <v>270179117.80000001</v>
      </c>
      <c r="AB191">
        <v>11771318980.64817</v>
      </c>
      <c r="AC191">
        <v>12211731.310799999</v>
      </c>
      <c r="AD191">
        <v>11955953560.343639</v>
      </c>
      <c r="AE191">
        <v>12256199.4188</v>
      </c>
      <c r="AF191">
        <v>12567684459.780279</v>
      </c>
      <c r="AG191">
        <v>12304959.4188</v>
      </c>
      <c r="AH191">
        <v>13628914014.237591</v>
      </c>
      <c r="AI191">
        <v>12355559.4188</v>
      </c>
      <c r="AJ191">
        <v>14271156818.748341</v>
      </c>
      <c r="AK191">
        <v>12428239.4188</v>
      </c>
    </row>
    <row r="192" spans="1:37" x14ac:dyDescent="0.35">
      <c r="A192" t="s">
        <v>2144</v>
      </c>
      <c r="B192">
        <v>98.38</v>
      </c>
      <c r="C192" t="s">
        <v>83</v>
      </c>
      <c r="D192" t="s">
        <v>2145</v>
      </c>
      <c r="E192" t="s">
        <v>2146</v>
      </c>
      <c r="F192">
        <v>4.5999999999999999E-2</v>
      </c>
      <c r="G192" t="s">
        <v>2147</v>
      </c>
      <c r="H192">
        <v>0.3</v>
      </c>
      <c r="I192">
        <v>0.05</v>
      </c>
      <c r="J192" t="s">
        <v>2148</v>
      </c>
      <c r="K192" t="s">
        <v>2149</v>
      </c>
      <c r="L192" t="s">
        <v>2150</v>
      </c>
      <c r="M192" t="s">
        <v>2151</v>
      </c>
      <c r="N192">
        <v>963.93530786561541</v>
      </c>
      <c r="O192">
        <v>975.50253156000281</v>
      </c>
      <c r="P192">
        <v>1021.351150543323</v>
      </c>
      <c r="Q192">
        <v>1103.059242586789</v>
      </c>
      <c r="R192">
        <v>1148.2846715328469</v>
      </c>
      <c r="S192" t="s">
        <v>2152</v>
      </c>
      <c r="T192" t="s">
        <v>2153</v>
      </c>
      <c r="U192" t="s">
        <v>2154</v>
      </c>
      <c r="V192" t="s">
        <v>94</v>
      </c>
      <c r="W192">
        <v>265472419.80000001</v>
      </c>
      <c r="X192">
        <v>266439117.80000001</v>
      </c>
      <c r="Y192">
        <v>267499117.80000001</v>
      </c>
      <c r="Z192">
        <v>268599117.80000001</v>
      </c>
      <c r="AA192">
        <v>270179117.80000001</v>
      </c>
      <c r="AB192">
        <v>11771318980.64817</v>
      </c>
      <c r="AC192">
        <v>12211731.310799999</v>
      </c>
      <c r="AD192">
        <v>11955953560.343639</v>
      </c>
      <c r="AE192">
        <v>12256199.4188</v>
      </c>
      <c r="AF192">
        <v>12567684459.780279</v>
      </c>
      <c r="AG192">
        <v>12304959.4188</v>
      </c>
      <c r="AH192">
        <v>13628914014.237591</v>
      </c>
      <c r="AI192">
        <v>12355559.4188</v>
      </c>
      <c r="AJ192">
        <v>14271156818.748341</v>
      </c>
      <c r="AK192">
        <v>12428239.4188</v>
      </c>
    </row>
    <row r="193" spans="1:37" x14ac:dyDescent="0.35">
      <c r="A193" t="s">
        <v>2155</v>
      </c>
      <c r="B193">
        <v>94.83</v>
      </c>
      <c r="C193" t="s">
        <v>83</v>
      </c>
      <c r="D193" t="s">
        <v>188</v>
      </c>
      <c r="E193" t="s">
        <v>2156</v>
      </c>
      <c r="F193">
        <v>4.5999999999999999E-2</v>
      </c>
      <c r="G193" t="s">
        <v>2157</v>
      </c>
      <c r="H193">
        <v>0.4</v>
      </c>
      <c r="I193">
        <v>0.24</v>
      </c>
      <c r="J193" t="s">
        <v>2158</v>
      </c>
      <c r="K193" t="s">
        <v>2159</v>
      </c>
      <c r="L193" t="s">
        <v>2160</v>
      </c>
      <c r="M193" t="s">
        <v>2161</v>
      </c>
      <c r="N193">
        <v>963.93530786561541</v>
      </c>
      <c r="O193">
        <v>975.50253156000281</v>
      </c>
      <c r="P193">
        <v>1021.351150543323</v>
      </c>
      <c r="Q193">
        <v>1103.059242586789</v>
      </c>
      <c r="R193">
        <v>1148.2846715328469</v>
      </c>
      <c r="S193" t="s">
        <v>2162</v>
      </c>
      <c r="T193" t="s">
        <v>2163</v>
      </c>
      <c r="U193" t="s">
        <v>2164</v>
      </c>
      <c r="V193" t="s">
        <v>94</v>
      </c>
      <c r="W193">
        <v>265472419.80000001</v>
      </c>
      <c r="X193">
        <v>266439117.80000001</v>
      </c>
      <c r="Y193">
        <v>267499117.80000001</v>
      </c>
      <c r="Z193">
        <v>268599117.80000001</v>
      </c>
      <c r="AA193">
        <v>270179117.80000001</v>
      </c>
      <c r="AB193">
        <v>11771318980.64817</v>
      </c>
      <c r="AC193">
        <v>12211731.310799999</v>
      </c>
      <c r="AD193">
        <v>11955953560.343639</v>
      </c>
      <c r="AE193">
        <v>12256199.4188</v>
      </c>
      <c r="AF193">
        <v>12567684459.780279</v>
      </c>
      <c r="AG193">
        <v>12304959.4188</v>
      </c>
      <c r="AH193">
        <v>13628914014.237591</v>
      </c>
      <c r="AI193">
        <v>12355559.4188</v>
      </c>
      <c r="AJ193">
        <v>14271156818.748341</v>
      </c>
      <c r="AK193">
        <v>12428239.4188</v>
      </c>
    </row>
    <row r="194" spans="1:37" x14ac:dyDescent="0.35">
      <c r="A194" t="s">
        <v>2165</v>
      </c>
      <c r="B194">
        <v>98.79</v>
      </c>
      <c r="C194" t="s">
        <v>83</v>
      </c>
      <c r="D194" t="s">
        <v>2166</v>
      </c>
      <c r="E194" t="s">
        <v>2167</v>
      </c>
      <c r="F194">
        <v>4.5999999999999999E-2</v>
      </c>
      <c r="G194" t="s">
        <v>2168</v>
      </c>
      <c r="H194">
        <v>0.3</v>
      </c>
      <c r="I194">
        <v>0.05</v>
      </c>
      <c r="J194" t="s">
        <v>2169</v>
      </c>
      <c r="K194" t="s">
        <v>2170</v>
      </c>
      <c r="L194" t="s">
        <v>2171</v>
      </c>
      <c r="M194" t="s">
        <v>2172</v>
      </c>
      <c r="N194">
        <v>963.93530786561541</v>
      </c>
      <c r="O194">
        <v>975.50253156000281</v>
      </c>
      <c r="P194">
        <v>1021.351150543323</v>
      </c>
      <c r="Q194">
        <v>1103.059242586789</v>
      </c>
      <c r="R194">
        <v>1148.2846715328469</v>
      </c>
      <c r="S194" t="s">
        <v>2173</v>
      </c>
      <c r="T194" t="s">
        <v>2174</v>
      </c>
      <c r="U194" t="s">
        <v>2175</v>
      </c>
      <c r="V194" t="s">
        <v>94</v>
      </c>
      <c r="W194">
        <v>265472419.80000001</v>
      </c>
      <c r="X194">
        <v>266439117.80000001</v>
      </c>
      <c r="Y194">
        <v>267499117.80000001</v>
      </c>
      <c r="Z194">
        <v>268599117.80000001</v>
      </c>
      <c r="AA194">
        <v>270179117.80000001</v>
      </c>
      <c r="AB194">
        <v>11771318980.64817</v>
      </c>
      <c r="AC194">
        <v>12211731.310799999</v>
      </c>
      <c r="AD194">
        <v>11955953560.343639</v>
      </c>
      <c r="AE194">
        <v>12256199.4188</v>
      </c>
      <c r="AF194">
        <v>12567684459.780279</v>
      </c>
      <c r="AG194">
        <v>12304959.4188</v>
      </c>
      <c r="AH194">
        <v>13628914014.237591</v>
      </c>
      <c r="AI194">
        <v>12355559.4188</v>
      </c>
      <c r="AJ194">
        <v>14271156818.748341</v>
      </c>
      <c r="AK194">
        <v>12428239.4188</v>
      </c>
    </row>
    <row r="195" spans="1:37" x14ac:dyDescent="0.35">
      <c r="A195" t="s">
        <v>2176</v>
      </c>
      <c r="B195">
        <v>100.12</v>
      </c>
      <c r="C195" t="s">
        <v>83</v>
      </c>
      <c r="D195" t="s">
        <v>649</v>
      </c>
      <c r="E195" t="s">
        <v>2177</v>
      </c>
      <c r="F195">
        <v>4.5999999999999999E-2</v>
      </c>
      <c r="G195" t="s">
        <v>2178</v>
      </c>
      <c r="H195">
        <v>0.15</v>
      </c>
      <c r="I195">
        <v>10.15</v>
      </c>
      <c r="J195" t="s">
        <v>2179</v>
      </c>
      <c r="K195" t="s">
        <v>2180</v>
      </c>
      <c r="L195" t="s">
        <v>2181</v>
      </c>
      <c r="M195" t="s">
        <v>2182</v>
      </c>
      <c r="N195">
        <v>963.93530786561541</v>
      </c>
      <c r="O195">
        <v>975.50253156000281</v>
      </c>
      <c r="P195">
        <v>1021.351150543323</v>
      </c>
      <c r="Q195">
        <v>1103.059242586789</v>
      </c>
      <c r="R195">
        <v>1148.2846715328469</v>
      </c>
      <c r="S195" t="s">
        <v>2183</v>
      </c>
      <c r="T195" t="s">
        <v>2184</v>
      </c>
      <c r="U195" t="s">
        <v>797</v>
      </c>
      <c r="V195" t="s">
        <v>94</v>
      </c>
      <c r="W195">
        <v>265472419.80000001</v>
      </c>
      <c r="X195">
        <v>266439117.80000001</v>
      </c>
      <c r="Y195">
        <v>267499117.80000001</v>
      </c>
      <c r="Z195">
        <v>268599117.80000001</v>
      </c>
      <c r="AA195">
        <v>270179117.80000001</v>
      </c>
      <c r="AB195">
        <v>11771318980.64817</v>
      </c>
      <c r="AC195">
        <v>12211731.310799999</v>
      </c>
      <c r="AD195">
        <v>11955953560.343639</v>
      </c>
      <c r="AE195">
        <v>12256199.4188</v>
      </c>
      <c r="AF195">
        <v>12567684459.780279</v>
      </c>
      <c r="AG195">
        <v>12304959.4188</v>
      </c>
      <c r="AH195">
        <v>13628914014.237591</v>
      </c>
      <c r="AI195">
        <v>12355559.4188</v>
      </c>
      <c r="AJ195">
        <v>14271156818.748341</v>
      </c>
      <c r="AK195">
        <v>12428239.4188</v>
      </c>
    </row>
    <row r="196" spans="1:37" x14ac:dyDescent="0.35">
      <c r="A196" t="s">
        <v>2185</v>
      </c>
      <c r="B196">
        <v>98.93</v>
      </c>
      <c r="C196" t="s">
        <v>83</v>
      </c>
      <c r="D196" t="s">
        <v>2186</v>
      </c>
      <c r="E196" t="s">
        <v>2187</v>
      </c>
      <c r="F196">
        <v>4.5999999999999999E-2</v>
      </c>
      <c r="G196" t="s">
        <v>2188</v>
      </c>
      <c r="H196">
        <v>0.3</v>
      </c>
      <c r="J196" t="s">
        <v>2189</v>
      </c>
      <c r="K196" t="s">
        <v>2190</v>
      </c>
      <c r="L196" t="s">
        <v>2191</v>
      </c>
      <c r="M196" t="s">
        <v>2192</v>
      </c>
      <c r="N196">
        <v>963.93530786561541</v>
      </c>
      <c r="O196">
        <v>975.50253156000281</v>
      </c>
      <c r="P196">
        <v>1021.351150543323</v>
      </c>
      <c r="Q196">
        <v>1103.059242586789</v>
      </c>
      <c r="R196">
        <v>1148.2846715328469</v>
      </c>
      <c r="S196" t="s">
        <v>2193</v>
      </c>
      <c r="T196" t="s">
        <v>2194</v>
      </c>
      <c r="U196" t="s">
        <v>2195</v>
      </c>
      <c r="V196" t="s">
        <v>94</v>
      </c>
      <c r="W196">
        <v>265472419.80000001</v>
      </c>
      <c r="X196">
        <v>266439117.80000001</v>
      </c>
      <c r="Y196">
        <v>267499117.80000001</v>
      </c>
      <c r="Z196">
        <v>268599117.80000001</v>
      </c>
      <c r="AA196">
        <v>270179117.80000001</v>
      </c>
      <c r="AB196">
        <v>11771318980.64817</v>
      </c>
      <c r="AC196">
        <v>12211731.310799999</v>
      </c>
      <c r="AD196">
        <v>11955953560.343639</v>
      </c>
      <c r="AE196">
        <v>12256199.4188</v>
      </c>
      <c r="AF196">
        <v>12567684459.780279</v>
      </c>
      <c r="AG196">
        <v>12304959.4188</v>
      </c>
      <c r="AH196">
        <v>13628914014.237591</v>
      </c>
      <c r="AI196">
        <v>12355559.4188</v>
      </c>
      <c r="AJ196">
        <v>14271156818.748341</v>
      </c>
      <c r="AK196">
        <v>12428239.4188</v>
      </c>
    </row>
    <row r="197" spans="1:37" x14ac:dyDescent="0.35">
      <c r="A197" t="s">
        <v>2196</v>
      </c>
      <c r="B197">
        <v>99.12</v>
      </c>
      <c r="C197" t="s">
        <v>83</v>
      </c>
      <c r="D197" t="s">
        <v>2197</v>
      </c>
      <c r="E197" t="s">
        <v>2198</v>
      </c>
      <c r="F197">
        <v>4.5999999999999999E-2</v>
      </c>
      <c r="G197" t="s">
        <v>2199</v>
      </c>
      <c r="H197">
        <v>0.35</v>
      </c>
      <c r="J197" t="s">
        <v>2200</v>
      </c>
      <c r="K197" t="s">
        <v>2201</v>
      </c>
      <c r="L197" t="s">
        <v>2202</v>
      </c>
      <c r="M197" t="s">
        <v>2203</v>
      </c>
      <c r="N197">
        <v>963.93530786561541</v>
      </c>
      <c r="O197">
        <v>975.50253156000281</v>
      </c>
      <c r="P197">
        <v>1021.351150543323</v>
      </c>
      <c r="Q197">
        <v>1103.059242586789</v>
      </c>
      <c r="R197">
        <v>1148.2846715328469</v>
      </c>
      <c r="S197" t="s">
        <v>2204</v>
      </c>
      <c r="T197" t="s">
        <v>2205</v>
      </c>
      <c r="U197" t="s">
        <v>691</v>
      </c>
      <c r="V197" t="s">
        <v>94</v>
      </c>
      <c r="W197">
        <v>265472419.80000001</v>
      </c>
      <c r="X197">
        <v>266439117.80000001</v>
      </c>
      <c r="Y197">
        <v>267499117.80000001</v>
      </c>
      <c r="Z197">
        <v>268599117.80000001</v>
      </c>
      <c r="AA197">
        <v>270179117.80000001</v>
      </c>
      <c r="AB197">
        <v>11771318980.64817</v>
      </c>
      <c r="AC197">
        <v>12211731.310799999</v>
      </c>
      <c r="AD197">
        <v>11955953560.343639</v>
      </c>
      <c r="AE197">
        <v>12256199.4188</v>
      </c>
      <c r="AF197">
        <v>12567684459.780279</v>
      </c>
      <c r="AG197">
        <v>12304959.4188</v>
      </c>
      <c r="AH197">
        <v>13628914014.237591</v>
      </c>
      <c r="AI197">
        <v>12355559.4188</v>
      </c>
      <c r="AJ197">
        <v>14271156818.748341</v>
      </c>
      <c r="AK197">
        <v>12428239.4188</v>
      </c>
    </row>
    <row r="198" spans="1:37" x14ac:dyDescent="0.35">
      <c r="A198" t="s">
        <v>2206</v>
      </c>
      <c r="B198">
        <v>98.86</v>
      </c>
      <c r="C198" t="s">
        <v>83</v>
      </c>
      <c r="D198" t="s">
        <v>2207</v>
      </c>
      <c r="E198" t="s">
        <v>2208</v>
      </c>
      <c r="F198">
        <v>4.5999999999999999E-2</v>
      </c>
      <c r="G198" t="s">
        <v>2209</v>
      </c>
      <c r="H198">
        <v>10.199999999999999</v>
      </c>
      <c r="I198">
        <v>50.1</v>
      </c>
      <c r="J198" t="s">
        <v>2210</v>
      </c>
      <c r="K198" t="s">
        <v>2211</v>
      </c>
      <c r="L198" t="s">
        <v>2212</v>
      </c>
      <c r="M198" t="s">
        <v>2213</v>
      </c>
      <c r="N198">
        <v>963.93530786561541</v>
      </c>
      <c r="O198">
        <v>975.50253156000281</v>
      </c>
      <c r="P198">
        <v>1021.351150543323</v>
      </c>
      <c r="Q198">
        <v>1103.059242586789</v>
      </c>
      <c r="R198">
        <v>1148.2846715328469</v>
      </c>
      <c r="S198" t="s">
        <v>2214</v>
      </c>
      <c r="T198" t="s">
        <v>2215</v>
      </c>
      <c r="U198" t="s">
        <v>2216</v>
      </c>
      <c r="V198" t="s">
        <v>94</v>
      </c>
      <c r="W198">
        <v>265472419.80000001</v>
      </c>
      <c r="X198">
        <v>266439117.80000001</v>
      </c>
      <c r="Y198">
        <v>267499117.80000001</v>
      </c>
      <c r="Z198">
        <v>268599117.80000001</v>
      </c>
      <c r="AA198">
        <v>270179117.80000001</v>
      </c>
      <c r="AB198">
        <v>11771318980.64817</v>
      </c>
      <c r="AC198">
        <v>12211731.310799999</v>
      </c>
      <c r="AD198">
        <v>11955953560.343639</v>
      </c>
      <c r="AE198">
        <v>12256199.4188</v>
      </c>
      <c r="AF198">
        <v>12567684459.780279</v>
      </c>
      <c r="AG198">
        <v>12304959.4188</v>
      </c>
      <c r="AH198">
        <v>13628914014.237591</v>
      </c>
      <c r="AI198">
        <v>12355559.4188</v>
      </c>
      <c r="AJ198">
        <v>14271156818.748341</v>
      </c>
      <c r="AK198">
        <v>12428239.4188</v>
      </c>
    </row>
    <row r="199" spans="1:37" x14ac:dyDescent="0.35">
      <c r="A199" t="s">
        <v>2217</v>
      </c>
      <c r="B199">
        <v>99.04</v>
      </c>
      <c r="C199" t="s">
        <v>83</v>
      </c>
      <c r="D199" t="s">
        <v>2218</v>
      </c>
      <c r="E199" t="s">
        <v>2219</v>
      </c>
      <c r="F199">
        <v>4.5999999999999999E-2</v>
      </c>
      <c r="G199" t="s">
        <v>2220</v>
      </c>
      <c r="H199">
        <v>0.3</v>
      </c>
      <c r="I199">
        <v>20.5</v>
      </c>
      <c r="J199" t="s">
        <v>2221</v>
      </c>
      <c r="K199" t="s">
        <v>2222</v>
      </c>
      <c r="L199" t="s">
        <v>2223</v>
      </c>
      <c r="M199" t="s">
        <v>2224</v>
      </c>
      <c r="N199">
        <v>963.93530786561541</v>
      </c>
      <c r="O199">
        <v>975.50253156000281</v>
      </c>
      <c r="P199">
        <v>1021.351150543323</v>
      </c>
      <c r="Q199">
        <v>1103.059242586789</v>
      </c>
      <c r="R199">
        <v>1148.2846715328469</v>
      </c>
      <c r="S199" t="s">
        <v>2225</v>
      </c>
      <c r="T199" t="s">
        <v>2226</v>
      </c>
      <c r="U199" t="s">
        <v>2227</v>
      </c>
      <c r="V199" t="s">
        <v>94</v>
      </c>
      <c r="W199">
        <v>265472419.80000001</v>
      </c>
      <c r="X199">
        <v>266439117.80000001</v>
      </c>
      <c r="Y199">
        <v>267499117.80000001</v>
      </c>
      <c r="Z199">
        <v>268599117.80000001</v>
      </c>
      <c r="AA199">
        <v>270179117.80000001</v>
      </c>
      <c r="AB199">
        <v>11771318980.64817</v>
      </c>
      <c r="AC199">
        <v>12211731.310799999</v>
      </c>
      <c r="AD199">
        <v>11955953560.343639</v>
      </c>
      <c r="AE199">
        <v>12256199.4188</v>
      </c>
      <c r="AF199">
        <v>12567684459.780279</v>
      </c>
      <c r="AG199">
        <v>12304959.4188</v>
      </c>
      <c r="AH199">
        <v>13628914014.237591</v>
      </c>
      <c r="AI199">
        <v>12355559.4188</v>
      </c>
      <c r="AJ199">
        <v>14271156818.748341</v>
      </c>
      <c r="AK199">
        <v>12428239.4188</v>
      </c>
    </row>
    <row r="200" spans="1:37" x14ac:dyDescent="0.35">
      <c r="A200" t="s">
        <v>2228</v>
      </c>
      <c r="B200">
        <v>98.88</v>
      </c>
      <c r="C200" t="s">
        <v>83</v>
      </c>
      <c r="D200" t="s">
        <v>2229</v>
      </c>
      <c r="E200" t="s">
        <v>2230</v>
      </c>
      <c r="F200">
        <v>4.5999999999999999E-2</v>
      </c>
      <c r="G200" t="s">
        <v>2231</v>
      </c>
      <c r="H200">
        <v>0.3</v>
      </c>
      <c r="I200">
        <v>0.12</v>
      </c>
      <c r="J200" t="s">
        <v>2232</v>
      </c>
      <c r="K200" t="s">
        <v>2233</v>
      </c>
      <c r="L200" t="s">
        <v>2234</v>
      </c>
      <c r="M200" t="s">
        <v>2235</v>
      </c>
      <c r="N200">
        <v>963.93530786561541</v>
      </c>
      <c r="O200">
        <v>975.50253156000281</v>
      </c>
      <c r="P200">
        <v>1021.351150543323</v>
      </c>
      <c r="Q200">
        <v>1103.059242586789</v>
      </c>
      <c r="R200">
        <v>1148.2846715328469</v>
      </c>
      <c r="S200" t="s">
        <v>2236</v>
      </c>
      <c r="T200" t="s">
        <v>2237</v>
      </c>
      <c r="U200" t="s">
        <v>2238</v>
      </c>
      <c r="V200" t="s">
        <v>94</v>
      </c>
      <c r="W200">
        <v>265472419.80000001</v>
      </c>
      <c r="X200">
        <v>266439117.80000001</v>
      </c>
      <c r="Y200">
        <v>267499117.80000001</v>
      </c>
      <c r="Z200">
        <v>268599117.80000001</v>
      </c>
      <c r="AA200">
        <v>270179117.80000001</v>
      </c>
      <c r="AB200">
        <v>11771318980.64817</v>
      </c>
      <c r="AC200">
        <v>12211731.310799999</v>
      </c>
      <c r="AD200">
        <v>11955953560.343639</v>
      </c>
      <c r="AE200">
        <v>12256199.4188</v>
      </c>
      <c r="AF200">
        <v>12567684459.780279</v>
      </c>
      <c r="AG200">
        <v>12304959.4188</v>
      </c>
      <c r="AH200">
        <v>13628914014.237591</v>
      </c>
      <c r="AI200">
        <v>12355559.4188</v>
      </c>
      <c r="AJ200">
        <v>14271156818.748341</v>
      </c>
      <c r="AK200">
        <v>12428239.4188</v>
      </c>
    </row>
    <row r="201" spans="1:37" x14ac:dyDescent="0.35">
      <c r="A201" t="s">
        <v>2239</v>
      </c>
      <c r="B201">
        <v>99.11</v>
      </c>
      <c r="C201" t="s">
        <v>83</v>
      </c>
      <c r="D201" t="s">
        <v>84</v>
      </c>
      <c r="E201" t="s">
        <v>716</v>
      </c>
      <c r="F201">
        <v>4.5999999999999999E-2</v>
      </c>
      <c r="G201" t="s">
        <v>2240</v>
      </c>
      <c r="H201">
        <v>0.2</v>
      </c>
      <c r="I201">
        <v>0.03</v>
      </c>
      <c r="J201" t="s">
        <v>2241</v>
      </c>
      <c r="K201" t="s">
        <v>2242</v>
      </c>
      <c r="L201" t="s">
        <v>2243</v>
      </c>
      <c r="M201" t="s">
        <v>2244</v>
      </c>
      <c r="N201">
        <v>963.93530786561541</v>
      </c>
      <c r="O201">
        <v>975.50253156000281</v>
      </c>
      <c r="P201">
        <v>1021.351150543323</v>
      </c>
      <c r="Q201">
        <v>1103.059242586789</v>
      </c>
      <c r="R201">
        <v>1148.2846715328469</v>
      </c>
      <c r="S201" t="s">
        <v>2245</v>
      </c>
      <c r="T201" t="s">
        <v>2246</v>
      </c>
      <c r="U201" t="s">
        <v>2247</v>
      </c>
      <c r="V201" t="s">
        <v>94</v>
      </c>
      <c r="W201">
        <v>265472419.80000001</v>
      </c>
      <c r="X201">
        <v>266439117.80000001</v>
      </c>
      <c r="Y201">
        <v>267499117.80000001</v>
      </c>
      <c r="Z201">
        <v>268599117.80000001</v>
      </c>
      <c r="AA201">
        <v>270179117.80000001</v>
      </c>
      <c r="AB201">
        <v>11771318980.64817</v>
      </c>
      <c r="AC201">
        <v>12211731.310799999</v>
      </c>
      <c r="AD201">
        <v>11955953560.343639</v>
      </c>
      <c r="AE201">
        <v>12256199.4188</v>
      </c>
      <c r="AF201">
        <v>12567684459.780279</v>
      </c>
      <c r="AG201">
        <v>12304959.4188</v>
      </c>
      <c r="AH201">
        <v>13628914014.237591</v>
      </c>
      <c r="AI201">
        <v>12355559.4188</v>
      </c>
      <c r="AJ201">
        <v>14271156818.748341</v>
      </c>
      <c r="AK201">
        <v>12428239.4188</v>
      </c>
    </row>
    <row r="202" spans="1:37" x14ac:dyDescent="0.35">
      <c r="A202" t="s">
        <v>2248</v>
      </c>
      <c r="B202">
        <v>98.86</v>
      </c>
      <c r="C202" t="s">
        <v>83</v>
      </c>
      <c r="D202" t="s">
        <v>2249</v>
      </c>
      <c r="E202" t="s">
        <v>2250</v>
      </c>
      <c r="F202">
        <v>4.5999999999999999E-2</v>
      </c>
      <c r="G202" t="s">
        <v>2251</v>
      </c>
      <c r="H202">
        <v>0.3</v>
      </c>
      <c r="I202">
        <v>0.01</v>
      </c>
      <c r="J202" t="s">
        <v>2252</v>
      </c>
      <c r="K202" t="s">
        <v>2253</v>
      </c>
      <c r="L202" t="s">
        <v>2254</v>
      </c>
      <c r="M202" t="s">
        <v>2255</v>
      </c>
      <c r="N202">
        <v>963.93530786561541</v>
      </c>
      <c r="O202">
        <v>975.50253156000281</v>
      </c>
      <c r="P202">
        <v>1021.351150543323</v>
      </c>
      <c r="Q202">
        <v>1103.059242586789</v>
      </c>
      <c r="R202">
        <v>1148.2846715328469</v>
      </c>
      <c r="S202" t="s">
        <v>2256</v>
      </c>
      <c r="T202" t="s">
        <v>2257</v>
      </c>
      <c r="U202" t="s">
        <v>126</v>
      </c>
      <c r="V202" t="s">
        <v>94</v>
      </c>
      <c r="W202">
        <v>265472419.80000001</v>
      </c>
      <c r="X202">
        <v>266439117.80000001</v>
      </c>
      <c r="Y202">
        <v>267499117.80000001</v>
      </c>
      <c r="Z202">
        <v>268599117.80000001</v>
      </c>
      <c r="AA202">
        <v>270179117.80000001</v>
      </c>
      <c r="AB202">
        <v>11771318980.64817</v>
      </c>
      <c r="AC202">
        <v>12211731.310799999</v>
      </c>
      <c r="AD202">
        <v>11955953560.343639</v>
      </c>
      <c r="AE202">
        <v>12256199.4188</v>
      </c>
      <c r="AF202">
        <v>12567684459.780279</v>
      </c>
      <c r="AG202">
        <v>12304959.4188</v>
      </c>
      <c r="AH202">
        <v>13628914014.237591</v>
      </c>
      <c r="AI202">
        <v>12355559.4188</v>
      </c>
      <c r="AJ202">
        <v>14271156818.748341</v>
      </c>
      <c r="AK202">
        <v>12428239.4188</v>
      </c>
    </row>
    <row r="203" spans="1:37" x14ac:dyDescent="0.35">
      <c r="A203" t="s">
        <v>2258</v>
      </c>
      <c r="B203">
        <v>99.05</v>
      </c>
      <c r="C203" t="s">
        <v>83</v>
      </c>
      <c r="D203" t="s">
        <v>767</v>
      </c>
      <c r="E203" t="s">
        <v>789</v>
      </c>
      <c r="F203">
        <v>4.5999999999999999E-2</v>
      </c>
      <c r="G203" t="s">
        <v>2259</v>
      </c>
      <c r="H203">
        <v>0.2</v>
      </c>
      <c r="I203">
        <v>0.12</v>
      </c>
      <c r="J203" t="s">
        <v>2260</v>
      </c>
      <c r="K203" t="s">
        <v>2261</v>
      </c>
      <c r="L203" t="s">
        <v>2262</v>
      </c>
      <c r="M203" t="s">
        <v>2263</v>
      </c>
      <c r="N203">
        <v>963.93530786561541</v>
      </c>
      <c r="O203">
        <v>975.50253156000281</v>
      </c>
      <c r="P203">
        <v>1021.351150543323</v>
      </c>
      <c r="Q203">
        <v>1103.059242586789</v>
      </c>
      <c r="R203">
        <v>1148.2846715328469</v>
      </c>
      <c r="S203" t="s">
        <v>2264</v>
      </c>
      <c r="T203" t="s">
        <v>2265</v>
      </c>
      <c r="U203" t="s">
        <v>797</v>
      </c>
      <c r="V203" t="s">
        <v>94</v>
      </c>
      <c r="W203">
        <v>265472419.80000001</v>
      </c>
      <c r="X203">
        <v>266439117.80000001</v>
      </c>
      <c r="Y203">
        <v>267499117.80000001</v>
      </c>
      <c r="Z203">
        <v>268599117.80000001</v>
      </c>
      <c r="AA203">
        <v>270179117.80000001</v>
      </c>
      <c r="AB203">
        <v>11771318980.64817</v>
      </c>
      <c r="AC203">
        <v>12211731.310799999</v>
      </c>
      <c r="AD203">
        <v>11955953560.343639</v>
      </c>
      <c r="AE203">
        <v>12256199.4188</v>
      </c>
      <c r="AF203">
        <v>12567684459.780279</v>
      </c>
      <c r="AG203">
        <v>12304959.4188</v>
      </c>
      <c r="AH203">
        <v>13628914014.237591</v>
      </c>
      <c r="AI203">
        <v>12355559.4188</v>
      </c>
      <c r="AJ203">
        <v>14271156818.748341</v>
      </c>
      <c r="AK203">
        <v>12428239.4188</v>
      </c>
    </row>
    <row r="204" spans="1:37" x14ac:dyDescent="0.35">
      <c r="A204" t="s">
        <v>2266</v>
      </c>
      <c r="B204">
        <v>98.98</v>
      </c>
      <c r="C204" t="s">
        <v>83</v>
      </c>
      <c r="D204" t="s">
        <v>2267</v>
      </c>
      <c r="E204" t="s">
        <v>2268</v>
      </c>
      <c r="F204">
        <v>4.5999999999999999E-2</v>
      </c>
      <c r="G204" t="s">
        <v>2269</v>
      </c>
      <c r="H204">
        <v>0.19</v>
      </c>
      <c r="I204">
        <v>0.1</v>
      </c>
      <c r="J204" t="s">
        <v>2270</v>
      </c>
      <c r="K204" t="s">
        <v>2271</v>
      </c>
      <c r="L204" t="s">
        <v>2272</v>
      </c>
      <c r="M204" t="s">
        <v>2273</v>
      </c>
      <c r="N204">
        <v>963.93530786561541</v>
      </c>
      <c r="O204">
        <v>975.50253156000281</v>
      </c>
      <c r="P204">
        <v>1021.351150543323</v>
      </c>
      <c r="Q204">
        <v>1103.059242586789</v>
      </c>
      <c r="R204">
        <v>1148.2846715328469</v>
      </c>
      <c r="S204" t="s">
        <v>2274</v>
      </c>
      <c r="T204" t="s">
        <v>2275</v>
      </c>
      <c r="U204" t="s">
        <v>797</v>
      </c>
      <c r="V204" t="s">
        <v>94</v>
      </c>
      <c r="W204">
        <v>265472419.80000001</v>
      </c>
      <c r="X204">
        <v>266439117.80000001</v>
      </c>
      <c r="Y204">
        <v>267499117.80000001</v>
      </c>
      <c r="Z204">
        <v>268599117.80000001</v>
      </c>
      <c r="AA204">
        <v>270179117.80000001</v>
      </c>
      <c r="AB204">
        <v>11771318980.64817</v>
      </c>
      <c r="AC204">
        <v>12211731.310799999</v>
      </c>
      <c r="AD204">
        <v>11955953560.343639</v>
      </c>
      <c r="AE204">
        <v>12256199.4188</v>
      </c>
      <c r="AF204">
        <v>12567684459.780279</v>
      </c>
      <c r="AG204">
        <v>12304959.4188</v>
      </c>
      <c r="AH204">
        <v>13628914014.237591</v>
      </c>
      <c r="AI204">
        <v>12355559.4188</v>
      </c>
      <c r="AJ204">
        <v>14271156818.748341</v>
      </c>
      <c r="AK204">
        <v>12428239.4188</v>
      </c>
    </row>
    <row r="205" spans="1:37" x14ac:dyDescent="0.35">
      <c r="A205" t="s">
        <v>2276</v>
      </c>
      <c r="B205">
        <v>280.94</v>
      </c>
      <c r="C205" t="s">
        <v>1736</v>
      </c>
      <c r="D205" t="s">
        <v>2277</v>
      </c>
      <c r="E205" t="s">
        <v>1738</v>
      </c>
      <c r="F205">
        <v>0.03</v>
      </c>
      <c r="G205" t="s">
        <v>2278</v>
      </c>
      <c r="H205">
        <v>0.4</v>
      </c>
      <c r="I205">
        <v>0</v>
      </c>
      <c r="J205" t="s">
        <v>2279</v>
      </c>
      <c r="K205" t="s">
        <v>2280</v>
      </c>
      <c r="L205" t="s">
        <v>2281</v>
      </c>
      <c r="M205" t="s">
        <v>2282</v>
      </c>
      <c r="N205">
        <v>755.51106671220373</v>
      </c>
      <c r="O205">
        <v>764.57719951275021</v>
      </c>
      <c r="P205">
        <v>800.51232788984942</v>
      </c>
      <c r="Q205">
        <v>864.55331412103749</v>
      </c>
      <c r="R205">
        <v>900</v>
      </c>
      <c r="S205" t="s">
        <v>2283</v>
      </c>
      <c r="T205" t="s">
        <v>2284</v>
      </c>
      <c r="U205" t="s">
        <v>2285</v>
      </c>
      <c r="V205" t="s">
        <v>94</v>
      </c>
      <c r="W205">
        <v>265472419.80000001</v>
      </c>
      <c r="X205">
        <v>266439117.80000001</v>
      </c>
      <c r="Y205">
        <v>267499117.80000001</v>
      </c>
      <c r="Z205">
        <v>268599117.80000001</v>
      </c>
      <c r="AA205">
        <v>270179117.80000001</v>
      </c>
      <c r="AB205">
        <v>6017020531.9730387</v>
      </c>
      <c r="AC205">
        <v>7964172.5940000014</v>
      </c>
      <c r="AD205">
        <v>6111398235.8451529</v>
      </c>
      <c r="AE205">
        <v>7993173.534</v>
      </c>
      <c r="AF205">
        <v>6424090244.9567719</v>
      </c>
      <c r="AG205">
        <v>8024973.534</v>
      </c>
      <c r="AH205">
        <v>6966547723.9193087</v>
      </c>
      <c r="AI205">
        <v>8057973.534</v>
      </c>
      <c r="AJ205">
        <v>7294836180.6000004</v>
      </c>
      <c r="AK205">
        <v>8105373.534</v>
      </c>
    </row>
    <row r="206" spans="1:37" x14ac:dyDescent="0.35">
      <c r="A206" t="s">
        <v>2286</v>
      </c>
      <c r="B206">
        <v>37025.54</v>
      </c>
      <c r="C206" t="s">
        <v>2287</v>
      </c>
      <c r="D206" t="s">
        <v>2288</v>
      </c>
      <c r="E206" t="s">
        <v>2289</v>
      </c>
      <c r="F206">
        <v>3.49E-6</v>
      </c>
      <c r="G206" t="s">
        <v>2290</v>
      </c>
      <c r="H206">
        <v>0.4</v>
      </c>
      <c r="I206">
        <v>0.05</v>
      </c>
      <c r="J206" t="s">
        <v>2291</v>
      </c>
      <c r="K206" t="s">
        <v>2292</v>
      </c>
      <c r="L206" t="s">
        <v>2293</v>
      </c>
      <c r="M206" t="s">
        <v>2294</v>
      </c>
      <c r="N206">
        <v>20986.418519783441</v>
      </c>
      <c r="O206">
        <v>21238.255542020841</v>
      </c>
      <c r="P206">
        <v>22236.453552495819</v>
      </c>
      <c r="Q206">
        <v>24015.369836695489</v>
      </c>
      <c r="R206">
        <v>25000</v>
      </c>
      <c r="S206" t="s">
        <v>2295</v>
      </c>
      <c r="T206" t="s">
        <v>2296</v>
      </c>
      <c r="U206" t="s">
        <v>2297</v>
      </c>
      <c r="V206" t="s">
        <v>94</v>
      </c>
      <c r="W206">
        <v>265472419.80000001</v>
      </c>
      <c r="X206">
        <v>266439117.80000001</v>
      </c>
      <c r="Y206">
        <v>267499117.80000001</v>
      </c>
      <c r="Z206">
        <v>268599117.80000001</v>
      </c>
      <c r="AA206">
        <v>270179117.80000001</v>
      </c>
      <c r="AB206">
        <v>19443890.42276473</v>
      </c>
      <c r="AC206">
        <v>926.49874510200004</v>
      </c>
      <c r="AD206">
        <v>19748870.22509221</v>
      </c>
      <c r="AE206">
        <v>929.87252112200008</v>
      </c>
      <c r="AF206">
        <v>20759328.661943652</v>
      </c>
      <c r="AG206">
        <v>933.57192112200005</v>
      </c>
      <c r="AH206">
        <v>22512269.959702209</v>
      </c>
      <c r="AI206">
        <v>937.4109211220001</v>
      </c>
      <c r="AJ206">
        <v>23573128.028050002</v>
      </c>
      <c r="AK206">
        <v>942.92512112200006</v>
      </c>
    </row>
    <row r="207" spans="1:37" x14ac:dyDescent="0.35">
      <c r="A207" t="s">
        <v>2298</v>
      </c>
      <c r="B207">
        <v>33.130000000000003</v>
      </c>
      <c r="C207" t="s">
        <v>243</v>
      </c>
      <c r="D207" t="s">
        <v>2299</v>
      </c>
      <c r="E207" t="s">
        <v>2300</v>
      </c>
      <c r="F207">
        <v>0.45</v>
      </c>
      <c r="G207" t="s">
        <v>2301</v>
      </c>
      <c r="H207">
        <v>0.3</v>
      </c>
      <c r="I207">
        <v>0.2</v>
      </c>
      <c r="J207" t="s">
        <v>2302</v>
      </c>
      <c r="K207" t="s">
        <v>2303</v>
      </c>
      <c r="L207" t="s">
        <v>2304</v>
      </c>
      <c r="M207" t="s">
        <v>2305</v>
      </c>
      <c r="N207">
        <v>207.765543345856</v>
      </c>
      <c r="O207">
        <v>210.25872986600629</v>
      </c>
      <c r="P207">
        <v>220.1408901697086</v>
      </c>
      <c r="Q207">
        <v>237.75216138328531</v>
      </c>
      <c r="R207">
        <v>247.5</v>
      </c>
      <c r="S207" t="s">
        <v>2306</v>
      </c>
      <c r="T207" t="s">
        <v>2307</v>
      </c>
      <c r="U207" t="s">
        <v>2308</v>
      </c>
      <c r="V207" t="s">
        <v>49</v>
      </c>
      <c r="W207">
        <v>338996155</v>
      </c>
      <c r="X207">
        <v>339500751</v>
      </c>
      <c r="Y207">
        <v>340560751</v>
      </c>
      <c r="Z207">
        <v>341660751</v>
      </c>
      <c r="AA207">
        <v>343660751</v>
      </c>
      <c r="AB207">
        <v>31694274151.07896</v>
      </c>
      <c r="AC207">
        <v>152548269.75</v>
      </c>
      <c r="AD207">
        <v>32122348512.216869</v>
      </c>
      <c r="AE207">
        <v>152775337.94999999</v>
      </c>
      <c r="AF207">
        <v>33737106096.90202</v>
      </c>
      <c r="AG207">
        <v>153252337.94999999</v>
      </c>
      <c r="AH207">
        <v>36553761904.53891</v>
      </c>
      <c r="AI207">
        <v>153747337.94999999</v>
      </c>
      <c r="AJ207">
        <v>38275216142.625</v>
      </c>
      <c r="AK207">
        <v>154647337.94999999</v>
      </c>
    </row>
    <row r="208" spans="1:37" x14ac:dyDescent="0.35">
      <c r="A208" t="s">
        <v>2309</v>
      </c>
      <c r="B208">
        <v>212.05</v>
      </c>
      <c r="C208" t="s">
        <v>231</v>
      </c>
      <c r="D208" t="s">
        <v>2310</v>
      </c>
      <c r="E208" t="s">
        <v>2311</v>
      </c>
      <c r="F208">
        <v>0.191</v>
      </c>
      <c r="G208" t="s">
        <v>2312</v>
      </c>
      <c r="H208">
        <v>0.33</v>
      </c>
      <c r="I208">
        <v>0.24</v>
      </c>
      <c r="J208" t="s">
        <v>2313</v>
      </c>
      <c r="K208" t="s">
        <v>2314</v>
      </c>
      <c r="L208" t="s">
        <v>2315</v>
      </c>
      <c r="M208" t="s">
        <v>2316</v>
      </c>
      <c r="N208">
        <v>725.9551939635088</v>
      </c>
      <c r="O208">
        <v>734.66665629107092</v>
      </c>
      <c r="P208">
        <v>769.19598913675122</v>
      </c>
      <c r="Q208">
        <v>830.73166826769136</v>
      </c>
      <c r="R208">
        <v>864.79166666666663</v>
      </c>
      <c r="S208" t="s">
        <v>2317</v>
      </c>
      <c r="T208" t="s">
        <v>2318</v>
      </c>
      <c r="U208" t="s">
        <v>2319</v>
      </c>
      <c r="V208" t="s">
        <v>94</v>
      </c>
      <c r="W208">
        <v>265472419.80000001</v>
      </c>
      <c r="X208">
        <v>266439117.80000001</v>
      </c>
      <c r="Y208">
        <v>267499117.80000001</v>
      </c>
      <c r="Z208">
        <v>268599117.80000001</v>
      </c>
      <c r="AA208">
        <v>270179117.80000001</v>
      </c>
      <c r="AB208">
        <v>36809726663.503357</v>
      </c>
      <c r="AC208">
        <v>50705232.1818</v>
      </c>
      <c r="AD208">
        <v>37387091733.840332</v>
      </c>
      <c r="AE208">
        <v>50889871.499799997</v>
      </c>
      <c r="AF208">
        <v>39300016465.291458</v>
      </c>
      <c r="AG208">
        <v>51092331.499799997</v>
      </c>
      <c r="AH208">
        <v>42618554506.017807</v>
      </c>
      <c r="AI208">
        <v>51302431.499799997</v>
      </c>
      <c r="AJ208">
        <v>44626892069.931213</v>
      </c>
      <c r="AK208">
        <v>51604211.499799997</v>
      </c>
    </row>
    <row r="209" spans="1:37" x14ac:dyDescent="0.35">
      <c r="A209" t="s">
        <v>2320</v>
      </c>
      <c r="B209">
        <v>175.21</v>
      </c>
      <c r="C209" t="s">
        <v>231</v>
      </c>
      <c r="D209" t="s">
        <v>2321</v>
      </c>
      <c r="E209" t="s">
        <v>2322</v>
      </c>
      <c r="F209">
        <v>0.191</v>
      </c>
      <c r="G209" t="s">
        <v>2323</v>
      </c>
      <c r="H209">
        <v>251015.3</v>
      </c>
      <c r="I209">
        <v>121.51</v>
      </c>
      <c r="J209" t="s">
        <v>2324</v>
      </c>
      <c r="K209" t="s">
        <v>2325</v>
      </c>
      <c r="L209" t="s">
        <v>2326</v>
      </c>
      <c r="M209" t="s">
        <v>2327</v>
      </c>
      <c r="N209">
        <v>725.9551939635088</v>
      </c>
      <c r="O209">
        <v>734.66665629107092</v>
      </c>
      <c r="P209">
        <v>769.19598913675122</v>
      </c>
      <c r="Q209">
        <v>830.73166826769136</v>
      </c>
      <c r="R209">
        <v>864.79166666666663</v>
      </c>
      <c r="S209" t="s">
        <v>2328</v>
      </c>
      <c r="T209" t="s">
        <v>2329</v>
      </c>
      <c r="U209" t="s">
        <v>218</v>
      </c>
      <c r="V209" t="s">
        <v>94</v>
      </c>
      <c r="W209">
        <v>265472419.80000001</v>
      </c>
      <c r="X209">
        <v>266439117.80000001</v>
      </c>
      <c r="Y209">
        <v>267499117.80000001</v>
      </c>
      <c r="Z209">
        <v>268599117.80000001</v>
      </c>
      <c r="AA209">
        <v>270179117.80000001</v>
      </c>
      <c r="AB209">
        <v>36809726663.503357</v>
      </c>
      <c r="AC209">
        <v>50705232.1818</v>
      </c>
      <c r="AD209">
        <v>37387091733.840332</v>
      </c>
      <c r="AE209">
        <v>50889871.499799997</v>
      </c>
      <c r="AF209">
        <v>39300016465.291458</v>
      </c>
      <c r="AG209">
        <v>51092331.499799997</v>
      </c>
      <c r="AH209">
        <v>42618554506.017807</v>
      </c>
      <c r="AI209">
        <v>51302431.499799997</v>
      </c>
      <c r="AJ209">
        <v>44626892069.931213</v>
      </c>
      <c r="AK209">
        <v>51604211.499799997</v>
      </c>
    </row>
    <row r="210" spans="1:37" x14ac:dyDescent="0.35">
      <c r="A210" t="s">
        <v>2330</v>
      </c>
      <c r="B210">
        <v>125.55</v>
      </c>
      <c r="C210" t="s">
        <v>231</v>
      </c>
      <c r="D210" t="s">
        <v>2331</v>
      </c>
      <c r="E210" t="s">
        <v>2332</v>
      </c>
      <c r="F210">
        <v>0.191</v>
      </c>
      <c r="G210" t="s">
        <v>2333</v>
      </c>
      <c r="H210">
        <v>0.3</v>
      </c>
      <c r="J210" t="s">
        <v>2334</v>
      </c>
      <c r="K210" t="s">
        <v>2335</v>
      </c>
      <c r="L210" t="s">
        <v>2336</v>
      </c>
      <c r="M210" t="s">
        <v>2337</v>
      </c>
      <c r="N210">
        <v>725.9551939635088</v>
      </c>
      <c r="O210">
        <v>734.66665629107092</v>
      </c>
      <c r="P210">
        <v>769.19598913675122</v>
      </c>
      <c r="Q210">
        <v>830.73166826769136</v>
      </c>
      <c r="R210">
        <v>864.79166666666663</v>
      </c>
      <c r="S210" t="s">
        <v>2338</v>
      </c>
      <c r="T210" t="s">
        <v>2339</v>
      </c>
      <c r="U210" t="s">
        <v>241</v>
      </c>
      <c r="V210" t="s">
        <v>94</v>
      </c>
      <c r="W210">
        <v>265472419.80000001</v>
      </c>
      <c r="X210">
        <v>266439117.80000001</v>
      </c>
      <c r="Y210">
        <v>267499117.80000001</v>
      </c>
      <c r="Z210">
        <v>268599117.80000001</v>
      </c>
      <c r="AA210">
        <v>270179117.80000001</v>
      </c>
      <c r="AB210">
        <v>36809726663.503357</v>
      </c>
      <c r="AC210">
        <v>50705232.1818</v>
      </c>
      <c r="AD210">
        <v>37387091733.840332</v>
      </c>
      <c r="AE210">
        <v>50889871.499799997</v>
      </c>
      <c r="AF210">
        <v>39300016465.291458</v>
      </c>
      <c r="AG210">
        <v>51092331.499799997</v>
      </c>
      <c r="AH210">
        <v>42618554506.017807</v>
      </c>
      <c r="AI210">
        <v>51302431.499799997</v>
      </c>
      <c r="AJ210">
        <v>44626892069.931213</v>
      </c>
      <c r="AK210">
        <v>51604211.499799997</v>
      </c>
    </row>
    <row r="211" spans="1:37" x14ac:dyDescent="0.35">
      <c r="A211" t="s">
        <v>2340</v>
      </c>
      <c r="B211">
        <v>367.18</v>
      </c>
      <c r="C211" t="s">
        <v>231</v>
      </c>
      <c r="D211" t="s">
        <v>2341</v>
      </c>
      <c r="E211" t="s">
        <v>2342</v>
      </c>
      <c r="F211">
        <v>0.191</v>
      </c>
      <c r="G211" t="s">
        <v>2343</v>
      </c>
      <c r="H211">
        <v>0.4</v>
      </c>
      <c r="J211" t="s">
        <v>2344</v>
      </c>
      <c r="K211" t="s">
        <v>2345</v>
      </c>
      <c r="L211" t="s">
        <v>2346</v>
      </c>
      <c r="M211" t="s">
        <v>2347</v>
      </c>
      <c r="N211">
        <v>725.9551939635088</v>
      </c>
      <c r="O211">
        <v>734.66665629107092</v>
      </c>
      <c r="P211">
        <v>769.19598913675122</v>
      </c>
      <c r="Q211">
        <v>830.73166826769136</v>
      </c>
      <c r="R211">
        <v>864.79166666666663</v>
      </c>
      <c r="S211" t="s">
        <v>2348</v>
      </c>
      <c r="T211" t="s">
        <v>2349</v>
      </c>
      <c r="U211" t="s">
        <v>2350</v>
      </c>
      <c r="V211" t="s">
        <v>94</v>
      </c>
      <c r="W211">
        <v>265472419.80000001</v>
      </c>
      <c r="X211">
        <v>266439117.80000001</v>
      </c>
      <c r="Y211">
        <v>267499117.80000001</v>
      </c>
      <c r="Z211">
        <v>268599117.80000001</v>
      </c>
      <c r="AA211">
        <v>270179117.80000001</v>
      </c>
      <c r="AB211">
        <v>36809726663.503357</v>
      </c>
      <c r="AC211">
        <v>50705232.1818</v>
      </c>
      <c r="AD211">
        <v>37387091733.840332</v>
      </c>
      <c r="AE211">
        <v>50889871.499799997</v>
      </c>
      <c r="AF211">
        <v>39300016465.291458</v>
      </c>
      <c r="AG211">
        <v>51092331.499799997</v>
      </c>
      <c r="AH211">
        <v>42618554506.017807</v>
      </c>
      <c r="AI211">
        <v>51302431.499799997</v>
      </c>
      <c r="AJ211">
        <v>44626892069.931213</v>
      </c>
      <c r="AK211">
        <v>51604211.499799997</v>
      </c>
    </row>
    <row r="212" spans="1:37" x14ac:dyDescent="0.35">
      <c r="A212" t="s">
        <v>2351</v>
      </c>
      <c r="B212">
        <v>118.24</v>
      </c>
      <c r="C212" t="s">
        <v>231</v>
      </c>
      <c r="D212" t="s">
        <v>2310</v>
      </c>
      <c r="E212" t="s">
        <v>2352</v>
      </c>
      <c r="F212">
        <v>0.191</v>
      </c>
      <c r="G212" t="s">
        <v>2353</v>
      </c>
      <c r="H212">
        <v>0.3</v>
      </c>
      <c r="I212">
        <v>0.01</v>
      </c>
      <c r="J212" t="s">
        <v>2354</v>
      </c>
      <c r="K212" t="s">
        <v>2355</v>
      </c>
      <c r="L212" t="s">
        <v>2356</v>
      </c>
      <c r="M212" t="s">
        <v>2357</v>
      </c>
      <c r="N212">
        <v>725.9551939635088</v>
      </c>
      <c r="O212">
        <v>734.66665629107092</v>
      </c>
      <c r="P212">
        <v>769.19598913675122</v>
      </c>
      <c r="Q212">
        <v>830.73166826769136</v>
      </c>
      <c r="R212">
        <v>864.79166666666663</v>
      </c>
      <c r="S212" t="s">
        <v>2358</v>
      </c>
      <c r="T212" t="s">
        <v>2359</v>
      </c>
      <c r="U212" t="s">
        <v>2360</v>
      </c>
      <c r="V212" t="s">
        <v>94</v>
      </c>
      <c r="W212">
        <v>265472419.80000001</v>
      </c>
      <c r="X212">
        <v>266439117.80000001</v>
      </c>
      <c r="Y212">
        <v>267499117.80000001</v>
      </c>
      <c r="Z212">
        <v>268599117.80000001</v>
      </c>
      <c r="AA212">
        <v>270179117.80000001</v>
      </c>
      <c r="AB212">
        <v>36809726663.503357</v>
      </c>
      <c r="AC212">
        <v>50705232.1818</v>
      </c>
      <c r="AD212">
        <v>37387091733.840332</v>
      </c>
      <c r="AE212">
        <v>50889871.499799997</v>
      </c>
      <c r="AF212">
        <v>39300016465.291458</v>
      </c>
      <c r="AG212">
        <v>51092331.499799997</v>
      </c>
      <c r="AH212">
        <v>42618554506.017807</v>
      </c>
      <c r="AI212">
        <v>51302431.499799997</v>
      </c>
      <c r="AJ212">
        <v>44626892069.931213</v>
      </c>
      <c r="AK212">
        <v>51604211.499799997</v>
      </c>
    </row>
    <row r="213" spans="1:37" x14ac:dyDescent="0.35">
      <c r="A213" t="s">
        <v>2361</v>
      </c>
      <c r="B213">
        <v>118.24</v>
      </c>
      <c r="C213" t="s">
        <v>231</v>
      </c>
      <c r="D213" t="s">
        <v>2362</v>
      </c>
      <c r="E213" t="s">
        <v>2363</v>
      </c>
      <c r="F213">
        <v>0.191</v>
      </c>
      <c r="G213" t="s">
        <v>2364</v>
      </c>
      <c r="H213">
        <v>15.3</v>
      </c>
      <c r="I213">
        <v>0.03</v>
      </c>
      <c r="J213" t="s">
        <v>2365</v>
      </c>
      <c r="K213" t="s">
        <v>2366</v>
      </c>
      <c r="L213" t="s">
        <v>2367</v>
      </c>
      <c r="M213" t="s">
        <v>2368</v>
      </c>
      <c r="N213">
        <v>725.9551939635088</v>
      </c>
      <c r="O213">
        <v>734.66665629107092</v>
      </c>
      <c r="P213">
        <v>769.19598913675122</v>
      </c>
      <c r="Q213">
        <v>830.73166826769136</v>
      </c>
      <c r="R213">
        <v>864.79166666666663</v>
      </c>
      <c r="S213" t="s">
        <v>2369</v>
      </c>
      <c r="T213" t="s">
        <v>2370</v>
      </c>
      <c r="U213" t="s">
        <v>2371</v>
      </c>
      <c r="V213" t="s">
        <v>94</v>
      </c>
      <c r="W213">
        <v>265472419.80000001</v>
      </c>
      <c r="X213">
        <v>266439117.80000001</v>
      </c>
      <c r="Y213">
        <v>267499117.80000001</v>
      </c>
      <c r="Z213">
        <v>268599117.80000001</v>
      </c>
      <c r="AA213">
        <v>270179117.80000001</v>
      </c>
      <c r="AB213">
        <v>36809726663.503357</v>
      </c>
      <c r="AC213">
        <v>50705232.1818</v>
      </c>
      <c r="AD213">
        <v>37387091733.840332</v>
      </c>
      <c r="AE213">
        <v>50889871.499799997</v>
      </c>
      <c r="AF213">
        <v>39300016465.291458</v>
      </c>
      <c r="AG213">
        <v>51092331.499799997</v>
      </c>
      <c r="AH213">
        <v>42618554506.017807</v>
      </c>
      <c r="AI213">
        <v>51302431.499799997</v>
      </c>
      <c r="AJ213">
        <v>44626892069.931213</v>
      </c>
      <c r="AK213">
        <v>51604211.499799997</v>
      </c>
    </row>
    <row r="214" spans="1:37" x14ac:dyDescent="0.35">
      <c r="A214" t="s">
        <v>2372</v>
      </c>
      <c r="B214">
        <v>30966.03</v>
      </c>
      <c r="C214" t="s">
        <v>255</v>
      </c>
      <c r="D214" t="s">
        <v>2373</v>
      </c>
      <c r="E214" t="s">
        <v>2374</v>
      </c>
      <c r="F214">
        <v>4.1999999999999998E-5</v>
      </c>
      <c r="G214" t="s">
        <v>2375</v>
      </c>
      <c r="H214">
        <v>0.5</v>
      </c>
      <c r="I214">
        <v>705.27</v>
      </c>
      <c r="J214" t="s">
        <v>2376</v>
      </c>
      <c r="K214" t="s">
        <v>2377</v>
      </c>
      <c r="L214" t="s">
        <v>2378</v>
      </c>
      <c r="M214" t="s">
        <v>2379</v>
      </c>
      <c r="N214">
        <v>118710.1325836446</v>
      </c>
      <c r="O214">
        <v>120134.6541746483</v>
      </c>
      <c r="P214">
        <v>125780.9829208568</v>
      </c>
      <c r="Q214">
        <v>135843.46155452539</v>
      </c>
      <c r="R214">
        <v>141413.04347826089</v>
      </c>
      <c r="S214" t="s">
        <v>2380</v>
      </c>
      <c r="T214" t="s">
        <v>2381</v>
      </c>
      <c r="U214" t="s">
        <v>2382</v>
      </c>
      <c r="V214" t="s">
        <v>94</v>
      </c>
      <c r="W214">
        <v>265472419.80000001</v>
      </c>
      <c r="X214">
        <v>266439117.80000001</v>
      </c>
      <c r="Y214">
        <v>267499117.80000001</v>
      </c>
      <c r="Z214">
        <v>268599117.80000001</v>
      </c>
      <c r="AA214">
        <v>270179117.80000001</v>
      </c>
      <c r="AB214">
        <v>1323599178.3738761</v>
      </c>
      <c r="AC214">
        <v>11149.8416316</v>
      </c>
      <c r="AD214">
        <v>1344359993.571058</v>
      </c>
      <c r="AE214">
        <v>11190.4429476</v>
      </c>
      <c r="AF214">
        <v>1413144682.628535</v>
      </c>
      <c r="AG214">
        <v>11234.962947599999</v>
      </c>
      <c r="AH214">
        <v>1532472225.162637</v>
      </c>
      <c r="AI214">
        <v>11281.1629476</v>
      </c>
      <c r="AJ214">
        <v>1604687755.959522</v>
      </c>
      <c r="AK214">
        <v>11347.5229476</v>
      </c>
    </row>
    <row r="215" spans="1:37" x14ac:dyDescent="0.35">
      <c r="A215" t="s">
        <v>2383</v>
      </c>
      <c r="B215">
        <v>3.59</v>
      </c>
      <c r="C215" t="s">
        <v>1449</v>
      </c>
      <c r="D215" t="s">
        <v>1504</v>
      </c>
      <c r="E215" t="s">
        <v>2384</v>
      </c>
      <c r="F215">
        <v>0.17199999999999999</v>
      </c>
      <c r="G215" t="s">
        <v>2385</v>
      </c>
      <c r="H215">
        <v>0.15</v>
      </c>
      <c r="I215">
        <v>0</v>
      </c>
      <c r="J215" t="s">
        <v>2386</v>
      </c>
      <c r="K215" t="s">
        <v>2387</v>
      </c>
      <c r="L215" t="s">
        <v>2388</v>
      </c>
      <c r="M215" t="s">
        <v>2389</v>
      </c>
      <c r="N215">
        <v>167.8913481582675</v>
      </c>
      <c r="O215">
        <v>169.9060443361667</v>
      </c>
      <c r="P215">
        <v>177.89162841996659</v>
      </c>
      <c r="Q215">
        <v>192.1229586935639</v>
      </c>
      <c r="R215">
        <v>200</v>
      </c>
      <c r="S215" t="s">
        <v>2390</v>
      </c>
      <c r="T215" t="s">
        <v>1945</v>
      </c>
      <c r="U215" t="s">
        <v>2391</v>
      </c>
      <c r="V215" t="s">
        <v>49</v>
      </c>
      <c r="W215">
        <v>338996155</v>
      </c>
      <c r="X215">
        <v>339500751</v>
      </c>
      <c r="Y215">
        <v>340560751</v>
      </c>
      <c r="Z215">
        <v>341660751</v>
      </c>
      <c r="AA215">
        <v>343660751</v>
      </c>
      <c r="AB215">
        <v>9789297695.1480713</v>
      </c>
      <c r="AC215">
        <v>58307338.659999996</v>
      </c>
      <c r="AD215">
        <v>9921515500.0696774</v>
      </c>
      <c r="AE215">
        <v>58394129.171999998</v>
      </c>
      <c r="AF215">
        <v>10420259930.266479</v>
      </c>
      <c r="AG215">
        <v>58576449.171999998</v>
      </c>
      <c r="AH215">
        <v>11290230388.47262</v>
      </c>
      <c r="AI215">
        <v>58765649.171999998</v>
      </c>
      <c r="AJ215">
        <v>11821929834.4</v>
      </c>
      <c r="AK215">
        <v>59109649.171999998</v>
      </c>
    </row>
    <row r="216" spans="1:37" x14ac:dyDescent="0.35">
      <c r="A216" t="s">
        <v>2392</v>
      </c>
      <c r="B216">
        <v>2.5</v>
      </c>
      <c r="C216" t="s">
        <v>1402</v>
      </c>
      <c r="D216" t="s">
        <v>2393</v>
      </c>
      <c r="E216" t="s">
        <v>2394</v>
      </c>
      <c r="F216">
        <v>0.3</v>
      </c>
      <c r="G216" t="s">
        <v>2395</v>
      </c>
      <c r="H216">
        <v>0.1</v>
      </c>
      <c r="J216" t="s">
        <v>2396</v>
      </c>
      <c r="K216" t="s">
        <v>2397</v>
      </c>
      <c r="L216" t="s">
        <v>2398</v>
      </c>
      <c r="M216" t="s">
        <v>2399</v>
      </c>
      <c r="N216">
        <v>245.54109668146631</v>
      </c>
      <c r="O216">
        <v>248.48758984164391</v>
      </c>
      <c r="P216">
        <v>260.16650656420109</v>
      </c>
      <c r="Q216">
        <v>280.97982708933722</v>
      </c>
      <c r="R216">
        <v>292.5</v>
      </c>
      <c r="S216" t="s">
        <v>2400</v>
      </c>
      <c r="T216" t="s">
        <v>2401</v>
      </c>
      <c r="U216" t="s">
        <v>1378</v>
      </c>
      <c r="V216" t="s">
        <v>49</v>
      </c>
      <c r="W216">
        <v>338996155</v>
      </c>
      <c r="X216">
        <v>339500751</v>
      </c>
      <c r="Y216">
        <v>340560751</v>
      </c>
      <c r="Z216">
        <v>341660751</v>
      </c>
      <c r="AA216">
        <v>343660751</v>
      </c>
      <c r="AB216">
        <v>24971246300.85009</v>
      </c>
      <c r="AC216">
        <v>101698846.5</v>
      </c>
      <c r="AD216">
        <v>25308517009.62542</v>
      </c>
      <c r="AE216">
        <v>101850225.3</v>
      </c>
      <c r="AF216">
        <v>26580750258.165218</v>
      </c>
      <c r="AG216">
        <v>102168225.3</v>
      </c>
      <c r="AH216">
        <v>28799933621.757931</v>
      </c>
      <c r="AI216">
        <v>102498225.3</v>
      </c>
      <c r="AJ216">
        <v>30156230900.25</v>
      </c>
      <c r="AK216">
        <v>103098225.3</v>
      </c>
    </row>
    <row r="217" spans="1:37" x14ac:dyDescent="0.35">
      <c r="A217" t="s">
        <v>2402</v>
      </c>
      <c r="B217">
        <v>3.76</v>
      </c>
      <c r="C217" t="s">
        <v>1414</v>
      </c>
      <c r="D217" t="s">
        <v>2403</v>
      </c>
      <c r="E217" t="s">
        <v>2404</v>
      </c>
      <c r="F217">
        <v>0.2</v>
      </c>
      <c r="G217" t="s">
        <v>2405</v>
      </c>
      <c r="H217">
        <v>0.25</v>
      </c>
      <c r="J217" t="s">
        <v>2406</v>
      </c>
      <c r="K217" t="s">
        <v>2407</v>
      </c>
      <c r="L217" t="s">
        <v>2408</v>
      </c>
      <c r="M217" t="s">
        <v>2409</v>
      </c>
      <c r="N217">
        <v>183.6311620481051</v>
      </c>
      <c r="O217">
        <v>185.8347359926824</v>
      </c>
      <c r="P217">
        <v>194.56896858433839</v>
      </c>
      <c r="Q217">
        <v>210.13448607108549</v>
      </c>
      <c r="R217">
        <v>218.75</v>
      </c>
      <c r="S217" t="s">
        <v>2410</v>
      </c>
      <c r="T217" t="s">
        <v>2411</v>
      </c>
      <c r="U217" t="s">
        <v>2412</v>
      </c>
      <c r="V217" t="s">
        <v>49</v>
      </c>
      <c r="W217">
        <v>338996155</v>
      </c>
      <c r="X217">
        <v>339500751</v>
      </c>
      <c r="Y217">
        <v>340560751</v>
      </c>
      <c r="Z217">
        <v>341660751</v>
      </c>
      <c r="AA217">
        <v>343660751</v>
      </c>
      <c r="AB217">
        <v>12450051574.49791</v>
      </c>
      <c r="AC217">
        <v>67799231</v>
      </c>
      <c r="AD217">
        <v>12618206486.280479</v>
      </c>
      <c r="AE217">
        <v>67900150.200000003</v>
      </c>
      <c r="AF217">
        <v>13252510812.47554</v>
      </c>
      <c r="AG217">
        <v>68112150.200000003</v>
      </c>
      <c r="AH217">
        <v>14358941264.409229</v>
      </c>
      <c r="AI217">
        <v>68332150.200000003</v>
      </c>
      <c r="AJ217">
        <v>15035157856.25</v>
      </c>
      <c r="AK217">
        <v>68732150.200000003</v>
      </c>
    </row>
    <row r="218" spans="1:37" x14ac:dyDescent="0.35">
      <c r="A218" t="s">
        <v>2413</v>
      </c>
      <c r="B218">
        <v>871.11</v>
      </c>
      <c r="C218" t="s">
        <v>1042</v>
      </c>
      <c r="D218" t="s">
        <v>2414</v>
      </c>
      <c r="E218" t="s">
        <v>2415</v>
      </c>
      <c r="F218">
        <v>0.187</v>
      </c>
      <c r="G218" t="s">
        <v>2416</v>
      </c>
      <c r="H218">
        <v>0.2</v>
      </c>
      <c r="I218">
        <v>0.01</v>
      </c>
      <c r="J218" t="s">
        <v>2417</v>
      </c>
      <c r="K218" t="s">
        <v>2418</v>
      </c>
      <c r="L218" t="s">
        <v>2419</v>
      </c>
      <c r="M218" t="s">
        <v>2420</v>
      </c>
      <c r="N218">
        <v>1770.7290626067279</v>
      </c>
      <c r="O218">
        <v>1791.9778113580089</v>
      </c>
      <c r="P218">
        <v>1876.2007684918351</v>
      </c>
      <c r="Q218">
        <v>2026.296829971182</v>
      </c>
      <c r="R218">
        <v>2109.375</v>
      </c>
      <c r="S218" t="s">
        <v>2421</v>
      </c>
      <c r="T218" t="s">
        <v>2422</v>
      </c>
      <c r="U218" t="s">
        <v>2423</v>
      </c>
      <c r="V218" t="s">
        <v>1053</v>
      </c>
      <c r="W218">
        <v>158713600</v>
      </c>
      <c r="X218">
        <v>160457415</v>
      </c>
      <c r="Y218">
        <v>160457415</v>
      </c>
      <c r="Z218">
        <v>160557415</v>
      </c>
      <c r="AA218">
        <v>160557415</v>
      </c>
      <c r="AB218">
        <v>52554252636.225616</v>
      </c>
      <c r="AC218">
        <v>29679443.199999999</v>
      </c>
      <c r="AD218">
        <v>53769255814.050507</v>
      </c>
      <c r="AE218">
        <v>30005536.605</v>
      </c>
      <c r="AF218">
        <v>56296410837.310883</v>
      </c>
      <c r="AG218">
        <v>30005536.605</v>
      </c>
      <c r="AH218">
        <v>60838015455.01622</v>
      </c>
      <c r="AI218">
        <v>30024236.605</v>
      </c>
      <c r="AJ218">
        <v>63332374088.671883</v>
      </c>
      <c r="AK218">
        <v>30024236.605</v>
      </c>
    </row>
    <row r="219" spans="1:37" x14ac:dyDescent="0.35">
      <c r="A219" t="s">
        <v>2424</v>
      </c>
      <c r="B219">
        <v>1329.2</v>
      </c>
      <c r="C219" t="s">
        <v>1042</v>
      </c>
      <c r="D219" t="s">
        <v>2425</v>
      </c>
      <c r="E219" t="s">
        <v>2426</v>
      </c>
      <c r="F219">
        <v>0.187</v>
      </c>
      <c r="G219" t="s">
        <v>2427</v>
      </c>
      <c r="H219">
        <v>0.2</v>
      </c>
      <c r="I219">
        <v>0.01</v>
      </c>
      <c r="J219" t="s">
        <v>2428</v>
      </c>
      <c r="K219" t="s">
        <v>2429</v>
      </c>
      <c r="L219" t="s">
        <v>2430</v>
      </c>
      <c r="M219" t="s">
        <v>2431</v>
      </c>
      <c r="N219">
        <v>1770.7290626067279</v>
      </c>
      <c r="O219">
        <v>1791.9778113580089</v>
      </c>
      <c r="P219">
        <v>1876.2007684918351</v>
      </c>
      <c r="Q219">
        <v>2026.296829971182</v>
      </c>
      <c r="R219">
        <v>2109.375</v>
      </c>
      <c r="S219" t="s">
        <v>2432</v>
      </c>
      <c r="T219" t="s">
        <v>2433</v>
      </c>
      <c r="U219" t="s">
        <v>2434</v>
      </c>
      <c r="V219" t="s">
        <v>1053</v>
      </c>
      <c r="W219">
        <v>158713600</v>
      </c>
      <c r="X219">
        <v>160457415</v>
      </c>
      <c r="Y219">
        <v>160457415</v>
      </c>
      <c r="Z219">
        <v>160557415</v>
      </c>
      <c r="AA219">
        <v>160557415</v>
      </c>
      <c r="AB219">
        <v>52554252636.225616</v>
      </c>
      <c r="AC219">
        <v>29679443.199999999</v>
      </c>
      <c r="AD219">
        <v>53769255814.050507</v>
      </c>
      <c r="AE219">
        <v>30005536.605</v>
      </c>
      <c r="AF219">
        <v>56296410837.310883</v>
      </c>
      <c r="AG219">
        <v>30005536.605</v>
      </c>
      <c r="AH219">
        <v>60838015455.01622</v>
      </c>
      <c r="AI219">
        <v>30024236.605</v>
      </c>
      <c r="AJ219">
        <v>63332374088.671883</v>
      </c>
      <c r="AK219">
        <v>30024236.605</v>
      </c>
    </row>
    <row r="220" spans="1:37" x14ac:dyDescent="0.35">
      <c r="A220" t="s">
        <v>2435</v>
      </c>
      <c r="B220">
        <v>17.11</v>
      </c>
      <c r="C220" t="s">
        <v>2436</v>
      </c>
      <c r="D220" t="s">
        <v>2437</v>
      </c>
      <c r="E220" t="s">
        <v>2438</v>
      </c>
      <c r="F220">
        <v>1.4999999999999999E-2</v>
      </c>
      <c r="G220" t="s">
        <v>2439</v>
      </c>
      <c r="H220">
        <v>0.3</v>
      </c>
      <c r="I220">
        <v>1.52</v>
      </c>
      <c r="J220" t="s">
        <v>2440</v>
      </c>
      <c r="K220" t="s">
        <v>2441</v>
      </c>
      <c r="L220" t="s">
        <v>2442</v>
      </c>
      <c r="M220" t="s">
        <v>2443</v>
      </c>
      <c r="N220">
        <v>2999.6587537610458</v>
      </c>
      <c r="O220">
        <v>3035.6546588061792</v>
      </c>
      <c r="P220">
        <v>3178.330427770069</v>
      </c>
      <c r="Q220">
        <v>3432.5968619916748</v>
      </c>
      <c r="R220">
        <v>3573.333333333333</v>
      </c>
      <c r="S220" t="s">
        <v>2444</v>
      </c>
      <c r="T220" t="s">
        <v>2445</v>
      </c>
      <c r="U220" t="s">
        <v>2446</v>
      </c>
      <c r="V220" t="s">
        <v>49</v>
      </c>
      <c r="W220">
        <v>338996155</v>
      </c>
      <c r="X220">
        <v>339500751</v>
      </c>
      <c r="Y220">
        <v>340560751</v>
      </c>
      <c r="Z220">
        <v>341660751</v>
      </c>
      <c r="AA220">
        <v>343660751</v>
      </c>
      <c r="AB220">
        <v>15253091757.556299</v>
      </c>
      <c r="AC220">
        <v>5084942.3250000002</v>
      </c>
      <c r="AD220">
        <v>15459105546.620199</v>
      </c>
      <c r="AE220">
        <v>5092511.2649999997</v>
      </c>
      <c r="AF220">
        <v>16236218961.11289</v>
      </c>
      <c r="AG220">
        <v>5108411.2649999997</v>
      </c>
      <c r="AH220">
        <v>17591754326.224781</v>
      </c>
      <c r="AI220">
        <v>5124911.2649999997</v>
      </c>
      <c r="AJ220">
        <v>18420216253.599998</v>
      </c>
      <c r="AK220">
        <v>5154911.2649999997</v>
      </c>
    </row>
    <row r="221" spans="1:37" x14ac:dyDescent="0.35">
      <c r="A221" t="s">
        <v>2447</v>
      </c>
      <c r="B221">
        <v>21.58</v>
      </c>
      <c r="C221" t="s">
        <v>1019</v>
      </c>
      <c r="D221" t="s">
        <v>2448</v>
      </c>
      <c r="E221" t="s">
        <v>2449</v>
      </c>
      <c r="F221">
        <v>0.28999999999999998</v>
      </c>
      <c r="G221" t="s">
        <v>2450</v>
      </c>
      <c r="H221">
        <v>0.7</v>
      </c>
      <c r="I221">
        <v>0</v>
      </c>
      <c r="J221" t="s">
        <v>2451</v>
      </c>
      <c r="K221" t="s">
        <v>2452</v>
      </c>
      <c r="L221" t="s">
        <v>2453</v>
      </c>
      <c r="M221" t="s">
        <v>2454</v>
      </c>
      <c r="N221">
        <v>349.3072771403954</v>
      </c>
      <c r="O221">
        <v>353.49896446608022</v>
      </c>
      <c r="P221">
        <v>370.11341579598587</v>
      </c>
      <c r="Q221">
        <v>399.72248905966478</v>
      </c>
      <c r="R221">
        <v>416.11111111111109</v>
      </c>
      <c r="S221" t="s">
        <v>2455</v>
      </c>
      <c r="T221" t="s">
        <v>587</v>
      </c>
      <c r="U221" t="s">
        <v>2456</v>
      </c>
      <c r="V221" t="s">
        <v>1029</v>
      </c>
      <c r="W221">
        <v>139921842</v>
      </c>
      <c r="X221">
        <v>139603232</v>
      </c>
      <c r="Y221">
        <v>140663232</v>
      </c>
      <c r="Z221">
        <v>141763232</v>
      </c>
      <c r="AA221">
        <v>143763232</v>
      </c>
      <c r="AB221">
        <v>14173958116.0317</v>
      </c>
      <c r="AC221">
        <v>40577334.18</v>
      </c>
      <c r="AD221">
        <v>14311383404.954201</v>
      </c>
      <c r="AE221">
        <v>40484937.279999986</v>
      </c>
      <c r="AF221">
        <v>15097791289.002741</v>
      </c>
      <c r="AG221">
        <v>40792337.279999986</v>
      </c>
      <c r="AH221">
        <v>16433126066.13299</v>
      </c>
      <c r="AI221">
        <v>41111337.279999986</v>
      </c>
      <c r="AJ221">
        <v>17348228679.288891</v>
      </c>
      <c r="AK221">
        <v>41691337.279999986</v>
      </c>
    </row>
    <row r="222" spans="1:37" x14ac:dyDescent="0.35">
      <c r="A222" t="s">
        <v>2457</v>
      </c>
      <c r="B222">
        <v>8.9600000000000009</v>
      </c>
      <c r="C222" t="s">
        <v>2458</v>
      </c>
      <c r="D222" t="s">
        <v>2459</v>
      </c>
      <c r="E222" t="s">
        <v>2460</v>
      </c>
      <c r="F222">
        <v>0.01</v>
      </c>
      <c r="G222" t="s">
        <v>2461</v>
      </c>
      <c r="H222">
        <v>0.15</v>
      </c>
      <c r="I222">
        <v>0.01</v>
      </c>
      <c r="J222" t="s">
        <v>2462</v>
      </c>
      <c r="K222" t="s">
        <v>2463</v>
      </c>
      <c r="L222" t="s">
        <v>2464</v>
      </c>
      <c r="M222" t="s">
        <v>2465</v>
      </c>
      <c r="N222">
        <v>293.80985927696821</v>
      </c>
      <c r="O222">
        <v>297.33557758829181</v>
      </c>
      <c r="P222">
        <v>311.31034973494138</v>
      </c>
      <c r="Q222">
        <v>336.21517771373681</v>
      </c>
      <c r="R222">
        <v>350</v>
      </c>
      <c r="S222" t="s">
        <v>2466</v>
      </c>
      <c r="T222" t="s">
        <v>2467</v>
      </c>
      <c r="U222" t="s">
        <v>2468</v>
      </c>
      <c r="V222" t="s">
        <v>49</v>
      </c>
      <c r="W222">
        <v>338996155</v>
      </c>
      <c r="X222">
        <v>339500751</v>
      </c>
      <c r="Y222">
        <v>340560751</v>
      </c>
      <c r="Z222">
        <v>341660751</v>
      </c>
      <c r="AA222">
        <v>343660751</v>
      </c>
      <c r="AB222">
        <v>996004125.95983279</v>
      </c>
      <c r="AC222">
        <v>3389961.55</v>
      </c>
      <c r="AD222">
        <v>1009456518.902438</v>
      </c>
      <c r="AE222">
        <v>3395007.51</v>
      </c>
      <c r="AF222">
        <v>1060200864.9980429</v>
      </c>
      <c r="AG222">
        <v>3405607.51</v>
      </c>
      <c r="AH222">
        <v>1148715301.1527381</v>
      </c>
      <c r="AI222">
        <v>3416607.51</v>
      </c>
      <c r="AJ222">
        <v>1202812628.5</v>
      </c>
      <c r="AK222">
        <v>3436607.51</v>
      </c>
    </row>
    <row r="223" spans="1:37" x14ac:dyDescent="0.35">
      <c r="A223" t="s">
        <v>2469</v>
      </c>
      <c r="B223">
        <v>12.04</v>
      </c>
      <c r="C223" t="s">
        <v>2458</v>
      </c>
      <c r="D223" t="s">
        <v>2470</v>
      </c>
      <c r="E223" t="s">
        <v>2471</v>
      </c>
      <c r="F223">
        <v>0.01</v>
      </c>
      <c r="G223" t="s">
        <v>2472</v>
      </c>
      <c r="H223">
        <v>0.2</v>
      </c>
      <c r="I223">
        <v>0.01</v>
      </c>
      <c r="J223" t="s">
        <v>2473</v>
      </c>
      <c r="K223" t="s">
        <v>2474</v>
      </c>
      <c r="L223" t="s">
        <v>2475</v>
      </c>
      <c r="M223" t="s">
        <v>1456</v>
      </c>
      <c r="N223">
        <v>293.80985927696821</v>
      </c>
      <c r="O223">
        <v>297.33557758829181</v>
      </c>
      <c r="P223">
        <v>311.31034973494138</v>
      </c>
      <c r="Q223">
        <v>336.21517771373681</v>
      </c>
      <c r="R223">
        <v>350</v>
      </c>
      <c r="S223" t="s">
        <v>2476</v>
      </c>
      <c r="T223" t="s">
        <v>2477</v>
      </c>
      <c r="U223" t="s">
        <v>2468</v>
      </c>
      <c r="V223" t="s">
        <v>49</v>
      </c>
      <c r="W223">
        <v>338996155</v>
      </c>
      <c r="X223">
        <v>339500751</v>
      </c>
      <c r="Y223">
        <v>340560751</v>
      </c>
      <c r="Z223">
        <v>341660751</v>
      </c>
      <c r="AA223">
        <v>343660751</v>
      </c>
      <c r="AB223">
        <v>996004125.95983279</v>
      </c>
      <c r="AC223">
        <v>3389961.55</v>
      </c>
      <c r="AD223">
        <v>1009456518.902438</v>
      </c>
      <c r="AE223">
        <v>3395007.51</v>
      </c>
      <c r="AF223">
        <v>1060200864.9980429</v>
      </c>
      <c r="AG223">
        <v>3405607.51</v>
      </c>
      <c r="AH223">
        <v>1148715301.1527381</v>
      </c>
      <c r="AI223">
        <v>3416607.51</v>
      </c>
      <c r="AJ223">
        <v>1202812628.5</v>
      </c>
      <c r="AK223">
        <v>3436607.51</v>
      </c>
    </row>
    <row r="224" spans="1:37" x14ac:dyDescent="0.35">
      <c r="A224" t="s">
        <v>2478</v>
      </c>
      <c r="B224">
        <v>19.350000000000001</v>
      </c>
      <c r="C224" t="s">
        <v>2458</v>
      </c>
      <c r="D224" t="s">
        <v>2479</v>
      </c>
      <c r="E224" t="s">
        <v>2480</v>
      </c>
      <c r="F224">
        <v>0.01</v>
      </c>
      <c r="G224" t="s">
        <v>2481</v>
      </c>
      <c r="H224">
        <v>0.3</v>
      </c>
      <c r="I224">
        <v>0.02</v>
      </c>
      <c r="J224" t="s">
        <v>2482</v>
      </c>
      <c r="K224" t="s">
        <v>2483</v>
      </c>
      <c r="L224" t="s">
        <v>2484</v>
      </c>
      <c r="M224" t="s">
        <v>2485</v>
      </c>
      <c r="N224">
        <v>293.80985927696821</v>
      </c>
      <c r="O224">
        <v>297.33557758829181</v>
      </c>
      <c r="P224">
        <v>311.31034973494138</v>
      </c>
      <c r="Q224">
        <v>336.21517771373681</v>
      </c>
      <c r="R224">
        <v>350</v>
      </c>
      <c r="S224" t="s">
        <v>2486</v>
      </c>
      <c r="T224" t="s">
        <v>2487</v>
      </c>
      <c r="U224" t="s">
        <v>2468</v>
      </c>
      <c r="V224" t="s">
        <v>49</v>
      </c>
      <c r="W224">
        <v>338996155</v>
      </c>
      <c r="X224">
        <v>339500751</v>
      </c>
      <c r="Y224">
        <v>340560751</v>
      </c>
      <c r="Z224">
        <v>341660751</v>
      </c>
      <c r="AA224">
        <v>343660751</v>
      </c>
      <c r="AB224">
        <v>996004125.95983279</v>
      </c>
      <c r="AC224">
        <v>3389961.55</v>
      </c>
      <c r="AD224">
        <v>1009456518.902438</v>
      </c>
      <c r="AE224">
        <v>3395007.51</v>
      </c>
      <c r="AF224">
        <v>1060200864.9980429</v>
      </c>
      <c r="AG224">
        <v>3405607.51</v>
      </c>
      <c r="AH224">
        <v>1148715301.1527381</v>
      </c>
      <c r="AI224">
        <v>3416607.51</v>
      </c>
      <c r="AJ224">
        <v>1202812628.5</v>
      </c>
      <c r="AK224">
        <v>3436607.51</v>
      </c>
    </row>
    <row r="225" spans="1:37" x14ac:dyDescent="0.35">
      <c r="A225" t="s">
        <v>2488</v>
      </c>
      <c r="B225">
        <v>6.57</v>
      </c>
      <c r="C225" t="s">
        <v>487</v>
      </c>
      <c r="D225" t="s">
        <v>2489</v>
      </c>
      <c r="E225" t="s">
        <v>2490</v>
      </c>
      <c r="F225">
        <v>2.8000000000000001E-2</v>
      </c>
      <c r="G225" t="s">
        <v>2491</v>
      </c>
      <c r="H225">
        <v>2030.25</v>
      </c>
      <c r="I225">
        <v>81.05</v>
      </c>
      <c r="J225" t="s">
        <v>2492</v>
      </c>
      <c r="K225" t="s">
        <v>2493</v>
      </c>
      <c r="L225" t="s">
        <v>2494</v>
      </c>
      <c r="M225" t="s">
        <v>2495</v>
      </c>
      <c r="N225">
        <v>4761.448013576749</v>
      </c>
      <c r="O225">
        <v>4818.5853897396701</v>
      </c>
      <c r="P225">
        <v>5045.0589030574338</v>
      </c>
      <c r="Q225">
        <v>5448.663615302029</v>
      </c>
      <c r="R225">
        <v>5672.0588235294117</v>
      </c>
      <c r="S225" t="s">
        <v>2496</v>
      </c>
      <c r="T225" t="s">
        <v>2497</v>
      </c>
      <c r="U225" t="s">
        <v>2498</v>
      </c>
      <c r="V225" t="s">
        <v>94</v>
      </c>
      <c r="W225">
        <v>265472419.80000001</v>
      </c>
      <c r="X225">
        <v>266439117.80000001</v>
      </c>
      <c r="Y225">
        <v>267499117.80000001</v>
      </c>
      <c r="Z225">
        <v>268599117.80000001</v>
      </c>
      <c r="AA225">
        <v>270179117.80000001</v>
      </c>
      <c r="AB225">
        <v>35392927525.651443</v>
      </c>
      <c r="AC225">
        <v>7433227.7544000009</v>
      </c>
      <c r="AD225">
        <v>35948069928.013786</v>
      </c>
      <c r="AE225">
        <v>7460295.2984000007</v>
      </c>
      <c r="AF225">
        <v>37787366562.873177</v>
      </c>
      <c r="AG225">
        <v>7489975.2984000007</v>
      </c>
      <c r="AH225">
        <v>40978174727.254341</v>
      </c>
      <c r="AI225">
        <v>7520775.2984000007</v>
      </c>
      <c r="AJ225">
        <v>42909211773.424713</v>
      </c>
      <c r="AK225">
        <v>7565015.2984000007</v>
      </c>
    </row>
    <row r="226" spans="1:37" x14ac:dyDescent="0.35">
      <c r="A226" t="s">
        <v>2499</v>
      </c>
      <c r="B226">
        <v>4634.6899999999996</v>
      </c>
      <c r="C226" t="s">
        <v>372</v>
      </c>
      <c r="D226" t="s">
        <v>2500</v>
      </c>
      <c r="E226" t="s">
        <v>2501</v>
      </c>
      <c r="F226">
        <v>5.0000000000000001E-4</v>
      </c>
      <c r="G226" t="s">
        <v>2502</v>
      </c>
      <c r="H226">
        <v>0.3</v>
      </c>
      <c r="I226">
        <v>0.01</v>
      </c>
      <c r="J226" t="s">
        <v>2503</v>
      </c>
      <c r="K226" t="s">
        <v>2504</v>
      </c>
      <c r="L226" t="s">
        <v>2505</v>
      </c>
      <c r="M226" t="s">
        <v>2506</v>
      </c>
      <c r="N226">
        <v>6885.5439810146627</v>
      </c>
      <c r="O226">
        <v>6968.1705087868386</v>
      </c>
      <c r="P226">
        <v>7295.6745226998191</v>
      </c>
      <c r="Q226">
        <v>7879.328484515805</v>
      </c>
      <c r="R226">
        <v>8202.3809523809523</v>
      </c>
      <c r="S226" t="s">
        <v>2507</v>
      </c>
      <c r="T226" t="s">
        <v>2508</v>
      </c>
      <c r="U226" t="s">
        <v>2509</v>
      </c>
      <c r="V226" t="s">
        <v>94</v>
      </c>
      <c r="W226">
        <v>265472419.80000001</v>
      </c>
      <c r="X226">
        <v>266439117.80000001</v>
      </c>
      <c r="Y226">
        <v>267499117.80000001</v>
      </c>
      <c r="Z226">
        <v>268599117.80000001</v>
      </c>
      <c r="AA226">
        <v>270179117.80000001</v>
      </c>
      <c r="AB226">
        <v>913961011.13964391</v>
      </c>
      <c r="AC226">
        <v>132736.20989999999</v>
      </c>
      <c r="AD226">
        <v>928296601.52057135</v>
      </c>
      <c r="AE226">
        <v>133219.5589</v>
      </c>
      <c r="AF226">
        <v>975793249.28906894</v>
      </c>
      <c r="AG226">
        <v>133749.5589</v>
      </c>
      <c r="AH226">
        <v>1058190339.8986779</v>
      </c>
      <c r="AI226">
        <v>134299.5589</v>
      </c>
      <c r="AJ226">
        <v>1108056024.7869051</v>
      </c>
      <c r="AK226">
        <v>135089.5589</v>
      </c>
    </row>
    <row r="227" spans="1:37" x14ac:dyDescent="0.35">
      <c r="A227" t="s">
        <v>2510</v>
      </c>
      <c r="B227">
        <v>4308.24</v>
      </c>
      <c r="C227" t="s">
        <v>372</v>
      </c>
      <c r="D227" t="s">
        <v>2511</v>
      </c>
      <c r="E227" t="s">
        <v>2512</v>
      </c>
      <c r="F227">
        <v>5.0000000000000001E-4</v>
      </c>
      <c r="G227" t="s">
        <v>2513</v>
      </c>
      <c r="H227">
        <v>0.5</v>
      </c>
      <c r="I227">
        <v>0.01</v>
      </c>
      <c r="J227" t="s">
        <v>2514</v>
      </c>
      <c r="K227" t="s">
        <v>2515</v>
      </c>
      <c r="L227" t="s">
        <v>2516</v>
      </c>
      <c r="M227" t="s">
        <v>2517</v>
      </c>
      <c r="N227">
        <v>6885.5439810146627</v>
      </c>
      <c r="O227">
        <v>6968.1705087868386</v>
      </c>
      <c r="P227">
        <v>7295.6745226998191</v>
      </c>
      <c r="Q227">
        <v>7879.328484515805</v>
      </c>
      <c r="R227">
        <v>8202.3809523809523</v>
      </c>
      <c r="S227" t="s">
        <v>2518</v>
      </c>
      <c r="T227" t="s">
        <v>2519</v>
      </c>
      <c r="U227" t="s">
        <v>2520</v>
      </c>
      <c r="V227" t="s">
        <v>94</v>
      </c>
      <c r="W227">
        <v>265472419.80000001</v>
      </c>
      <c r="X227">
        <v>266439117.80000001</v>
      </c>
      <c r="Y227">
        <v>267499117.80000001</v>
      </c>
      <c r="Z227">
        <v>268599117.80000001</v>
      </c>
      <c r="AA227">
        <v>270179117.80000001</v>
      </c>
      <c r="AB227">
        <v>913961011.13964391</v>
      </c>
      <c r="AC227">
        <v>132736.20989999999</v>
      </c>
      <c r="AD227">
        <v>928296601.52057135</v>
      </c>
      <c r="AE227">
        <v>133219.5589</v>
      </c>
      <c r="AF227">
        <v>975793249.28906894</v>
      </c>
      <c r="AG227">
        <v>133749.5589</v>
      </c>
      <c r="AH227">
        <v>1058190339.8986779</v>
      </c>
      <c r="AI227">
        <v>134299.5589</v>
      </c>
      <c r="AJ227">
        <v>1108056024.7869051</v>
      </c>
      <c r="AK227">
        <v>135089.5589</v>
      </c>
    </row>
    <row r="228" spans="1:37" x14ac:dyDescent="0.35">
      <c r="A228" t="s">
        <v>2521</v>
      </c>
      <c r="B228">
        <v>13860.95</v>
      </c>
      <c r="C228" t="s">
        <v>255</v>
      </c>
      <c r="D228" t="s">
        <v>2522</v>
      </c>
      <c r="E228" t="s">
        <v>2523</v>
      </c>
      <c r="F228">
        <v>4.1999999999999998E-5</v>
      </c>
      <c r="G228" t="s">
        <v>2524</v>
      </c>
      <c r="H228">
        <v>0.6</v>
      </c>
      <c r="I228">
        <v>25.4</v>
      </c>
      <c r="J228" t="s">
        <v>2525</v>
      </c>
      <c r="K228" t="s">
        <v>2526</v>
      </c>
      <c r="L228" t="s">
        <v>2527</v>
      </c>
      <c r="M228" t="s">
        <v>2528</v>
      </c>
      <c r="N228">
        <v>118710.1325836446</v>
      </c>
      <c r="O228">
        <v>120134.6541746483</v>
      </c>
      <c r="P228">
        <v>125780.9829208568</v>
      </c>
      <c r="Q228">
        <v>135843.46155452539</v>
      </c>
      <c r="R228">
        <v>141413.04347826089</v>
      </c>
      <c r="S228" t="s">
        <v>2529</v>
      </c>
      <c r="T228" t="s">
        <v>2530</v>
      </c>
      <c r="U228" t="s">
        <v>2531</v>
      </c>
      <c r="V228" t="s">
        <v>94</v>
      </c>
      <c r="W228">
        <v>265472419.80000001</v>
      </c>
      <c r="X228">
        <v>266439117.80000001</v>
      </c>
      <c r="Y228">
        <v>267499117.80000001</v>
      </c>
      <c r="Z228">
        <v>268599117.80000001</v>
      </c>
      <c r="AA228">
        <v>270179117.80000001</v>
      </c>
      <c r="AB228">
        <v>1323599178.3738761</v>
      </c>
      <c r="AC228">
        <v>11149.8416316</v>
      </c>
      <c r="AD228">
        <v>1344359993.571058</v>
      </c>
      <c r="AE228">
        <v>11190.4429476</v>
      </c>
      <c r="AF228">
        <v>1413144682.628535</v>
      </c>
      <c r="AG228">
        <v>11234.962947599999</v>
      </c>
      <c r="AH228">
        <v>1532472225.162637</v>
      </c>
      <c r="AI228">
        <v>11281.1629476</v>
      </c>
      <c r="AJ228">
        <v>1604687755.959522</v>
      </c>
      <c r="AK228">
        <v>11347.5229476</v>
      </c>
    </row>
    <row r="229" spans="1:37" x14ac:dyDescent="0.35">
      <c r="A229" t="s">
        <v>2532</v>
      </c>
      <c r="B229">
        <v>9834.48</v>
      </c>
      <c r="C229" t="s">
        <v>278</v>
      </c>
      <c r="D229" t="s">
        <v>2533</v>
      </c>
      <c r="E229" t="s">
        <v>2534</v>
      </c>
      <c r="F229">
        <v>1.2999999999999999E-5</v>
      </c>
      <c r="G229" t="s">
        <v>2535</v>
      </c>
      <c r="H229">
        <v>0.5</v>
      </c>
      <c r="I229">
        <v>570.29999999999995</v>
      </c>
      <c r="J229" t="s">
        <v>2536</v>
      </c>
      <c r="K229" t="s">
        <v>2537</v>
      </c>
      <c r="L229" t="s">
        <v>2538</v>
      </c>
      <c r="M229" t="s">
        <v>2539</v>
      </c>
      <c r="N229">
        <v>117659.73818356229</v>
      </c>
      <c r="O229">
        <v>119071.655041765</v>
      </c>
      <c r="P229">
        <v>124668.022828728</v>
      </c>
      <c r="Q229">
        <v>134641.46465502621</v>
      </c>
      <c r="R229">
        <v>140161.76470588229</v>
      </c>
      <c r="S229" t="s">
        <v>2540</v>
      </c>
      <c r="T229" t="s">
        <v>2541</v>
      </c>
      <c r="U229" t="s">
        <v>2542</v>
      </c>
      <c r="V229" t="s">
        <v>49</v>
      </c>
      <c r="W229">
        <v>338996155</v>
      </c>
      <c r="X229">
        <v>339500751</v>
      </c>
      <c r="Y229">
        <v>340560751</v>
      </c>
      <c r="Z229">
        <v>341660751</v>
      </c>
      <c r="AA229">
        <v>343660751</v>
      </c>
      <c r="AB229">
        <v>518520584.95294589</v>
      </c>
      <c r="AC229">
        <v>4406.9500149999994</v>
      </c>
      <c r="AD229">
        <v>525523912.02339822</v>
      </c>
      <c r="AE229">
        <v>4413.509763</v>
      </c>
      <c r="AF229">
        <v>551941461.24307775</v>
      </c>
      <c r="AG229">
        <v>4427.2897629999998</v>
      </c>
      <c r="AH229">
        <v>598022151.08709085</v>
      </c>
      <c r="AI229">
        <v>4441.5897629999999</v>
      </c>
      <c r="AJ229">
        <v>626185265.16401446</v>
      </c>
      <c r="AK229">
        <v>4467.5897629999999</v>
      </c>
    </row>
    <row r="230" spans="1:37" x14ac:dyDescent="0.35">
      <c r="A230" t="s">
        <v>2543</v>
      </c>
      <c r="B230">
        <v>1165.57</v>
      </c>
      <c r="C230" t="s">
        <v>1006</v>
      </c>
      <c r="D230" t="s">
        <v>2544</v>
      </c>
      <c r="E230" t="s">
        <v>2545</v>
      </c>
      <c r="F230">
        <v>2.5000000000000001E-5</v>
      </c>
      <c r="G230" t="s">
        <v>2546</v>
      </c>
      <c r="H230">
        <v>0.35</v>
      </c>
      <c r="I230">
        <v>0.1</v>
      </c>
      <c r="J230" t="s">
        <v>2547</v>
      </c>
      <c r="K230" t="s">
        <v>2548</v>
      </c>
      <c r="L230" t="s">
        <v>2549</v>
      </c>
      <c r="M230" t="s">
        <v>2550</v>
      </c>
      <c r="N230">
        <v>16395.639468580812</v>
      </c>
      <c r="O230">
        <v>16592.387142203781</v>
      </c>
      <c r="P230">
        <v>17372.229337887358</v>
      </c>
      <c r="Q230">
        <v>18762.00768491835</v>
      </c>
      <c r="R230">
        <v>19531.25</v>
      </c>
      <c r="S230" t="s">
        <v>2551</v>
      </c>
      <c r="T230" t="s">
        <v>1780</v>
      </c>
      <c r="U230" t="s">
        <v>2552</v>
      </c>
      <c r="V230" t="s">
        <v>1017</v>
      </c>
      <c r="W230">
        <v>331357816</v>
      </c>
      <c r="X230">
        <v>331968553.60000002</v>
      </c>
      <c r="Y230">
        <v>333028553.60000002</v>
      </c>
      <c r="Z230">
        <v>334128553.60000002</v>
      </c>
      <c r="AA230">
        <v>336128553.60000002</v>
      </c>
      <c r="AB230">
        <v>135820582.15580839</v>
      </c>
      <c r="AC230">
        <v>8283.9454000000005</v>
      </c>
      <c r="AD230">
        <v>137703769.00921571</v>
      </c>
      <c r="AE230">
        <v>8299.2138400000003</v>
      </c>
      <c r="AF230">
        <v>144636210.23010281</v>
      </c>
      <c r="AG230">
        <v>8325.7138400000003</v>
      </c>
      <c r="AH230">
        <v>156723062.2598463</v>
      </c>
      <c r="AI230">
        <v>8353.2138400000003</v>
      </c>
      <c r="AJ230">
        <v>164125270.3125</v>
      </c>
      <c r="AK230">
        <v>8403.2138400000003</v>
      </c>
    </row>
    <row r="231" spans="1:37" x14ac:dyDescent="0.35">
      <c r="A231" t="s">
        <v>2543</v>
      </c>
      <c r="B231">
        <v>1165.57</v>
      </c>
      <c r="C231" t="s">
        <v>2553</v>
      </c>
      <c r="D231" t="s">
        <v>2544</v>
      </c>
      <c r="E231" t="s">
        <v>2545</v>
      </c>
      <c r="F231">
        <v>6.3700000000000003E-5</v>
      </c>
      <c r="G231" t="s">
        <v>2546</v>
      </c>
      <c r="H231">
        <v>0.35</v>
      </c>
      <c r="I231">
        <v>0.1</v>
      </c>
      <c r="J231" t="s">
        <v>2547</v>
      </c>
      <c r="K231" t="s">
        <v>2548</v>
      </c>
      <c r="L231" t="s">
        <v>2549</v>
      </c>
      <c r="M231" t="s">
        <v>2550</v>
      </c>
      <c r="N231">
        <v>43651.750521149559</v>
      </c>
      <c r="O231">
        <v>44175.571527403357</v>
      </c>
      <c r="P231">
        <v>46251.823389191311</v>
      </c>
      <c r="Q231">
        <v>49951.969260326623</v>
      </c>
      <c r="R231">
        <v>52000</v>
      </c>
      <c r="S231" t="s">
        <v>2551</v>
      </c>
      <c r="T231" t="s">
        <v>1780</v>
      </c>
      <c r="U231" t="s">
        <v>2552</v>
      </c>
      <c r="V231" t="s">
        <v>1017</v>
      </c>
      <c r="W231">
        <v>331357816</v>
      </c>
      <c r="X231">
        <v>331968553.60000002</v>
      </c>
      <c r="Y231">
        <v>333028553.60000002</v>
      </c>
      <c r="Z231">
        <v>334128553.60000002</v>
      </c>
      <c r="AA231">
        <v>336128553.60000002</v>
      </c>
      <c r="AB231">
        <v>921379013.28977931</v>
      </c>
      <c r="AC231">
        <v>21107.492879199999</v>
      </c>
      <c r="AD231">
        <v>934154167.2266264</v>
      </c>
      <c r="AE231">
        <v>21146.396864319999</v>
      </c>
      <c r="AF231">
        <v>981182428.70516276</v>
      </c>
      <c r="AG231">
        <v>21213.91886432</v>
      </c>
      <c r="AH231">
        <v>1063177157.4876471</v>
      </c>
      <c r="AI231">
        <v>21283.988864319999</v>
      </c>
      <c r="AJ231">
        <v>1113392220.9446399</v>
      </c>
      <c r="AK231">
        <v>21411.388864320001</v>
      </c>
    </row>
    <row r="232" spans="1:37" x14ac:dyDescent="0.35">
      <c r="A232" t="s">
        <v>2554</v>
      </c>
      <c r="B232">
        <v>2755.97</v>
      </c>
      <c r="C232" t="s">
        <v>2555</v>
      </c>
      <c r="D232" t="s">
        <v>2556</v>
      </c>
      <c r="E232" t="s">
        <v>2557</v>
      </c>
      <c r="F232">
        <v>3.4700000000000002E-2</v>
      </c>
      <c r="G232" t="s">
        <v>2558</v>
      </c>
      <c r="H232">
        <v>0.25</v>
      </c>
      <c r="I232">
        <v>0.01</v>
      </c>
      <c r="J232" t="s">
        <v>2559</v>
      </c>
      <c r="K232" t="s">
        <v>2560</v>
      </c>
      <c r="L232" t="s">
        <v>2561</v>
      </c>
      <c r="M232" t="s">
        <v>2562</v>
      </c>
      <c r="N232">
        <v>545.64688151436951</v>
      </c>
      <c r="O232">
        <v>552.19464409254192</v>
      </c>
      <c r="P232">
        <v>578.1477923648913</v>
      </c>
      <c r="Q232">
        <v>624.39961575408267</v>
      </c>
      <c r="R232">
        <v>650</v>
      </c>
      <c r="S232" t="s">
        <v>2563</v>
      </c>
      <c r="T232" t="s">
        <v>2564</v>
      </c>
      <c r="U232" t="s">
        <v>2565</v>
      </c>
      <c r="V232" t="s">
        <v>49</v>
      </c>
      <c r="W232">
        <v>338996155</v>
      </c>
      <c r="X232">
        <v>339500751</v>
      </c>
      <c r="Y232">
        <v>340560751</v>
      </c>
      <c r="Z232">
        <v>341660751</v>
      </c>
      <c r="AA232">
        <v>343660751</v>
      </c>
      <c r="AB232">
        <v>6418535160.2925816</v>
      </c>
      <c r="AC232">
        <v>11763166.578500001</v>
      </c>
      <c r="AD232">
        <v>6505226223.9555712</v>
      </c>
      <c r="AE232">
        <v>11780676.059699999</v>
      </c>
      <c r="AF232">
        <v>6832237288.5802469</v>
      </c>
      <c r="AG232">
        <v>11817458.059699999</v>
      </c>
      <c r="AH232">
        <v>7402649605.0000019</v>
      </c>
      <c r="AI232">
        <v>11855628.059699999</v>
      </c>
      <c r="AJ232">
        <v>7751268238.8050003</v>
      </c>
      <c r="AK232">
        <v>11925028.059699999</v>
      </c>
    </row>
    <row r="233" spans="1:37" x14ac:dyDescent="0.35">
      <c r="A233" t="s">
        <v>2566</v>
      </c>
      <c r="B233">
        <v>495.77</v>
      </c>
      <c r="C233" t="s">
        <v>2555</v>
      </c>
      <c r="D233" t="s">
        <v>2567</v>
      </c>
      <c r="E233" t="s">
        <v>2568</v>
      </c>
      <c r="F233">
        <v>3.4700000000000002E-2</v>
      </c>
      <c r="G233" t="s">
        <v>2569</v>
      </c>
      <c r="H233">
        <v>0.1</v>
      </c>
      <c r="I233">
        <v>0.01</v>
      </c>
      <c r="J233" t="s">
        <v>2570</v>
      </c>
      <c r="K233" t="s">
        <v>2571</v>
      </c>
      <c r="L233" t="s">
        <v>2572</v>
      </c>
      <c r="M233" t="s">
        <v>2573</v>
      </c>
      <c r="N233">
        <v>545.64688151436951</v>
      </c>
      <c r="O233">
        <v>552.19464409254192</v>
      </c>
      <c r="P233">
        <v>578.1477923648913</v>
      </c>
      <c r="Q233">
        <v>624.39961575408267</v>
      </c>
      <c r="R233">
        <v>650</v>
      </c>
      <c r="S233" t="s">
        <v>2574</v>
      </c>
      <c r="T233" t="s">
        <v>2575</v>
      </c>
      <c r="U233" t="s">
        <v>2576</v>
      </c>
      <c r="V233" t="s">
        <v>49</v>
      </c>
      <c r="W233">
        <v>338996155</v>
      </c>
      <c r="X233">
        <v>339500751</v>
      </c>
      <c r="Y233">
        <v>340560751</v>
      </c>
      <c r="Z233">
        <v>341660751</v>
      </c>
      <c r="AA233">
        <v>343660751</v>
      </c>
      <c r="AB233">
        <v>6418535160.2925816</v>
      </c>
      <c r="AC233">
        <v>11763166.578500001</v>
      </c>
      <c r="AD233">
        <v>6505226223.9555712</v>
      </c>
      <c r="AE233">
        <v>11780676.059699999</v>
      </c>
      <c r="AF233">
        <v>6832237288.5802469</v>
      </c>
      <c r="AG233">
        <v>11817458.059699999</v>
      </c>
      <c r="AH233">
        <v>7402649605.0000019</v>
      </c>
      <c r="AI233">
        <v>11855628.059699999</v>
      </c>
      <c r="AJ233">
        <v>7751268238.8050003</v>
      </c>
      <c r="AK233">
        <v>11925028.059699999</v>
      </c>
    </row>
    <row r="234" spans="1:37" x14ac:dyDescent="0.35">
      <c r="A234" t="s">
        <v>2577</v>
      </c>
      <c r="B234">
        <v>6387.61</v>
      </c>
      <c r="C234" t="s">
        <v>2578</v>
      </c>
      <c r="D234" t="s">
        <v>2579</v>
      </c>
      <c r="E234" t="s">
        <v>2580</v>
      </c>
      <c r="F234">
        <v>6.46E-6</v>
      </c>
      <c r="G234" t="s">
        <v>2581</v>
      </c>
      <c r="H234">
        <v>0.3</v>
      </c>
      <c r="I234">
        <v>0.1</v>
      </c>
      <c r="J234" t="s">
        <v>2582</v>
      </c>
      <c r="K234" t="s">
        <v>2583</v>
      </c>
      <c r="L234" t="s">
        <v>2584</v>
      </c>
      <c r="M234" t="s">
        <v>2585</v>
      </c>
      <c r="N234">
        <v>120409.5762572575</v>
      </c>
      <c r="O234">
        <v>121854.4911723446</v>
      </c>
      <c r="P234">
        <v>127581.6522574448</v>
      </c>
      <c r="Q234">
        <v>137788.18443804039</v>
      </c>
      <c r="R234">
        <v>143437.5</v>
      </c>
      <c r="S234" t="s">
        <v>2586</v>
      </c>
      <c r="T234" t="s">
        <v>2587</v>
      </c>
      <c r="U234" t="s">
        <v>2588</v>
      </c>
      <c r="V234" t="s">
        <v>49</v>
      </c>
      <c r="W234">
        <v>338996155</v>
      </c>
      <c r="X234">
        <v>339500751</v>
      </c>
      <c r="Y234">
        <v>340560751</v>
      </c>
      <c r="Z234">
        <v>341660751</v>
      </c>
      <c r="AA234">
        <v>343660751</v>
      </c>
      <c r="AB234">
        <v>263686756.61147669</v>
      </c>
      <c r="AC234">
        <v>2189.9151612999999</v>
      </c>
      <c r="AD234">
        <v>267248205.5766407</v>
      </c>
      <c r="AE234">
        <v>2193.1748514599999</v>
      </c>
      <c r="AF234">
        <v>280682499.3607409</v>
      </c>
      <c r="AG234">
        <v>2200.02245146</v>
      </c>
      <c r="AH234">
        <v>304116222.1482169</v>
      </c>
      <c r="AI234">
        <v>2207.1284514600002</v>
      </c>
      <c r="AJ234">
        <v>318438199.75629371</v>
      </c>
      <c r="AK234">
        <v>2220.0484514599998</v>
      </c>
    </row>
    <row r="235" spans="1:37" x14ac:dyDescent="0.35">
      <c r="A235" t="s">
        <v>2589</v>
      </c>
      <c r="B235">
        <v>26615.03</v>
      </c>
      <c r="C235" t="s">
        <v>2578</v>
      </c>
      <c r="D235" t="s">
        <v>2590</v>
      </c>
      <c r="E235" t="s">
        <v>2591</v>
      </c>
      <c r="F235">
        <v>6.46E-6</v>
      </c>
      <c r="G235" t="s">
        <v>2592</v>
      </c>
      <c r="H235">
        <v>0.3</v>
      </c>
      <c r="I235">
        <v>0.1</v>
      </c>
      <c r="J235" t="s">
        <v>2593</v>
      </c>
      <c r="K235" t="s">
        <v>2594</v>
      </c>
      <c r="L235" t="s">
        <v>2595</v>
      </c>
      <c r="M235" t="s">
        <v>2596</v>
      </c>
      <c r="N235">
        <v>120409.5762572575</v>
      </c>
      <c r="O235">
        <v>121854.4911723446</v>
      </c>
      <c r="P235">
        <v>127581.6522574448</v>
      </c>
      <c r="Q235">
        <v>137788.18443804039</v>
      </c>
      <c r="R235">
        <v>143437.5</v>
      </c>
      <c r="S235" t="s">
        <v>2597</v>
      </c>
      <c r="T235" t="s">
        <v>2598</v>
      </c>
      <c r="U235" t="s">
        <v>2599</v>
      </c>
      <c r="V235" t="s">
        <v>49</v>
      </c>
      <c r="W235">
        <v>338996155</v>
      </c>
      <c r="X235">
        <v>339500751</v>
      </c>
      <c r="Y235">
        <v>340560751</v>
      </c>
      <c r="Z235">
        <v>341660751</v>
      </c>
      <c r="AA235">
        <v>343660751</v>
      </c>
      <c r="AB235">
        <v>263686756.61147669</v>
      </c>
      <c r="AC235">
        <v>2189.9151612999999</v>
      </c>
      <c r="AD235">
        <v>267248205.5766407</v>
      </c>
      <c r="AE235">
        <v>2193.1748514599999</v>
      </c>
      <c r="AF235">
        <v>280682499.3607409</v>
      </c>
      <c r="AG235">
        <v>2200.02245146</v>
      </c>
      <c r="AH235">
        <v>304116222.1482169</v>
      </c>
      <c r="AI235">
        <v>2207.1284514600002</v>
      </c>
      <c r="AJ235">
        <v>318438199.75629371</v>
      </c>
      <c r="AK235">
        <v>2220.0484514599998</v>
      </c>
    </row>
    <row r="236" spans="1:37" x14ac:dyDescent="0.35">
      <c r="A236" t="s">
        <v>2600</v>
      </c>
      <c r="B236">
        <v>6506.92</v>
      </c>
      <c r="C236" t="s">
        <v>2578</v>
      </c>
      <c r="D236" t="s">
        <v>2601</v>
      </c>
      <c r="E236" t="s">
        <v>2602</v>
      </c>
      <c r="F236">
        <v>6.46E-6</v>
      </c>
      <c r="G236" t="s">
        <v>2603</v>
      </c>
      <c r="H236">
        <v>0.9</v>
      </c>
      <c r="I236">
        <v>0.05</v>
      </c>
      <c r="J236" t="s">
        <v>2604</v>
      </c>
      <c r="K236" t="s">
        <v>2605</v>
      </c>
      <c r="L236" t="s">
        <v>2606</v>
      </c>
      <c r="M236" t="s">
        <v>2607</v>
      </c>
      <c r="N236">
        <v>120409.5762572575</v>
      </c>
      <c r="O236">
        <v>121854.4911723446</v>
      </c>
      <c r="P236">
        <v>127581.6522574448</v>
      </c>
      <c r="Q236">
        <v>137788.18443804039</v>
      </c>
      <c r="R236">
        <v>143437.5</v>
      </c>
      <c r="S236" t="s">
        <v>2608</v>
      </c>
      <c r="T236" t="s">
        <v>2609</v>
      </c>
      <c r="U236" t="s">
        <v>2610</v>
      </c>
      <c r="V236" t="s">
        <v>49</v>
      </c>
      <c r="W236">
        <v>338996155</v>
      </c>
      <c r="X236">
        <v>339500751</v>
      </c>
      <c r="Y236">
        <v>340560751</v>
      </c>
      <c r="Z236">
        <v>341660751</v>
      </c>
      <c r="AA236">
        <v>343660751</v>
      </c>
      <c r="AB236">
        <v>263686756.61147669</v>
      </c>
      <c r="AC236">
        <v>2189.9151612999999</v>
      </c>
      <c r="AD236">
        <v>267248205.5766407</v>
      </c>
      <c r="AE236">
        <v>2193.1748514599999</v>
      </c>
      <c r="AF236">
        <v>280682499.3607409</v>
      </c>
      <c r="AG236">
        <v>2200.02245146</v>
      </c>
      <c r="AH236">
        <v>304116222.1482169</v>
      </c>
      <c r="AI236">
        <v>2207.1284514600002</v>
      </c>
      <c r="AJ236">
        <v>318438199.75629371</v>
      </c>
      <c r="AK236">
        <v>2220.0484514599998</v>
      </c>
    </row>
    <row r="237" spans="1:37" x14ac:dyDescent="0.35">
      <c r="A237" t="s">
        <v>2611</v>
      </c>
      <c r="B237">
        <v>26027.7</v>
      </c>
      <c r="C237" t="s">
        <v>2578</v>
      </c>
      <c r="D237" t="s">
        <v>2612</v>
      </c>
      <c r="E237" t="s">
        <v>2613</v>
      </c>
      <c r="F237">
        <v>6.46E-6</v>
      </c>
      <c r="G237" t="s">
        <v>2614</v>
      </c>
      <c r="H237">
        <v>0.9</v>
      </c>
      <c r="I237">
        <v>0.1</v>
      </c>
      <c r="J237" t="s">
        <v>2615</v>
      </c>
      <c r="K237" t="s">
        <v>2616</v>
      </c>
      <c r="L237" t="s">
        <v>2617</v>
      </c>
      <c r="M237" t="s">
        <v>2618</v>
      </c>
      <c r="N237">
        <v>120409.5762572575</v>
      </c>
      <c r="O237">
        <v>121854.4911723446</v>
      </c>
      <c r="P237">
        <v>127581.6522574448</v>
      </c>
      <c r="Q237">
        <v>137788.18443804039</v>
      </c>
      <c r="R237">
        <v>143437.5</v>
      </c>
      <c r="S237" t="s">
        <v>2619</v>
      </c>
      <c r="T237" t="s">
        <v>2620</v>
      </c>
      <c r="U237" t="s">
        <v>2621</v>
      </c>
      <c r="V237" t="s">
        <v>49</v>
      </c>
      <c r="W237">
        <v>338996155</v>
      </c>
      <c r="X237">
        <v>339500751</v>
      </c>
      <c r="Y237">
        <v>340560751</v>
      </c>
      <c r="Z237">
        <v>341660751</v>
      </c>
      <c r="AA237">
        <v>343660751</v>
      </c>
      <c r="AB237">
        <v>263686756.61147669</v>
      </c>
      <c r="AC237">
        <v>2189.9151612999999</v>
      </c>
      <c r="AD237">
        <v>267248205.5766407</v>
      </c>
      <c r="AE237">
        <v>2193.1748514599999</v>
      </c>
      <c r="AF237">
        <v>280682499.3607409</v>
      </c>
      <c r="AG237">
        <v>2200.02245146</v>
      </c>
      <c r="AH237">
        <v>304116222.1482169</v>
      </c>
      <c r="AI237">
        <v>2207.1284514600002</v>
      </c>
      <c r="AJ237">
        <v>318438199.75629371</v>
      </c>
      <c r="AK237">
        <v>2220.0484514599998</v>
      </c>
    </row>
    <row r="238" spans="1:37" x14ac:dyDescent="0.35">
      <c r="A238" t="s">
        <v>2622</v>
      </c>
      <c r="B238">
        <v>3110.43</v>
      </c>
      <c r="C238" t="s">
        <v>1079</v>
      </c>
      <c r="D238" t="s">
        <v>2623</v>
      </c>
      <c r="E238" t="s">
        <v>2624</v>
      </c>
      <c r="F238">
        <v>5.3999999999999998E-5</v>
      </c>
      <c r="G238" t="s">
        <v>2625</v>
      </c>
      <c r="H238">
        <v>0.45</v>
      </c>
      <c r="I238">
        <v>80.349999999999994</v>
      </c>
      <c r="J238" t="s">
        <v>2626</v>
      </c>
      <c r="K238" t="s">
        <v>2627</v>
      </c>
      <c r="L238" t="s">
        <v>2628</v>
      </c>
      <c r="M238" t="s">
        <v>2629</v>
      </c>
      <c r="N238">
        <v>115616.08748171599</v>
      </c>
      <c r="O238">
        <v>117003.48053149661</v>
      </c>
      <c r="P238">
        <v>122502.64411647691</v>
      </c>
      <c r="Q238">
        <v>132302.85564579509</v>
      </c>
      <c r="R238">
        <v>137727.27272727271</v>
      </c>
      <c r="S238" t="s">
        <v>2630</v>
      </c>
      <c r="T238" t="s">
        <v>2631</v>
      </c>
      <c r="U238" t="s">
        <v>2632</v>
      </c>
      <c r="V238" t="s">
        <v>1090</v>
      </c>
      <c r="W238">
        <v>125425284</v>
      </c>
      <c r="X238">
        <v>126003478.59999999</v>
      </c>
      <c r="Y238">
        <v>126003478.59999999</v>
      </c>
      <c r="Z238">
        <v>126103478.59999999</v>
      </c>
      <c r="AA238">
        <v>126103478.59999999</v>
      </c>
      <c r="AB238">
        <v>783063752.79760611</v>
      </c>
      <c r="AC238">
        <v>6772.9653359999993</v>
      </c>
      <c r="AD238">
        <v>796113659.98490131</v>
      </c>
      <c r="AE238">
        <v>6804.1878443999994</v>
      </c>
      <c r="AF238">
        <v>833531002.00419164</v>
      </c>
      <c r="AG238">
        <v>6804.1878443999994</v>
      </c>
      <c r="AH238">
        <v>900927917.58501434</v>
      </c>
      <c r="AI238">
        <v>6809.5878443999991</v>
      </c>
      <c r="AJ238">
        <v>937865962.20599973</v>
      </c>
      <c r="AK238">
        <v>6809.5878443999991</v>
      </c>
    </row>
    <row r="239" spans="1:37" x14ac:dyDescent="0.35">
      <c r="A239" t="s">
        <v>2633</v>
      </c>
      <c r="B239">
        <v>368.65</v>
      </c>
      <c r="C239" t="s">
        <v>2634</v>
      </c>
      <c r="D239" t="s">
        <v>2635</v>
      </c>
      <c r="E239" t="s">
        <v>2636</v>
      </c>
      <c r="F239">
        <v>6.5000000000000003E-9</v>
      </c>
      <c r="G239" t="s">
        <v>2637</v>
      </c>
      <c r="H239">
        <v>1</v>
      </c>
      <c r="I239">
        <v>1</v>
      </c>
      <c r="J239" t="s">
        <v>2638</v>
      </c>
      <c r="K239" t="s">
        <v>2639</v>
      </c>
      <c r="L239" t="s">
        <v>2640</v>
      </c>
      <c r="M239" t="s">
        <v>2641</v>
      </c>
      <c r="N239">
        <v>2560.3430594135798</v>
      </c>
      <c r="O239">
        <v>2591.067176126543</v>
      </c>
      <c r="P239">
        <v>2712.8473334044902</v>
      </c>
      <c r="Q239">
        <v>2929.8751200768488</v>
      </c>
      <c r="R239">
        <v>3050</v>
      </c>
      <c r="S239" t="s">
        <v>2642</v>
      </c>
      <c r="T239" t="s">
        <v>2643</v>
      </c>
      <c r="U239" t="s">
        <v>2644</v>
      </c>
      <c r="V239" t="s">
        <v>49</v>
      </c>
      <c r="W239">
        <v>338996155</v>
      </c>
      <c r="X239">
        <v>339500751</v>
      </c>
      <c r="Y239">
        <v>340560751</v>
      </c>
      <c r="Z239">
        <v>341660751</v>
      </c>
      <c r="AA239">
        <v>343660751</v>
      </c>
      <c r="AB239">
        <v>5641.6519420439108</v>
      </c>
      <c r="AC239">
        <v>2.2034750074999998</v>
      </c>
      <c r="AD239">
        <v>5717.8501392116686</v>
      </c>
      <c r="AE239">
        <v>2.2067548815000002</v>
      </c>
      <c r="AF239">
        <v>6005.2806138817732</v>
      </c>
      <c r="AG239">
        <v>2.2136448815000001</v>
      </c>
      <c r="AH239">
        <v>6506.651670100865</v>
      </c>
      <c r="AI239">
        <v>2.2207948814999998</v>
      </c>
      <c r="AJ239">
        <v>6813.0743885749998</v>
      </c>
      <c r="AK239">
        <v>2.2337948815000002</v>
      </c>
    </row>
    <row r="240" spans="1:37" x14ac:dyDescent="0.35">
      <c r="A240" t="s">
        <v>2645</v>
      </c>
      <c r="B240">
        <v>1846.72</v>
      </c>
      <c r="C240" t="s">
        <v>2634</v>
      </c>
      <c r="D240" t="s">
        <v>2646</v>
      </c>
      <c r="E240" t="s">
        <v>2647</v>
      </c>
      <c r="F240">
        <v>6.5000000000000003E-9</v>
      </c>
      <c r="G240" t="s">
        <v>2648</v>
      </c>
      <c r="H240">
        <v>1</v>
      </c>
      <c r="I240">
        <v>1</v>
      </c>
      <c r="J240" t="s">
        <v>2649</v>
      </c>
      <c r="K240" t="s">
        <v>2650</v>
      </c>
      <c r="L240" t="s">
        <v>2651</v>
      </c>
      <c r="M240" t="s">
        <v>2652</v>
      </c>
      <c r="N240">
        <v>2560.3430594135798</v>
      </c>
      <c r="O240">
        <v>2591.067176126543</v>
      </c>
      <c r="P240">
        <v>2712.8473334044902</v>
      </c>
      <c r="Q240">
        <v>2929.8751200768488</v>
      </c>
      <c r="R240">
        <v>3050</v>
      </c>
      <c r="S240" t="s">
        <v>2653</v>
      </c>
      <c r="T240" t="s">
        <v>2654</v>
      </c>
      <c r="U240" t="s">
        <v>2655</v>
      </c>
      <c r="V240" t="s">
        <v>49</v>
      </c>
      <c r="W240">
        <v>338996155</v>
      </c>
      <c r="X240">
        <v>339500751</v>
      </c>
      <c r="Y240">
        <v>340560751</v>
      </c>
      <c r="Z240">
        <v>341660751</v>
      </c>
      <c r="AA240">
        <v>343660751</v>
      </c>
      <c r="AB240">
        <v>5641.6519420439108</v>
      </c>
      <c r="AC240">
        <v>2.2034750074999998</v>
      </c>
      <c r="AD240">
        <v>5717.8501392116686</v>
      </c>
      <c r="AE240">
        <v>2.2067548815000002</v>
      </c>
      <c r="AF240">
        <v>6005.2806138817732</v>
      </c>
      <c r="AG240">
        <v>2.2136448815000001</v>
      </c>
      <c r="AH240">
        <v>6506.651670100865</v>
      </c>
      <c r="AI240">
        <v>2.2207948814999998</v>
      </c>
      <c r="AJ240">
        <v>6813.0743885749998</v>
      </c>
      <c r="AK240">
        <v>2.2337948815000002</v>
      </c>
    </row>
    <row r="241" spans="1:37" x14ac:dyDescent="0.35">
      <c r="A241" t="s">
        <v>2656</v>
      </c>
      <c r="B241">
        <v>185.86</v>
      </c>
      <c r="C241" t="s">
        <v>337</v>
      </c>
      <c r="D241" t="s">
        <v>2657</v>
      </c>
      <c r="E241" t="s">
        <v>2658</v>
      </c>
      <c r="F241">
        <v>3.0000000000000001E-5</v>
      </c>
      <c r="G241" t="s">
        <v>2659</v>
      </c>
      <c r="H241">
        <v>0.3</v>
      </c>
      <c r="I241">
        <v>0</v>
      </c>
      <c r="J241" t="s">
        <v>2660</v>
      </c>
      <c r="K241" t="s">
        <v>2661</v>
      </c>
      <c r="L241" t="s">
        <v>2662</v>
      </c>
      <c r="M241" t="s">
        <v>2663</v>
      </c>
      <c r="N241">
        <v>10213.390346294609</v>
      </c>
      <c r="O241">
        <v>10335.951030450149</v>
      </c>
      <c r="P241">
        <v>10821.740728881299</v>
      </c>
      <c r="Q241">
        <v>11687.479987191809</v>
      </c>
      <c r="R241">
        <v>12166.66666666667</v>
      </c>
      <c r="S241" t="s">
        <v>2664</v>
      </c>
      <c r="T241" t="s">
        <v>2665</v>
      </c>
      <c r="U241" t="s">
        <v>2666</v>
      </c>
      <c r="V241" t="s">
        <v>94</v>
      </c>
      <c r="W241">
        <v>265472419.80000001</v>
      </c>
      <c r="X241">
        <v>266439117.80000001</v>
      </c>
      <c r="Y241">
        <v>267499117.80000001</v>
      </c>
      <c r="Z241">
        <v>268599117.80000001</v>
      </c>
      <c r="AA241">
        <v>270179117.80000001</v>
      </c>
      <c r="AB241">
        <v>81341203.487783715</v>
      </c>
      <c r="AC241">
        <v>7964.1725940000006</v>
      </c>
      <c r="AD241">
        <v>82617050.225314125</v>
      </c>
      <c r="AE241">
        <v>7993.1735339999996</v>
      </c>
      <c r="AF241">
        <v>86844182.941082314</v>
      </c>
      <c r="AG241">
        <v>8024.9735340000007</v>
      </c>
      <c r="AH241">
        <v>94177404.415946245</v>
      </c>
      <c r="AI241">
        <v>8057.9735340000007</v>
      </c>
      <c r="AJ241">
        <v>98615377.997000039</v>
      </c>
      <c r="AK241">
        <v>8105.3735340000003</v>
      </c>
    </row>
    <row r="242" spans="1:37" x14ac:dyDescent="0.35">
      <c r="A242" t="s">
        <v>2667</v>
      </c>
      <c r="B242">
        <v>354.9</v>
      </c>
      <c r="C242" t="s">
        <v>337</v>
      </c>
      <c r="D242" t="s">
        <v>2668</v>
      </c>
      <c r="E242" t="s">
        <v>2669</v>
      </c>
      <c r="F242">
        <v>3.0000000000000001E-5</v>
      </c>
      <c r="G242" t="s">
        <v>2670</v>
      </c>
      <c r="H242">
        <v>3025.4</v>
      </c>
      <c r="I242">
        <v>0.01</v>
      </c>
      <c r="J242" t="s">
        <v>2671</v>
      </c>
      <c r="K242" t="s">
        <v>2672</v>
      </c>
      <c r="L242" t="s">
        <v>2673</v>
      </c>
      <c r="M242" t="s">
        <v>2674</v>
      </c>
      <c r="N242">
        <v>10213.390346294609</v>
      </c>
      <c r="O242">
        <v>10335.951030450149</v>
      </c>
      <c r="P242">
        <v>10821.740728881299</v>
      </c>
      <c r="Q242">
        <v>11687.479987191809</v>
      </c>
      <c r="R242">
        <v>12166.66666666667</v>
      </c>
      <c r="S242" t="s">
        <v>2675</v>
      </c>
      <c r="T242" t="s">
        <v>2676</v>
      </c>
      <c r="U242" t="s">
        <v>2677</v>
      </c>
      <c r="V242" t="s">
        <v>94</v>
      </c>
      <c r="W242">
        <v>265472419.80000001</v>
      </c>
      <c r="X242">
        <v>266439117.80000001</v>
      </c>
      <c r="Y242">
        <v>267499117.80000001</v>
      </c>
      <c r="Z242">
        <v>268599117.80000001</v>
      </c>
      <c r="AA242">
        <v>270179117.80000001</v>
      </c>
      <c r="AB242">
        <v>81341203.487783715</v>
      </c>
      <c r="AC242">
        <v>7964.1725940000006</v>
      </c>
      <c r="AD242">
        <v>82617050.225314125</v>
      </c>
      <c r="AE242">
        <v>7993.1735339999996</v>
      </c>
      <c r="AF242">
        <v>86844182.941082314</v>
      </c>
      <c r="AG242">
        <v>8024.9735340000007</v>
      </c>
      <c r="AH242">
        <v>94177404.415946245</v>
      </c>
      <c r="AI242">
        <v>8057.9735340000007</v>
      </c>
      <c r="AJ242">
        <v>98615377.997000039</v>
      </c>
      <c r="AK242">
        <v>8105.3735340000003</v>
      </c>
    </row>
    <row r="243" spans="1:37" x14ac:dyDescent="0.35">
      <c r="A243" t="s">
        <v>2678</v>
      </c>
      <c r="B243">
        <v>700</v>
      </c>
      <c r="C243" t="s">
        <v>337</v>
      </c>
      <c r="D243" t="s">
        <v>2679</v>
      </c>
      <c r="E243" t="s">
        <v>2680</v>
      </c>
      <c r="F243">
        <v>3.0000000000000001E-5</v>
      </c>
      <c r="G243" t="s">
        <v>2681</v>
      </c>
      <c r="H243">
        <v>0.5</v>
      </c>
      <c r="I243">
        <v>0.01</v>
      </c>
      <c r="J243" t="s">
        <v>2682</v>
      </c>
      <c r="K243" t="s">
        <v>2683</v>
      </c>
      <c r="L243" t="s">
        <v>2684</v>
      </c>
      <c r="M243" t="s">
        <v>2685</v>
      </c>
      <c r="N243">
        <v>10213.390346294609</v>
      </c>
      <c r="O243">
        <v>10335.951030450149</v>
      </c>
      <c r="P243">
        <v>10821.740728881299</v>
      </c>
      <c r="Q243">
        <v>11687.479987191809</v>
      </c>
      <c r="R243">
        <v>12166.66666666667</v>
      </c>
      <c r="S243" t="s">
        <v>2686</v>
      </c>
      <c r="T243" t="s">
        <v>2687</v>
      </c>
      <c r="U243" t="s">
        <v>2688</v>
      </c>
      <c r="V243" t="s">
        <v>94</v>
      </c>
      <c r="W243">
        <v>265472419.80000001</v>
      </c>
      <c r="X243">
        <v>266439117.80000001</v>
      </c>
      <c r="Y243">
        <v>267499117.80000001</v>
      </c>
      <c r="Z243">
        <v>268599117.80000001</v>
      </c>
      <c r="AA243">
        <v>270179117.80000001</v>
      </c>
      <c r="AB243">
        <v>81341203.487783715</v>
      </c>
      <c r="AC243">
        <v>7964.1725940000006</v>
      </c>
      <c r="AD243">
        <v>82617050.225314125</v>
      </c>
      <c r="AE243">
        <v>7993.1735339999996</v>
      </c>
      <c r="AF243">
        <v>86844182.941082314</v>
      </c>
      <c r="AG243">
        <v>8024.9735340000007</v>
      </c>
      <c r="AH243">
        <v>94177404.415946245</v>
      </c>
      <c r="AI243">
        <v>8057.9735340000007</v>
      </c>
      <c r="AJ243">
        <v>98615377.997000039</v>
      </c>
      <c r="AK243">
        <v>8105.3735340000003</v>
      </c>
    </row>
    <row r="244" spans="1:37" x14ac:dyDescent="0.35">
      <c r="A244" t="s">
        <v>2689</v>
      </c>
      <c r="B244">
        <v>1456.15</v>
      </c>
      <c r="C244" t="s">
        <v>2553</v>
      </c>
      <c r="D244" t="s">
        <v>2690</v>
      </c>
      <c r="E244" t="s">
        <v>2691</v>
      </c>
      <c r="F244">
        <v>6.3700000000000003E-5</v>
      </c>
      <c r="G244" t="s">
        <v>2692</v>
      </c>
      <c r="H244">
        <v>0.3</v>
      </c>
      <c r="I244">
        <v>0.15</v>
      </c>
      <c r="J244" t="s">
        <v>2693</v>
      </c>
      <c r="K244" t="s">
        <v>2694</v>
      </c>
      <c r="L244" t="s">
        <v>2695</v>
      </c>
      <c r="M244" t="s">
        <v>2696</v>
      </c>
      <c r="N244">
        <v>43651.750521149559</v>
      </c>
      <c r="O244">
        <v>44175.571527403357</v>
      </c>
      <c r="P244">
        <v>46251.823389191311</v>
      </c>
      <c r="Q244">
        <v>49951.969260326623</v>
      </c>
      <c r="R244">
        <v>52000</v>
      </c>
      <c r="S244" t="s">
        <v>2697</v>
      </c>
      <c r="T244" t="s">
        <v>47</v>
      </c>
      <c r="U244" t="s">
        <v>2698</v>
      </c>
      <c r="V244" t="s">
        <v>1017</v>
      </c>
      <c r="W244">
        <v>331357816</v>
      </c>
      <c r="X244">
        <v>331968553.60000002</v>
      </c>
      <c r="Y244">
        <v>333028553.60000002</v>
      </c>
      <c r="Z244">
        <v>334128553.60000002</v>
      </c>
      <c r="AA244">
        <v>336128553.60000002</v>
      </c>
      <c r="AB244">
        <v>921379013.28977931</v>
      </c>
      <c r="AC244">
        <v>21107.492879199999</v>
      </c>
      <c r="AD244">
        <v>934154167.2266264</v>
      </c>
      <c r="AE244">
        <v>21146.396864319999</v>
      </c>
      <c r="AF244">
        <v>981182428.70516276</v>
      </c>
      <c r="AG244">
        <v>21213.91886432</v>
      </c>
      <c r="AH244">
        <v>1063177157.4876471</v>
      </c>
      <c r="AI244">
        <v>21283.988864319999</v>
      </c>
      <c r="AJ244">
        <v>1113392220.9446399</v>
      </c>
      <c r="AK244">
        <v>21411.388864320001</v>
      </c>
    </row>
    <row r="245" spans="1:37" x14ac:dyDescent="0.35">
      <c r="A245" t="s">
        <v>2699</v>
      </c>
      <c r="B245">
        <v>582.13</v>
      </c>
      <c r="C245" t="s">
        <v>2700</v>
      </c>
      <c r="D245" t="s">
        <v>2701</v>
      </c>
      <c r="E245" t="s">
        <v>2702</v>
      </c>
      <c r="F245">
        <v>2.0000000000000001E-4</v>
      </c>
      <c r="G245" t="s">
        <v>2703</v>
      </c>
      <c r="H245">
        <v>0.25</v>
      </c>
      <c r="I245">
        <v>0.2</v>
      </c>
      <c r="J245" t="s">
        <v>2704</v>
      </c>
      <c r="K245" t="s">
        <v>2705</v>
      </c>
      <c r="L245" t="s">
        <v>2706</v>
      </c>
      <c r="M245" t="s">
        <v>2707</v>
      </c>
      <c r="N245">
        <v>16509.31590222965</v>
      </c>
      <c r="O245">
        <v>16707.427693056401</v>
      </c>
      <c r="P245">
        <v>17492.67679463005</v>
      </c>
      <c r="Q245">
        <v>18892.09093820045</v>
      </c>
      <c r="R245">
        <v>19666.666666666672</v>
      </c>
      <c r="S245" t="s">
        <v>2708</v>
      </c>
      <c r="T245" t="s">
        <v>2709</v>
      </c>
      <c r="U245" t="s">
        <v>2710</v>
      </c>
      <c r="V245" t="s">
        <v>49</v>
      </c>
      <c r="W245">
        <v>338996155</v>
      </c>
      <c r="X245">
        <v>339500751</v>
      </c>
      <c r="Y245">
        <v>340560751</v>
      </c>
      <c r="Z245">
        <v>341660751</v>
      </c>
      <c r="AA245">
        <v>343660751</v>
      </c>
      <c r="AB245">
        <v>1119318922.507241</v>
      </c>
      <c r="AC245">
        <v>67799.231</v>
      </c>
      <c r="AD245">
        <v>1134436849.8141689</v>
      </c>
      <c r="AE245">
        <v>67900.150200000004</v>
      </c>
      <c r="AF245">
        <v>1191463829.2358971</v>
      </c>
      <c r="AG245">
        <v>68112.150200000004</v>
      </c>
      <c r="AH245">
        <v>1290937195.581172</v>
      </c>
      <c r="AI245">
        <v>68332.150200000004</v>
      </c>
      <c r="AJ245">
        <v>1351732287.2666669</v>
      </c>
      <c r="AK245">
        <v>68732.150200000004</v>
      </c>
    </row>
    <row r="246" spans="1:37" x14ac:dyDescent="0.35">
      <c r="A246" t="s">
        <v>2711</v>
      </c>
      <c r="B246">
        <v>225.2</v>
      </c>
      <c r="C246" t="s">
        <v>2712</v>
      </c>
      <c r="D246" t="s">
        <v>2713</v>
      </c>
      <c r="E246" t="s">
        <v>2714</v>
      </c>
      <c r="F246">
        <v>0.15</v>
      </c>
      <c r="G246" t="s">
        <v>2715</v>
      </c>
      <c r="H246">
        <v>0.3</v>
      </c>
      <c r="J246" t="s">
        <v>2716</v>
      </c>
      <c r="K246" t="s">
        <v>2717</v>
      </c>
      <c r="L246" t="s">
        <v>2718</v>
      </c>
      <c r="M246" t="s">
        <v>2719</v>
      </c>
      <c r="N246">
        <v>2875.1393372103312</v>
      </c>
      <c r="O246">
        <v>2909.6410092568549</v>
      </c>
      <c r="P246">
        <v>3046.3941366919271</v>
      </c>
      <c r="Q246">
        <v>3290.105667627281</v>
      </c>
      <c r="R246">
        <v>3425</v>
      </c>
      <c r="S246" t="s">
        <v>2720</v>
      </c>
      <c r="T246" t="s">
        <v>2721</v>
      </c>
      <c r="U246" t="s">
        <v>2722</v>
      </c>
      <c r="V246" t="s">
        <v>49</v>
      </c>
      <c r="W246">
        <v>338996155</v>
      </c>
      <c r="X246">
        <v>339500751</v>
      </c>
      <c r="Y246">
        <v>340560751</v>
      </c>
      <c r="Z246">
        <v>341660751</v>
      </c>
      <c r="AA246">
        <v>343660751</v>
      </c>
      <c r="AB246">
        <v>146199177060.53259</v>
      </c>
      <c r="AC246">
        <v>50849423.25</v>
      </c>
      <c r="AD246">
        <v>148173796167.465</v>
      </c>
      <c r="AE246">
        <v>50925112.649999999</v>
      </c>
      <c r="AF246">
        <v>155622341255.06989</v>
      </c>
      <c r="AG246">
        <v>51084112.649999999</v>
      </c>
      <c r="AH246">
        <v>168614995990.634</v>
      </c>
      <c r="AI246">
        <v>51249112.649999999</v>
      </c>
      <c r="AJ246">
        <v>176555710826.25</v>
      </c>
      <c r="AK246">
        <v>51549112.649999999</v>
      </c>
    </row>
    <row r="247" spans="1:37" x14ac:dyDescent="0.35">
      <c r="A247" t="s">
        <v>2723</v>
      </c>
      <c r="B247">
        <v>225.2</v>
      </c>
      <c r="C247" t="s">
        <v>2712</v>
      </c>
      <c r="D247" t="s">
        <v>2724</v>
      </c>
      <c r="E247" t="s">
        <v>2725</v>
      </c>
      <c r="F247">
        <v>0.15</v>
      </c>
      <c r="G247" t="s">
        <v>2726</v>
      </c>
      <c r="H247">
        <v>0.3</v>
      </c>
      <c r="J247" t="s">
        <v>2727</v>
      </c>
      <c r="K247" t="s">
        <v>2728</v>
      </c>
      <c r="L247" t="s">
        <v>2729</v>
      </c>
      <c r="M247" t="s">
        <v>2730</v>
      </c>
      <c r="N247">
        <v>2875.1393372103312</v>
      </c>
      <c r="O247">
        <v>2909.6410092568549</v>
      </c>
      <c r="P247">
        <v>3046.3941366919271</v>
      </c>
      <c r="Q247">
        <v>3290.105667627281</v>
      </c>
      <c r="R247">
        <v>3425</v>
      </c>
      <c r="S247" t="s">
        <v>2731</v>
      </c>
      <c r="T247" t="s">
        <v>2732</v>
      </c>
      <c r="U247" t="s">
        <v>2733</v>
      </c>
      <c r="V247" t="s">
        <v>49</v>
      </c>
      <c r="W247">
        <v>338996155</v>
      </c>
      <c r="X247">
        <v>339500751</v>
      </c>
      <c r="Y247">
        <v>340560751</v>
      </c>
      <c r="Z247">
        <v>341660751</v>
      </c>
      <c r="AA247">
        <v>343660751</v>
      </c>
      <c r="AB247">
        <v>146199177060.53259</v>
      </c>
      <c r="AC247">
        <v>50849423.25</v>
      </c>
      <c r="AD247">
        <v>148173796167.465</v>
      </c>
      <c r="AE247">
        <v>50925112.649999999</v>
      </c>
      <c r="AF247">
        <v>155622341255.06989</v>
      </c>
      <c r="AG247">
        <v>51084112.649999999</v>
      </c>
      <c r="AH247">
        <v>168614995990.634</v>
      </c>
      <c r="AI247">
        <v>51249112.649999999</v>
      </c>
      <c r="AJ247">
        <v>176555710826.25</v>
      </c>
      <c r="AK247">
        <v>51549112.649999999</v>
      </c>
    </row>
    <row r="248" spans="1:37" x14ac:dyDescent="0.35">
      <c r="A248" t="s">
        <v>2734</v>
      </c>
      <c r="B248">
        <v>656.65</v>
      </c>
      <c r="C248" t="s">
        <v>487</v>
      </c>
      <c r="D248" t="s">
        <v>2735</v>
      </c>
      <c r="E248" t="s">
        <v>2736</v>
      </c>
      <c r="F248">
        <v>2.8000000000000001E-2</v>
      </c>
      <c r="G248" t="s">
        <v>2737</v>
      </c>
      <c r="H248">
        <v>50.4</v>
      </c>
      <c r="I248">
        <v>23.15</v>
      </c>
      <c r="J248" t="s">
        <v>2738</v>
      </c>
      <c r="K248" t="s">
        <v>2739</v>
      </c>
      <c r="L248" t="s">
        <v>2740</v>
      </c>
      <c r="M248" t="s">
        <v>2741</v>
      </c>
      <c r="N248">
        <v>4761.448013576749</v>
      </c>
      <c r="O248">
        <v>4818.5853897396701</v>
      </c>
      <c r="P248">
        <v>5045.0589030574338</v>
      </c>
      <c r="Q248">
        <v>5448.663615302029</v>
      </c>
      <c r="R248">
        <v>5672.0588235294117</v>
      </c>
      <c r="S248" t="s">
        <v>2742</v>
      </c>
      <c r="T248" t="s">
        <v>2743</v>
      </c>
      <c r="U248" t="s">
        <v>1304</v>
      </c>
      <c r="V248" t="s">
        <v>94</v>
      </c>
      <c r="W248">
        <v>265472419.80000001</v>
      </c>
      <c r="X248">
        <v>266439117.80000001</v>
      </c>
      <c r="Y248">
        <v>267499117.80000001</v>
      </c>
      <c r="Z248">
        <v>268599117.80000001</v>
      </c>
      <c r="AA248">
        <v>270179117.80000001</v>
      </c>
      <c r="AB248">
        <v>35392927525.651443</v>
      </c>
      <c r="AC248">
        <v>7433227.7544000009</v>
      </c>
      <c r="AD248">
        <v>35948069928.013786</v>
      </c>
      <c r="AE248">
        <v>7460295.2984000007</v>
      </c>
      <c r="AF248">
        <v>37787366562.873177</v>
      </c>
      <c r="AG248">
        <v>7489975.2984000007</v>
      </c>
      <c r="AH248">
        <v>40978174727.254341</v>
      </c>
      <c r="AI248">
        <v>7520775.2984000007</v>
      </c>
      <c r="AJ248">
        <v>42909211773.424713</v>
      </c>
      <c r="AK248">
        <v>7565015.2984000007</v>
      </c>
    </row>
    <row r="249" spans="1:37" x14ac:dyDescent="0.35">
      <c r="A249" t="s">
        <v>2744</v>
      </c>
      <c r="B249">
        <v>628.79</v>
      </c>
      <c r="C249" t="s">
        <v>487</v>
      </c>
      <c r="D249" t="s">
        <v>2745</v>
      </c>
      <c r="E249" t="s">
        <v>1659</v>
      </c>
      <c r="F249">
        <v>2.8000000000000001E-2</v>
      </c>
      <c r="G249" t="s">
        <v>2746</v>
      </c>
      <c r="H249">
        <v>3040.5</v>
      </c>
      <c r="I249">
        <v>51515.199999999997</v>
      </c>
      <c r="J249" t="s">
        <v>2747</v>
      </c>
      <c r="K249" t="s">
        <v>2748</v>
      </c>
      <c r="L249" t="s">
        <v>2749</v>
      </c>
      <c r="M249" t="s">
        <v>2750</v>
      </c>
      <c r="N249">
        <v>4761.448013576749</v>
      </c>
      <c r="O249">
        <v>4818.5853897396701</v>
      </c>
      <c r="P249">
        <v>5045.0589030574338</v>
      </c>
      <c r="Q249">
        <v>5448.663615302029</v>
      </c>
      <c r="R249">
        <v>5672.0588235294117</v>
      </c>
      <c r="S249" t="s">
        <v>2751</v>
      </c>
      <c r="T249" t="s">
        <v>2752</v>
      </c>
      <c r="U249" t="s">
        <v>1293</v>
      </c>
      <c r="V249" t="s">
        <v>94</v>
      </c>
      <c r="W249">
        <v>265472419.80000001</v>
      </c>
      <c r="X249">
        <v>266439117.80000001</v>
      </c>
      <c r="Y249">
        <v>267499117.80000001</v>
      </c>
      <c r="Z249">
        <v>268599117.80000001</v>
      </c>
      <c r="AA249">
        <v>270179117.80000001</v>
      </c>
      <c r="AB249">
        <v>35392927525.651443</v>
      </c>
      <c r="AC249">
        <v>7433227.7544000009</v>
      </c>
      <c r="AD249">
        <v>35948069928.013786</v>
      </c>
      <c r="AE249">
        <v>7460295.2984000007</v>
      </c>
      <c r="AF249">
        <v>37787366562.873177</v>
      </c>
      <c r="AG249">
        <v>7489975.2984000007</v>
      </c>
      <c r="AH249">
        <v>40978174727.254341</v>
      </c>
      <c r="AI249">
        <v>7520775.2984000007</v>
      </c>
      <c r="AJ249">
        <v>42909211773.424713</v>
      </c>
      <c r="AK249">
        <v>7565015.2984000007</v>
      </c>
    </row>
    <row r="250" spans="1:37" x14ac:dyDescent="0.35">
      <c r="A250" t="s">
        <v>2753</v>
      </c>
      <c r="B250">
        <v>1257.53</v>
      </c>
      <c r="C250" t="s">
        <v>487</v>
      </c>
      <c r="D250" t="s">
        <v>2754</v>
      </c>
      <c r="E250" t="s">
        <v>2755</v>
      </c>
      <c r="F250">
        <v>2.8000000000000001E-2</v>
      </c>
      <c r="G250" t="s">
        <v>2756</v>
      </c>
      <c r="H250">
        <v>40.6</v>
      </c>
      <c r="I250">
        <v>1015.3</v>
      </c>
      <c r="J250" t="s">
        <v>2757</v>
      </c>
      <c r="K250" t="s">
        <v>2758</v>
      </c>
      <c r="L250" t="s">
        <v>2759</v>
      </c>
      <c r="M250" t="s">
        <v>2760</v>
      </c>
      <c r="N250">
        <v>4761.448013576749</v>
      </c>
      <c r="O250">
        <v>4818.5853897396701</v>
      </c>
      <c r="P250">
        <v>5045.0589030574338</v>
      </c>
      <c r="Q250">
        <v>5448.663615302029</v>
      </c>
      <c r="R250">
        <v>5672.0588235294117</v>
      </c>
      <c r="S250" t="s">
        <v>2761</v>
      </c>
      <c r="T250" t="s">
        <v>2762</v>
      </c>
      <c r="U250" t="s">
        <v>1293</v>
      </c>
      <c r="V250" t="s">
        <v>94</v>
      </c>
      <c r="W250">
        <v>265472419.80000001</v>
      </c>
      <c r="X250">
        <v>266439117.80000001</v>
      </c>
      <c r="Y250">
        <v>267499117.80000001</v>
      </c>
      <c r="Z250">
        <v>268599117.80000001</v>
      </c>
      <c r="AA250">
        <v>270179117.80000001</v>
      </c>
      <c r="AB250">
        <v>35392927525.651443</v>
      </c>
      <c r="AC250">
        <v>7433227.7544000009</v>
      </c>
      <c r="AD250">
        <v>35948069928.013786</v>
      </c>
      <c r="AE250">
        <v>7460295.2984000007</v>
      </c>
      <c r="AF250">
        <v>37787366562.873177</v>
      </c>
      <c r="AG250">
        <v>7489975.2984000007</v>
      </c>
      <c r="AH250">
        <v>40978174727.254341</v>
      </c>
      <c r="AI250">
        <v>7520775.2984000007</v>
      </c>
      <c r="AJ250">
        <v>42909211773.424713</v>
      </c>
      <c r="AK250">
        <v>7565015.2984000007</v>
      </c>
    </row>
    <row r="251" spans="1:37" x14ac:dyDescent="0.35">
      <c r="A251" t="s">
        <v>2763</v>
      </c>
      <c r="B251">
        <v>1680.82</v>
      </c>
      <c r="C251" t="s">
        <v>325</v>
      </c>
      <c r="D251" t="s">
        <v>2764</v>
      </c>
      <c r="E251" t="s">
        <v>2765</v>
      </c>
      <c r="F251">
        <v>0.12</v>
      </c>
      <c r="G251" t="s">
        <v>2766</v>
      </c>
      <c r="H251">
        <v>50.5</v>
      </c>
      <c r="J251" t="s">
        <v>2767</v>
      </c>
      <c r="K251" t="s">
        <v>2768</v>
      </c>
      <c r="L251" t="s">
        <v>2769</v>
      </c>
      <c r="M251" t="s">
        <v>2770</v>
      </c>
      <c r="N251">
        <v>4512.0799817534398</v>
      </c>
      <c r="O251">
        <v>4566.2249415344813</v>
      </c>
      <c r="P251">
        <v>4780.8375137866014</v>
      </c>
      <c r="Q251">
        <v>5163.3045148895299</v>
      </c>
      <c r="R251">
        <v>5375</v>
      </c>
      <c r="S251" t="s">
        <v>2771</v>
      </c>
      <c r="T251" t="s">
        <v>2772</v>
      </c>
      <c r="U251" t="s">
        <v>2773</v>
      </c>
      <c r="V251" t="s">
        <v>94</v>
      </c>
      <c r="W251">
        <v>265472419.80000001</v>
      </c>
      <c r="X251">
        <v>266439117.80000001</v>
      </c>
      <c r="Y251">
        <v>267499117.80000001</v>
      </c>
      <c r="Z251">
        <v>268599117.80000001</v>
      </c>
      <c r="AA251">
        <v>270179117.80000001</v>
      </c>
      <c r="AB251">
        <v>143739934930.4671</v>
      </c>
      <c r="AC251">
        <v>31856690.375999998</v>
      </c>
      <c r="AD251">
        <v>145994513411.85641</v>
      </c>
      <c r="AE251">
        <v>31972694.136</v>
      </c>
      <c r="AF251">
        <v>153464378073.96729</v>
      </c>
      <c r="AG251">
        <v>32099894.136</v>
      </c>
      <c r="AH251">
        <v>166423084515.85019</v>
      </c>
      <c r="AI251">
        <v>32231894.136</v>
      </c>
      <c r="AJ251">
        <v>174265530981</v>
      </c>
      <c r="AK251">
        <v>32421494.136</v>
      </c>
    </row>
    <row r="252" spans="1:37" x14ac:dyDescent="0.35">
      <c r="A252" t="s">
        <v>2774</v>
      </c>
      <c r="B252">
        <v>1244.18</v>
      </c>
      <c r="C252" t="s">
        <v>1006</v>
      </c>
      <c r="D252" t="s">
        <v>2775</v>
      </c>
      <c r="E252" t="s">
        <v>2776</v>
      </c>
      <c r="F252">
        <v>2.5000000000000001E-5</v>
      </c>
      <c r="G252" t="s">
        <v>2777</v>
      </c>
      <c r="H252">
        <v>0.3</v>
      </c>
      <c r="I252">
        <v>0.23</v>
      </c>
      <c r="J252" t="s">
        <v>2778</v>
      </c>
      <c r="K252" t="s">
        <v>2779</v>
      </c>
      <c r="L252" t="s">
        <v>2780</v>
      </c>
      <c r="M252" t="s">
        <v>2781</v>
      </c>
      <c r="N252">
        <v>16395.639468580812</v>
      </c>
      <c r="O252">
        <v>16592.387142203781</v>
      </c>
      <c r="P252">
        <v>17372.229337887358</v>
      </c>
      <c r="Q252">
        <v>18762.00768491835</v>
      </c>
      <c r="R252">
        <v>19531.25</v>
      </c>
      <c r="S252" t="s">
        <v>2782</v>
      </c>
      <c r="T252" t="s">
        <v>2783</v>
      </c>
      <c r="U252" t="s">
        <v>2784</v>
      </c>
      <c r="V252" t="s">
        <v>1017</v>
      </c>
      <c r="W252">
        <v>331357816</v>
      </c>
      <c r="X252">
        <v>331968553.60000002</v>
      </c>
      <c r="Y252">
        <v>333028553.60000002</v>
      </c>
      <c r="Z252">
        <v>334128553.60000002</v>
      </c>
      <c r="AA252">
        <v>336128553.60000002</v>
      </c>
      <c r="AB252">
        <v>135820582.15580839</v>
      </c>
      <c r="AC252">
        <v>8283.9454000000005</v>
      </c>
      <c r="AD252">
        <v>137703769.00921571</v>
      </c>
      <c r="AE252">
        <v>8299.2138400000003</v>
      </c>
      <c r="AF252">
        <v>144636210.23010281</v>
      </c>
      <c r="AG252">
        <v>8325.7138400000003</v>
      </c>
      <c r="AH252">
        <v>156723062.2598463</v>
      </c>
      <c r="AI252">
        <v>8353.2138400000003</v>
      </c>
      <c r="AJ252">
        <v>164125270.3125</v>
      </c>
      <c r="AK252">
        <v>8403.2138400000003</v>
      </c>
    </row>
    <row r="253" spans="1:37" x14ac:dyDescent="0.35">
      <c r="A253" t="s">
        <v>2785</v>
      </c>
      <c r="B253">
        <v>2368.0300000000002</v>
      </c>
      <c r="C253" t="s">
        <v>1006</v>
      </c>
      <c r="D253" t="s">
        <v>2786</v>
      </c>
      <c r="E253" t="s">
        <v>2787</v>
      </c>
      <c r="F253">
        <v>2.5000000000000001E-5</v>
      </c>
      <c r="G253" t="s">
        <v>2788</v>
      </c>
      <c r="H253">
        <v>0.8</v>
      </c>
      <c r="I253">
        <v>0.25</v>
      </c>
      <c r="J253" t="s">
        <v>2789</v>
      </c>
      <c r="K253" t="s">
        <v>2790</v>
      </c>
      <c r="L253" t="s">
        <v>2791</v>
      </c>
      <c r="M253" t="s">
        <v>2792</v>
      </c>
      <c r="N253">
        <v>16395.639468580812</v>
      </c>
      <c r="O253">
        <v>16592.387142203781</v>
      </c>
      <c r="P253">
        <v>17372.229337887358</v>
      </c>
      <c r="Q253">
        <v>18762.00768491835</v>
      </c>
      <c r="R253">
        <v>19531.25</v>
      </c>
      <c r="S253" t="s">
        <v>2793</v>
      </c>
      <c r="T253" t="s">
        <v>2794</v>
      </c>
      <c r="U253" t="s">
        <v>2784</v>
      </c>
      <c r="V253" t="s">
        <v>1017</v>
      </c>
      <c r="W253">
        <v>331357816</v>
      </c>
      <c r="X253">
        <v>331968553.60000002</v>
      </c>
      <c r="Y253">
        <v>333028553.60000002</v>
      </c>
      <c r="Z253">
        <v>334128553.60000002</v>
      </c>
      <c r="AA253">
        <v>336128553.60000002</v>
      </c>
      <c r="AB253">
        <v>135820582.15580839</v>
      </c>
      <c r="AC253">
        <v>8283.9454000000005</v>
      </c>
      <c r="AD253">
        <v>137703769.00921571</v>
      </c>
      <c r="AE253">
        <v>8299.2138400000003</v>
      </c>
      <c r="AF253">
        <v>144636210.23010281</v>
      </c>
      <c r="AG253">
        <v>8325.7138400000003</v>
      </c>
      <c r="AH253">
        <v>156723062.2598463</v>
      </c>
      <c r="AI253">
        <v>8353.2138400000003</v>
      </c>
      <c r="AJ253">
        <v>164125270.3125</v>
      </c>
      <c r="AK253">
        <v>8403.2138400000003</v>
      </c>
    </row>
    <row r="254" spans="1:37" x14ac:dyDescent="0.35">
      <c r="A254" t="s">
        <v>2795</v>
      </c>
      <c r="B254">
        <v>4736.03</v>
      </c>
      <c r="C254" t="s">
        <v>1006</v>
      </c>
      <c r="D254" t="s">
        <v>2796</v>
      </c>
      <c r="E254" t="s">
        <v>2797</v>
      </c>
      <c r="F254">
        <v>2.5000000000000001E-5</v>
      </c>
      <c r="G254" t="s">
        <v>2798</v>
      </c>
      <c r="H254">
        <v>0.6</v>
      </c>
      <c r="I254">
        <v>0.1</v>
      </c>
      <c r="J254" t="s">
        <v>2799</v>
      </c>
      <c r="K254" t="s">
        <v>2800</v>
      </c>
      <c r="L254" t="s">
        <v>2801</v>
      </c>
      <c r="M254" t="s">
        <v>2802</v>
      </c>
      <c r="N254">
        <v>16395.639468580812</v>
      </c>
      <c r="O254">
        <v>16592.387142203781</v>
      </c>
      <c r="P254">
        <v>17372.229337887358</v>
      </c>
      <c r="Q254">
        <v>18762.00768491835</v>
      </c>
      <c r="R254">
        <v>19531.25</v>
      </c>
      <c r="S254" t="s">
        <v>2803</v>
      </c>
      <c r="T254" t="s">
        <v>2804</v>
      </c>
      <c r="U254" t="s">
        <v>218</v>
      </c>
      <c r="V254" t="s">
        <v>1017</v>
      </c>
      <c r="W254">
        <v>331357816</v>
      </c>
      <c r="X254">
        <v>331968553.60000002</v>
      </c>
      <c r="Y254">
        <v>333028553.60000002</v>
      </c>
      <c r="Z254">
        <v>334128553.60000002</v>
      </c>
      <c r="AA254">
        <v>336128553.60000002</v>
      </c>
      <c r="AB254">
        <v>135820582.15580839</v>
      </c>
      <c r="AC254">
        <v>8283.9454000000005</v>
      </c>
      <c r="AD254">
        <v>137703769.00921571</v>
      </c>
      <c r="AE254">
        <v>8299.2138400000003</v>
      </c>
      <c r="AF254">
        <v>144636210.23010281</v>
      </c>
      <c r="AG254">
        <v>8325.7138400000003</v>
      </c>
      <c r="AH254">
        <v>156723062.2598463</v>
      </c>
      <c r="AI254">
        <v>8353.2138400000003</v>
      </c>
      <c r="AJ254">
        <v>164125270.3125</v>
      </c>
      <c r="AK254">
        <v>8403.2138400000003</v>
      </c>
    </row>
    <row r="255" spans="1:37" x14ac:dyDescent="0.35">
      <c r="A255" t="s">
        <v>2805</v>
      </c>
      <c r="B255">
        <v>7301.01</v>
      </c>
      <c r="C255" t="s">
        <v>1067</v>
      </c>
      <c r="D255" t="s">
        <v>2806</v>
      </c>
      <c r="E255" t="s">
        <v>2807</v>
      </c>
      <c r="F255">
        <v>0.125</v>
      </c>
      <c r="G255" t="s">
        <v>2808</v>
      </c>
      <c r="H255">
        <v>20.25</v>
      </c>
      <c r="I255">
        <v>0.59</v>
      </c>
      <c r="J255" t="s">
        <v>2809</v>
      </c>
      <c r="K255" t="s">
        <v>2810</v>
      </c>
      <c r="L255" t="s">
        <v>2811</v>
      </c>
      <c r="M255" t="s">
        <v>2812</v>
      </c>
      <c r="N255">
        <v>18468.04829740943</v>
      </c>
      <c r="O255">
        <v>18689.664876978339</v>
      </c>
      <c r="P255">
        <v>19568.07912619632</v>
      </c>
      <c r="Q255">
        <v>21133.525456292031</v>
      </c>
      <c r="R255">
        <v>22000</v>
      </c>
      <c r="S255" t="s">
        <v>2813</v>
      </c>
      <c r="T255" t="s">
        <v>2814</v>
      </c>
      <c r="U255" t="s">
        <v>2815</v>
      </c>
      <c r="V255" t="s">
        <v>1077</v>
      </c>
      <c r="W255">
        <v>130985005.59999999</v>
      </c>
      <c r="X255">
        <v>130558992.59999999</v>
      </c>
      <c r="Y255">
        <v>131618992.59999999</v>
      </c>
      <c r="Z255">
        <v>132718992.59999999</v>
      </c>
      <c r="AA255">
        <v>134298992.59999999</v>
      </c>
      <c r="AB255">
        <v>302379676207.15552</v>
      </c>
      <c r="AC255">
        <v>16373125.699999999</v>
      </c>
      <c r="AD255">
        <v>305012977296.23682</v>
      </c>
      <c r="AE255">
        <v>16319874.074999999</v>
      </c>
      <c r="AF255">
        <v>321941357713.38098</v>
      </c>
      <c r="AG255">
        <v>16452374.074999999</v>
      </c>
      <c r="AH255">
        <v>350602526080.69171</v>
      </c>
      <c r="AI255">
        <v>16589874.074999999</v>
      </c>
      <c r="AJ255">
        <v>369322229650</v>
      </c>
      <c r="AK255">
        <v>16787374.074999999</v>
      </c>
    </row>
    <row r="256" spans="1:37" x14ac:dyDescent="0.35">
      <c r="A256" t="s">
        <v>2816</v>
      </c>
      <c r="B256">
        <v>0.89</v>
      </c>
      <c r="C256" t="s">
        <v>1414</v>
      </c>
      <c r="D256" t="s">
        <v>2817</v>
      </c>
      <c r="E256" t="s">
        <v>2818</v>
      </c>
      <c r="F256">
        <v>0.2</v>
      </c>
      <c r="G256" t="s">
        <v>2819</v>
      </c>
      <c r="H256">
        <v>0.15</v>
      </c>
      <c r="I256">
        <v>0.01</v>
      </c>
      <c r="J256" t="s">
        <v>2820</v>
      </c>
      <c r="K256" t="s">
        <v>2821</v>
      </c>
      <c r="L256" t="s">
        <v>2822</v>
      </c>
      <c r="M256" t="s">
        <v>2823</v>
      </c>
      <c r="N256">
        <v>183.6311620481051</v>
      </c>
      <c r="O256">
        <v>185.8347359926824</v>
      </c>
      <c r="P256">
        <v>194.56896858433839</v>
      </c>
      <c r="Q256">
        <v>210.13448607108549</v>
      </c>
      <c r="R256">
        <v>218.75</v>
      </c>
      <c r="S256" t="s">
        <v>2824</v>
      </c>
      <c r="T256" t="s">
        <v>2825</v>
      </c>
      <c r="U256" t="s">
        <v>2826</v>
      </c>
      <c r="V256" t="s">
        <v>49</v>
      </c>
      <c r="W256">
        <v>338996155</v>
      </c>
      <c r="X256">
        <v>339500751</v>
      </c>
      <c r="Y256">
        <v>340560751</v>
      </c>
      <c r="Z256">
        <v>341660751</v>
      </c>
      <c r="AA256">
        <v>343660751</v>
      </c>
      <c r="AB256">
        <v>12450051574.49791</v>
      </c>
      <c r="AC256">
        <v>67799231</v>
      </c>
      <c r="AD256">
        <v>12618206486.280479</v>
      </c>
      <c r="AE256">
        <v>67900150.200000003</v>
      </c>
      <c r="AF256">
        <v>13252510812.47554</v>
      </c>
      <c r="AG256">
        <v>68112150.200000003</v>
      </c>
      <c r="AH256">
        <v>14358941264.409229</v>
      </c>
      <c r="AI256">
        <v>68332150.200000003</v>
      </c>
      <c r="AJ256">
        <v>15035157856.25</v>
      </c>
      <c r="AK256">
        <v>68732150.200000003</v>
      </c>
    </row>
    <row r="257" spans="1:37" x14ac:dyDescent="0.35">
      <c r="A257" t="s">
        <v>2827</v>
      </c>
      <c r="B257">
        <v>6319.76</v>
      </c>
      <c r="C257" t="s">
        <v>2828</v>
      </c>
      <c r="D257" t="s">
        <v>2829</v>
      </c>
      <c r="E257" t="s">
        <v>2830</v>
      </c>
      <c r="F257">
        <v>7.3999999999999996E-5</v>
      </c>
      <c r="G257" t="s">
        <v>2831</v>
      </c>
      <c r="H257">
        <v>0.4</v>
      </c>
      <c r="I257">
        <v>540</v>
      </c>
      <c r="J257" t="s">
        <v>2832</v>
      </c>
      <c r="K257" t="s">
        <v>2833</v>
      </c>
      <c r="L257" t="s">
        <v>2834</v>
      </c>
      <c r="M257" t="s">
        <v>2835</v>
      </c>
      <c r="N257">
        <v>136831.44874898801</v>
      </c>
      <c r="O257">
        <v>138473.42613397591</v>
      </c>
      <c r="P257">
        <v>144981.67716227271</v>
      </c>
      <c r="Q257">
        <v>156580.2113352546</v>
      </c>
      <c r="R257">
        <v>163000</v>
      </c>
      <c r="S257" t="s">
        <v>2836</v>
      </c>
      <c r="T257" t="s">
        <v>2837</v>
      </c>
      <c r="U257" t="s">
        <v>2838</v>
      </c>
      <c r="V257" t="s">
        <v>94</v>
      </c>
      <c r="W257">
        <v>265472419.80000001</v>
      </c>
      <c r="X257">
        <v>266439117.80000001</v>
      </c>
      <c r="Y257">
        <v>267499117.80000001</v>
      </c>
      <c r="Z257">
        <v>268599117.80000001</v>
      </c>
      <c r="AA257">
        <v>270179117.80000001</v>
      </c>
      <c r="AB257">
        <v>2688048209.5058808</v>
      </c>
      <c r="AC257">
        <v>19644.959065200001</v>
      </c>
      <c r="AD257">
        <v>2730210574.8431201</v>
      </c>
      <c r="AE257">
        <v>19716.494717199999</v>
      </c>
      <c r="AF257">
        <v>2869902834.6173549</v>
      </c>
      <c r="AG257">
        <v>19794.934717200002</v>
      </c>
      <c r="AH257">
        <v>3112240690.5894332</v>
      </c>
      <c r="AI257">
        <v>19876.334717199999</v>
      </c>
      <c r="AJ257">
        <v>3258900518.9036002</v>
      </c>
      <c r="AK257">
        <v>19993.254717200001</v>
      </c>
    </row>
    <row r="258" spans="1:37" x14ac:dyDescent="0.35">
      <c r="A258" t="s">
        <v>2839</v>
      </c>
      <c r="B258">
        <v>6.64</v>
      </c>
      <c r="C258" t="s">
        <v>863</v>
      </c>
      <c r="D258" t="s">
        <v>2840</v>
      </c>
      <c r="E258" t="s">
        <v>2841</v>
      </c>
      <c r="F258">
        <v>0.1</v>
      </c>
      <c r="G258" t="s">
        <v>2842</v>
      </c>
      <c r="H258">
        <v>0.3</v>
      </c>
      <c r="I258">
        <v>0</v>
      </c>
      <c r="J258" t="s">
        <v>2843</v>
      </c>
      <c r="K258" t="s">
        <v>2844</v>
      </c>
      <c r="L258" t="s">
        <v>2845</v>
      </c>
      <c r="M258" t="s">
        <v>2846</v>
      </c>
      <c r="N258">
        <v>278.56709214154648</v>
      </c>
      <c r="O258">
        <v>281.90989724724511</v>
      </c>
      <c r="P258">
        <v>295.1596624178656</v>
      </c>
      <c r="Q258">
        <v>318.77243541129491</v>
      </c>
      <c r="R258">
        <v>331.84210526315792</v>
      </c>
      <c r="S258" t="s">
        <v>2847</v>
      </c>
      <c r="T258" t="s">
        <v>2848</v>
      </c>
      <c r="U258" t="s">
        <v>2849</v>
      </c>
      <c r="V258" t="s">
        <v>49</v>
      </c>
      <c r="W258">
        <v>338996155</v>
      </c>
      <c r="X258">
        <v>339500751</v>
      </c>
      <c r="Y258">
        <v>340560751</v>
      </c>
      <c r="Z258">
        <v>341660751</v>
      </c>
      <c r="AA258">
        <v>343660751</v>
      </c>
      <c r="AB258">
        <v>9443317314.5515003</v>
      </c>
      <c r="AC258">
        <v>33899615.5</v>
      </c>
      <c r="AD258">
        <v>9570862182.9772549</v>
      </c>
      <c r="AE258">
        <v>33950075.100000001</v>
      </c>
      <c r="AF258">
        <v>10051979629.79348</v>
      </c>
      <c r="AG258">
        <v>34056075.100000001</v>
      </c>
      <c r="AH258">
        <v>10891202968.072201</v>
      </c>
      <c r="AI258">
        <v>34166075.100000001</v>
      </c>
      <c r="AJ258">
        <v>11404110710.81579</v>
      </c>
      <c r="AK258">
        <v>34366075.100000001</v>
      </c>
    </row>
    <row r="259" spans="1:37" x14ac:dyDescent="0.35">
      <c r="A259" t="s">
        <v>2850</v>
      </c>
      <c r="B259">
        <v>46.3</v>
      </c>
      <c r="C259" t="s">
        <v>1449</v>
      </c>
      <c r="D259" t="s">
        <v>1504</v>
      </c>
      <c r="E259" t="s">
        <v>2851</v>
      </c>
      <c r="F259">
        <v>0.17199999999999999</v>
      </c>
      <c r="G259" t="s">
        <v>2852</v>
      </c>
      <c r="H259">
        <v>0.2</v>
      </c>
      <c r="I259">
        <v>0</v>
      </c>
      <c r="J259" t="s">
        <v>2853</v>
      </c>
      <c r="K259" t="s">
        <v>2854</v>
      </c>
      <c r="L259" t="s">
        <v>2855</v>
      </c>
      <c r="M259" t="s">
        <v>2856</v>
      </c>
      <c r="N259">
        <v>167.8913481582675</v>
      </c>
      <c r="O259">
        <v>169.9060443361667</v>
      </c>
      <c r="P259">
        <v>177.89162841996659</v>
      </c>
      <c r="Q259">
        <v>192.1229586935639</v>
      </c>
      <c r="R259">
        <v>200</v>
      </c>
      <c r="S259" t="s">
        <v>2857</v>
      </c>
      <c r="T259" t="s">
        <v>1169</v>
      </c>
      <c r="U259" t="s">
        <v>2858</v>
      </c>
      <c r="V259" t="s">
        <v>49</v>
      </c>
      <c r="W259">
        <v>338996155</v>
      </c>
      <c r="X259">
        <v>339500751</v>
      </c>
      <c r="Y259">
        <v>340560751</v>
      </c>
      <c r="Z259">
        <v>341660751</v>
      </c>
      <c r="AA259">
        <v>343660751</v>
      </c>
      <c r="AB259">
        <v>9789297695.1480713</v>
      </c>
      <c r="AC259">
        <v>58307338.659999996</v>
      </c>
      <c r="AD259">
        <v>9921515500.0696774</v>
      </c>
      <c r="AE259">
        <v>58394129.171999998</v>
      </c>
      <c r="AF259">
        <v>10420259930.266479</v>
      </c>
      <c r="AG259">
        <v>58576449.171999998</v>
      </c>
      <c r="AH259">
        <v>11290230388.47262</v>
      </c>
      <c r="AI259">
        <v>58765649.171999998</v>
      </c>
      <c r="AJ259">
        <v>11821929834.4</v>
      </c>
      <c r="AK259">
        <v>59109649.171999998</v>
      </c>
    </row>
    <row r="260" spans="1:37" x14ac:dyDescent="0.35">
      <c r="A260" t="s">
        <v>2859</v>
      </c>
      <c r="B260">
        <v>41.66</v>
      </c>
      <c r="C260" t="s">
        <v>2860</v>
      </c>
      <c r="D260" t="s">
        <v>2861</v>
      </c>
      <c r="E260" t="s">
        <v>2862</v>
      </c>
      <c r="F260">
        <v>0.16200000000000001</v>
      </c>
      <c r="G260" t="s">
        <v>2863</v>
      </c>
      <c r="H260">
        <v>30.3</v>
      </c>
      <c r="I260">
        <v>0</v>
      </c>
      <c r="J260" t="s">
        <v>2864</v>
      </c>
      <c r="K260" t="s">
        <v>2865</v>
      </c>
      <c r="L260" t="s">
        <v>2866</v>
      </c>
      <c r="M260" t="s">
        <v>2867</v>
      </c>
      <c r="N260">
        <v>128.01715297067901</v>
      </c>
      <c r="O260">
        <v>129.55335880632711</v>
      </c>
      <c r="P260">
        <v>135.6423666702245</v>
      </c>
      <c r="Q260">
        <v>146.49375600384249</v>
      </c>
      <c r="R260">
        <v>152.5</v>
      </c>
      <c r="S260" t="s">
        <v>2868</v>
      </c>
      <c r="T260" t="s">
        <v>2869</v>
      </c>
      <c r="U260" t="s">
        <v>2870</v>
      </c>
      <c r="V260" t="s">
        <v>49</v>
      </c>
      <c r="W260">
        <v>338996155</v>
      </c>
      <c r="X260">
        <v>339500751</v>
      </c>
      <c r="Y260">
        <v>340560751</v>
      </c>
      <c r="Z260">
        <v>341660751</v>
      </c>
      <c r="AA260">
        <v>343660751</v>
      </c>
      <c r="AB260">
        <v>7030366266.2393341</v>
      </c>
      <c r="AC260">
        <v>54917377.109999999</v>
      </c>
      <c r="AD260">
        <v>7125320942.7099257</v>
      </c>
      <c r="AE260">
        <v>54999121.662</v>
      </c>
      <c r="AF260">
        <v>7483503534.2219019</v>
      </c>
      <c r="AG260">
        <v>55170841.662</v>
      </c>
      <c r="AH260">
        <v>8108289004.2795391</v>
      </c>
      <c r="AI260">
        <v>55349041.662</v>
      </c>
      <c r="AJ260">
        <v>8490138853.4550009</v>
      </c>
      <c r="AK260">
        <v>55673041.662</v>
      </c>
    </row>
    <row r="261" spans="1:37" x14ac:dyDescent="0.35">
      <c r="A261" t="s">
        <v>2871</v>
      </c>
      <c r="B261">
        <v>58.79</v>
      </c>
      <c r="C261" t="s">
        <v>83</v>
      </c>
      <c r="D261" t="s">
        <v>2872</v>
      </c>
      <c r="E261" t="s">
        <v>2873</v>
      </c>
      <c r="F261">
        <v>4.5999999999999999E-2</v>
      </c>
      <c r="G261" t="s">
        <v>2874</v>
      </c>
      <c r="H261">
        <v>0.1</v>
      </c>
      <c r="I261">
        <v>0.01</v>
      </c>
      <c r="J261" t="s">
        <v>2875</v>
      </c>
      <c r="K261" t="s">
        <v>2876</v>
      </c>
      <c r="L261" t="s">
        <v>2877</v>
      </c>
      <c r="M261" t="s">
        <v>2878</v>
      </c>
      <c r="N261">
        <v>963.93530786561541</v>
      </c>
      <c r="O261">
        <v>975.50253156000281</v>
      </c>
      <c r="P261">
        <v>1021.351150543323</v>
      </c>
      <c r="Q261">
        <v>1103.059242586789</v>
      </c>
      <c r="R261">
        <v>1148.2846715328469</v>
      </c>
      <c r="S261" t="s">
        <v>2879</v>
      </c>
      <c r="T261" t="s">
        <v>2880</v>
      </c>
      <c r="U261" t="s">
        <v>2881</v>
      </c>
      <c r="V261" t="s">
        <v>94</v>
      </c>
      <c r="W261">
        <v>265472419.80000001</v>
      </c>
      <c r="X261">
        <v>266439117.80000001</v>
      </c>
      <c r="Y261">
        <v>267499117.80000001</v>
      </c>
      <c r="Z261">
        <v>268599117.80000001</v>
      </c>
      <c r="AA261">
        <v>270179117.80000001</v>
      </c>
      <c r="AB261">
        <v>11771318980.64817</v>
      </c>
      <c r="AC261">
        <v>12211731.310799999</v>
      </c>
      <c r="AD261">
        <v>11955953560.343639</v>
      </c>
      <c r="AE261">
        <v>12256199.4188</v>
      </c>
      <c r="AF261">
        <v>12567684459.780279</v>
      </c>
      <c r="AG261">
        <v>12304959.4188</v>
      </c>
      <c r="AH261">
        <v>13628914014.237591</v>
      </c>
      <c r="AI261">
        <v>12355559.4188</v>
      </c>
      <c r="AJ261">
        <v>14271156818.748341</v>
      </c>
      <c r="AK261">
        <v>12428239.4188</v>
      </c>
    </row>
    <row r="262" spans="1:37" x14ac:dyDescent="0.35">
      <c r="A262" t="s">
        <v>2882</v>
      </c>
      <c r="B262">
        <v>4995.55</v>
      </c>
      <c r="C262" t="s">
        <v>2883</v>
      </c>
      <c r="D262" t="s">
        <v>2884</v>
      </c>
      <c r="E262" t="s">
        <v>2885</v>
      </c>
      <c r="F262">
        <v>1.0000000000000001E-5</v>
      </c>
      <c r="G262" t="s">
        <v>2886</v>
      </c>
      <c r="H262">
        <v>0.5</v>
      </c>
      <c r="I262">
        <v>0.3</v>
      </c>
      <c r="J262" t="s">
        <v>2887</v>
      </c>
      <c r="K262" t="s">
        <v>2888</v>
      </c>
      <c r="L262" t="s">
        <v>2889</v>
      </c>
      <c r="M262" t="s">
        <v>2890</v>
      </c>
      <c r="N262">
        <v>125204.97288902799</v>
      </c>
      <c r="O262">
        <v>126707.4325636963</v>
      </c>
      <c r="P262">
        <v>132662.68189419009</v>
      </c>
      <c r="Q262">
        <v>143275.69644572531</v>
      </c>
      <c r="R262">
        <v>149150</v>
      </c>
      <c r="S262" t="s">
        <v>2891</v>
      </c>
      <c r="T262" t="s">
        <v>2892</v>
      </c>
      <c r="U262" t="s">
        <v>2893</v>
      </c>
      <c r="V262" t="s">
        <v>94</v>
      </c>
      <c r="W262">
        <v>265472419.80000001</v>
      </c>
      <c r="X262">
        <v>266439117.80000001</v>
      </c>
      <c r="Y262">
        <v>267499117.80000001</v>
      </c>
      <c r="Z262">
        <v>268599117.80000001</v>
      </c>
      <c r="AA262">
        <v>270179117.80000001</v>
      </c>
      <c r="AB262">
        <v>332384671.23843658</v>
      </c>
      <c r="AC262">
        <v>2654.7241979999999</v>
      </c>
      <c r="AD262">
        <v>337598165.5097425</v>
      </c>
      <c r="AE262">
        <v>2664.3911779999999</v>
      </c>
      <c r="AF262">
        <v>354871503.71677881</v>
      </c>
      <c r="AG262">
        <v>2674.9911780000002</v>
      </c>
      <c r="AH262">
        <v>384837256.67502409</v>
      </c>
      <c r="AI262">
        <v>2685.9911780000002</v>
      </c>
      <c r="AJ262">
        <v>402972154.19870001</v>
      </c>
      <c r="AK262">
        <v>2701.7911779999999</v>
      </c>
    </row>
    <row r="263" spans="1:37" x14ac:dyDescent="0.35">
      <c r="A263" t="s">
        <v>2894</v>
      </c>
      <c r="B263">
        <v>10009.33</v>
      </c>
      <c r="C263" t="s">
        <v>2883</v>
      </c>
      <c r="D263" t="s">
        <v>2895</v>
      </c>
      <c r="E263" t="s">
        <v>2896</v>
      </c>
      <c r="F263">
        <v>1.0000000000000001E-5</v>
      </c>
      <c r="G263" t="s">
        <v>2897</v>
      </c>
      <c r="H263">
        <v>0.2</v>
      </c>
      <c r="I263">
        <v>30530.400000000001</v>
      </c>
      <c r="J263" t="s">
        <v>2898</v>
      </c>
      <c r="K263" t="s">
        <v>2899</v>
      </c>
      <c r="L263" t="s">
        <v>2900</v>
      </c>
      <c r="M263" t="s">
        <v>2901</v>
      </c>
      <c r="N263">
        <v>125204.97288902799</v>
      </c>
      <c r="O263">
        <v>126707.4325636963</v>
      </c>
      <c r="P263">
        <v>132662.68189419009</v>
      </c>
      <c r="Q263">
        <v>143275.69644572531</v>
      </c>
      <c r="R263">
        <v>149150</v>
      </c>
      <c r="S263" t="s">
        <v>2902</v>
      </c>
      <c r="T263" t="s">
        <v>2903</v>
      </c>
      <c r="U263" t="s">
        <v>2904</v>
      </c>
      <c r="V263" t="s">
        <v>94</v>
      </c>
      <c r="W263">
        <v>265472419.80000001</v>
      </c>
      <c r="X263">
        <v>266439117.80000001</v>
      </c>
      <c r="Y263">
        <v>267499117.80000001</v>
      </c>
      <c r="Z263">
        <v>268599117.80000001</v>
      </c>
      <c r="AA263">
        <v>270179117.80000001</v>
      </c>
      <c r="AB263">
        <v>332384671.23843658</v>
      </c>
      <c r="AC263">
        <v>2654.7241979999999</v>
      </c>
      <c r="AD263">
        <v>337598165.5097425</v>
      </c>
      <c r="AE263">
        <v>2664.3911779999999</v>
      </c>
      <c r="AF263">
        <v>354871503.71677881</v>
      </c>
      <c r="AG263">
        <v>2674.9911780000002</v>
      </c>
      <c r="AH263">
        <v>384837256.67502409</v>
      </c>
      <c r="AI263">
        <v>2685.9911780000002</v>
      </c>
      <c r="AJ263">
        <v>402972154.19870001</v>
      </c>
      <c r="AK263">
        <v>2701.7911779999999</v>
      </c>
    </row>
    <row r="264" spans="1:37" x14ac:dyDescent="0.35">
      <c r="A264" t="s">
        <v>2905</v>
      </c>
      <c r="B264">
        <v>1693.2</v>
      </c>
      <c r="C264" t="s">
        <v>2883</v>
      </c>
      <c r="D264" t="s">
        <v>2906</v>
      </c>
      <c r="E264" t="s">
        <v>2907</v>
      </c>
      <c r="F264">
        <v>1.0000000000000001E-5</v>
      </c>
      <c r="G264" t="s">
        <v>2908</v>
      </c>
      <c r="H264">
        <v>0.5</v>
      </c>
      <c r="I264">
        <v>3.05</v>
      </c>
      <c r="J264" t="s">
        <v>2909</v>
      </c>
      <c r="K264" t="s">
        <v>2910</v>
      </c>
      <c r="L264" t="s">
        <v>2911</v>
      </c>
      <c r="M264" t="s">
        <v>2912</v>
      </c>
      <c r="N264">
        <v>125204.97288902799</v>
      </c>
      <c r="O264">
        <v>126707.4325636963</v>
      </c>
      <c r="P264">
        <v>132662.68189419009</v>
      </c>
      <c r="Q264">
        <v>143275.69644572531</v>
      </c>
      <c r="R264">
        <v>149150</v>
      </c>
      <c r="S264" t="s">
        <v>2913</v>
      </c>
      <c r="T264" t="s">
        <v>2914</v>
      </c>
      <c r="U264" t="s">
        <v>2915</v>
      </c>
      <c r="V264" t="s">
        <v>94</v>
      </c>
      <c r="W264">
        <v>265472419.80000001</v>
      </c>
      <c r="X264">
        <v>266439117.80000001</v>
      </c>
      <c r="Y264">
        <v>267499117.80000001</v>
      </c>
      <c r="Z264">
        <v>268599117.80000001</v>
      </c>
      <c r="AA264">
        <v>270179117.80000001</v>
      </c>
      <c r="AB264">
        <v>332384671.23843658</v>
      </c>
      <c r="AC264">
        <v>2654.7241979999999</v>
      </c>
      <c r="AD264">
        <v>337598165.5097425</v>
      </c>
      <c r="AE264">
        <v>2664.3911779999999</v>
      </c>
      <c r="AF264">
        <v>354871503.71677881</v>
      </c>
      <c r="AG264">
        <v>2674.9911780000002</v>
      </c>
      <c r="AH264">
        <v>384837256.67502409</v>
      </c>
      <c r="AI264">
        <v>2685.9911780000002</v>
      </c>
      <c r="AJ264">
        <v>402972154.19870001</v>
      </c>
      <c r="AK264">
        <v>2701.7911779999999</v>
      </c>
    </row>
    <row r="265" spans="1:37" x14ac:dyDescent="0.35">
      <c r="A265" t="s">
        <v>2916</v>
      </c>
      <c r="B265">
        <v>507.07</v>
      </c>
      <c r="C265" t="s">
        <v>2917</v>
      </c>
      <c r="D265" t="s">
        <v>2918</v>
      </c>
      <c r="E265" t="s">
        <v>2919</v>
      </c>
      <c r="F265">
        <v>1.3999999999999999E-4</v>
      </c>
      <c r="G265" t="s">
        <v>2920</v>
      </c>
      <c r="H265">
        <v>0.7</v>
      </c>
      <c r="I265">
        <v>0.5</v>
      </c>
      <c r="J265" t="s">
        <v>2921</v>
      </c>
      <c r="K265" t="s">
        <v>2922</v>
      </c>
      <c r="L265" t="s">
        <v>2923</v>
      </c>
      <c r="M265" t="s">
        <v>2924</v>
      </c>
      <c r="N265">
        <v>77020.155967605227</v>
      </c>
      <c r="O265">
        <v>77944.397839216486</v>
      </c>
      <c r="P265">
        <v>81607.784537659652</v>
      </c>
      <c r="Q265">
        <v>88136.407300672436</v>
      </c>
      <c r="R265">
        <v>91750</v>
      </c>
      <c r="S265" t="s">
        <v>2925</v>
      </c>
      <c r="T265" t="s">
        <v>2926</v>
      </c>
      <c r="U265" t="s">
        <v>2927</v>
      </c>
      <c r="V265" t="s">
        <v>49</v>
      </c>
      <c r="W265">
        <v>338996155</v>
      </c>
      <c r="X265">
        <v>339500751</v>
      </c>
      <c r="Y265">
        <v>340560751</v>
      </c>
      <c r="Z265">
        <v>341660751</v>
      </c>
      <c r="AA265">
        <v>343660751</v>
      </c>
      <c r="AB265">
        <v>3655335142.2725859</v>
      </c>
      <c r="AC265">
        <v>47459.461699999993</v>
      </c>
      <c r="AD265">
        <v>3704705424.3719478</v>
      </c>
      <c r="AE265">
        <v>47530.105139999992</v>
      </c>
      <c r="AF265">
        <v>3890937174.5428181</v>
      </c>
      <c r="AG265">
        <v>47678.505139999987</v>
      </c>
      <c r="AH265">
        <v>4215785155.230547</v>
      </c>
      <c r="AI265">
        <v>47832.505139999987</v>
      </c>
      <c r="AJ265">
        <v>4414322346.5949993</v>
      </c>
      <c r="AK265">
        <v>48112.505139999987</v>
      </c>
    </row>
    <row r="266" spans="1:37" x14ac:dyDescent="0.35">
      <c r="A266" t="s">
        <v>2928</v>
      </c>
      <c r="B266">
        <v>566.20000000000005</v>
      </c>
      <c r="C266" t="s">
        <v>487</v>
      </c>
      <c r="D266" t="s">
        <v>2929</v>
      </c>
      <c r="E266" t="s">
        <v>2930</v>
      </c>
      <c r="F266">
        <v>2.8000000000000001E-2</v>
      </c>
      <c r="G266" t="s">
        <v>2931</v>
      </c>
      <c r="H266">
        <v>60.4</v>
      </c>
      <c r="I266">
        <v>25.15</v>
      </c>
      <c r="J266" t="s">
        <v>2932</v>
      </c>
      <c r="K266" t="s">
        <v>2933</v>
      </c>
      <c r="L266" t="s">
        <v>2934</v>
      </c>
      <c r="M266" t="s">
        <v>2935</v>
      </c>
      <c r="N266">
        <v>4761.448013576749</v>
      </c>
      <c r="O266">
        <v>4818.5853897396701</v>
      </c>
      <c r="P266">
        <v>5045.0589030574338</v>
      </c>
      <c r="Q266">
        <v>5448.663615302029</v>
      </c>
      <c r="R266">
        <v>5672.0588235294117</v>
      </c>
      <c r="S266" t="s">
        <v>2936</v>
      </c>
      <c r="T266" t="s">
        <v>2937</v>
      </c>
      <c r="U266" t="s">
        <v>1304</v>
      </c>
      <c r="V266" t="s">
        <v>94</v>
      </c>
      <c r="W266">
        <v>265472419.80000001</v>
      </c>
      <c r="X266">
        <v>266439117.80000001</v>
      </c>
      <c r="Y266">
        <v>267499117.80000001</v>
      </c>
      <c r="Z266">
        <v>268599117.80000001</v>
      </c>
      <c r="AA266">
        <v>270179117.80000001</v>
      </c>
      <c r="AB266">
        <v>35392927525.651443</v>
      </c>
      <c r="AC266">
        <v>7433227.7544000009</v>
      </c>
      <c r="AD266">
        <v>35948069928.013786</v>
      </c>
      <c r="AE266">
        <v>7460295.2984000007</v>
      </c>
      <c r="AF266">
        <v>37787366562.873177</v>
      </c>
      <c r="AG266">
        <v>7489975.2984000007</v>
      </c>
      <c r="AH266">
        <v>40978174727.254341</v>
      </c>
      <c r="AI266">
        <v>7520775.2984000007</v>
      </c>
      <c r="AJ266">
        <v>42909211773.424713</v>
      </c>
      <c r="AK266">
        <v>7565015.2984000007</v>
      </c>
    </row>
    <row r="267" spans="1:37" x14ac:dyDescent="0.35">
      <c r="A267" t="s">
        <v>2938</v>
      </c>
      <c r="B267">
        <v>5201.97</v>
      </c>
      <c r="C267" t="s">
        <v>2939</v>
      </c>
      <c r="D267" t="s">
        <v>2940</v>
      </c>
      <c r="E267" t="s">
        <v>2941</v>
      </c>
      <c r="F267">
        <v>1.4999999999999999E-2</v>
      </c>
      <c r="G267" t="s">
        <v>2942</v>
      </c>
      <c r="H267">
        <v>0.25</v>
      </c>
      <c r="I267">
        <v>0.1</v>
      </c>
      <c r="J267" t="s">
        <v>2943</v>
      </c>
      <c r="K267" t="s">
        <v>2944</v>
      </c>
      <c r="L267" t="s">
        <v>2945</v>
      </c>
      <c r="M267" t="s">
        <v>2946</v>
      </c>
      <c r="N267">
        <v>4775.5761253907194</v>
      </c>
      <c r="O267">
        <v>4832.8830388954084</v>
      </c>
      <c r="P267">
        <v>5060.0285417234927</v>
      </c>
      <c r="Q267">
        <v>5464.8308250613727</v>
      </c>
      <c r="R267">
        <v>5688.8888888888887</v>
      </c>
      <c r="S267" t="s">
        <v>2947</v>
      </c>
      <c r="T267" t="s">
        <v>2948</v>
      </c>
      <c r="U267" t="s">
        <v>2949</v>
      </c>
      <c r="V267" t="s">
        <v>49</v>
      </c>
      <c r="W267">
        <v>338996155</v>
      </c>
      <c r="X267">
        <v>339500751</v>
      </c>
      <c r="Y267">
        <v>340560751</v>
      </c>
      <c r="Z267">
        <v>341660751</v>
      </c>
      <c r="AA267">
        <v>343660751</v>
      </c>
      <c r="AB267">
        <v>24283529166.258781</v>
      </c>
      <c r="AC267">
        <v>5084942.3250000002</v>
      </c>
      <c r="AD267">
        <v>24611511318.0023</v>
      </c>
      <c r="AE267">
        <v>5092511.2649999997</v>
      </c>
      <c r="AF267">
        <v>25848706803.76181</v>
      </c>
      <c r="AG267">
        <v>5108411.2649999997</v>
      </c>
      <c r="AH267">
        <v>28006773056.67627</v>
      </c>
      <c r="AI267">
        <v>5124911.2649999997</v>
      </c>
      <c r="AJ267">
        <v>29325717418.66666</v>
      </c>
      <c r="AK267">
        <v>5154911.2649999997</v>
      </c>
    </row>
    <row r="268" spans="1:37" x14ac:dyDescent="0.35">
      <c r="A268" t="s">
        <v>2950</v>
      </c>
      <c r="B268">
        <v>1622.64</v>
      </c>
      <c r="C268" t="s">
        <v>487</v>
      </c>
      <c r="D268" t="s">
        <v>2951</v>
      </c>
      <c r="E268" t="s">
        <v>2952</v>
      </c>
      <c r="F268">
        <v>2.8000000000000001E-2</v>
      </c>
      <c r="G268" t="s">
        <v>2953</v>
      </c>
      <c r="H268">
        <v>50.3</v>
      </c>
      <c r="I268">
        <v>51010.15</v>
      </c>
      <c r="J268" t="s">
        <v>2954</v>
      </c>
      <c r="K268" t="s">
        <v>2955</v>
      </c>
      <c r="L268" t="s">
        <v>2956</v>
      </c>
      <c r="M268" t="s">
        <v>2957</v>
      </c>
      <c r="N268">
        <v>4761.448013576749</v>
      </c>
      <c r="O268">
        <v>4818.5853897396701</v>
      </c>
      <c r="P268">
        <v>5045.0589030574338</v>
      </c>
      <c r="Q268">
        <v>5448.663615302029</v>
      </c>
      <c r="R268">
        <v>5672.0588235294117</v>
      </c>
      <c r="S268" t="s">
        <v>2958</v>
      </c>
      <c r="T268" t="s">
        <v>2959</v>
      </c>
      <c r="U268" t="s">
        <v>2960</v>
      </c>
      <c r="V268" t="s">
        <v>94</v>
      </c>
      <c r="W268">
        <v>265472419.80000001</v>
      </c>
      <c r="X268">
        <v>266439117.80000001</v>
      </c>
      <c r="Y268">
        <v>267499117.80000001</v>
      </c>
      <c r="Z268">
        <v>268599117.80000001</v>
      </c>
      <c r="AA268">
        <v>270179117.80000001</v>
      </c>
      <c r="AB268">
        <v>35392927525.651443</v>
      </c>
      <c r="AC268">
        <v>7433227.7544000009</v>
      </c>
      <c r="AD268">
        <v>35948069928.013786</v>
      </c>
      <c r="AE268">
        <v>7460295.2984000007</v>
      </c>
      <c r="AF268">
        <v>37787366562.873177</v>
      </c>
      <c r="AG268">
        <v>7489975.2984000007</v>
      </c>
      <c r="AH268">
        <v>40978174727.254341</v>
      </c>
      <c r="AI268">
        <v>7520775.2984000007</v>
      </c>
      <c r="AJ268">
        <v>42909211773.424713</v>
      </c>
      <c r="AK268">
        <v>7565015.2984000007</v>
      </c>
    </row>
    <row r="269" spans="1:37" x14ac:dyDescent="0.35">
      <c r="A269" t="s">
        <v>2961</v>
      </c>
      <c r="B269">
        <v>1622.64</v>
      </c>
      <c r="C269" t="s">
        <v>487</v>
      </c>
      <c r="D269" t="s">
        <v>2962</v>
      </c>
      <c r="E269" t="s">
        <v>1347</v>
      </c>
      <c r="F269">
        <v>2.8000000000000001E-2</v>
      </c>
      <c r="G269" t="s">
        <v>2963</v>
      </c>
      <c r="H269">
        <v>30.6</v>
      </c>
      <c r="I269">
        <v>0.15</v>
      </c>
      <c r="J269" t="s">
        <v>2964</v>
      </c>
      <c r="K269" t="s">
        <v>2965</v>
      </c>
      <c r="L269" t="s">
        <v>2966</v>
      </c>
      <c r="M269" t="s">
        <v>2967</v>
      </c>
      <c r="N269">
        <v>4761.448013576749</v>
      </c>
      <c r="O269">
        <v>4818.5853897396701</v>
      </c>
      <c r="P269">
        <v>5045.0589030574338</v>
      </c>
      <c r="Q269">
        <v>5448.663615302029</v>
      </c>
      <c r="R269">
        <v>5672.0588235294117</v>
      </c>
      <c r="S269" t="s">
        <v>2968</v>
      </c>
      <c r="T269" t="s">
        <v>2969</v>
      </c>
      <c r="U269" t="s">
        <v>2970</v>
      </c>
      <c r="V269" t="s">
        <v>94</v>
      </c>
      <c r="W269">
        <v>265472419.80000001</v>
      </c>
      <c r="X269">
        <v>266439117.80000001</v>
      </c>
      <c r="Y269">
        <v>267499117.80000001</v>
      </c>
      <c r="Z269">
        <v>268599117.80000001</v>
      </c>
      <c r="AA269">
        <v>270179117.80000001</v>
      </c>
      <c r="AB269">
        <v>35392927525.651443</v>
      </c>
      <c r="AC269">
        <v>7433227.7544000009</v>
      </c>
      <c r="AD269">
        <v>35948069928.013786</v>
      </c>
      <c r="AE269">
        <v>7460295.2984000007</v>
      </c>
      <c r="AF269">
        <v>37787366562.873177</v>
      </c>
      <c r="AG269">
        <v>7489975.2984000007</v>
      </c>
      <c r="AH269">
        <v>40978174727.254341</v>
      </c>
      <c r="AI269">
        <v>7520775.2984000007</v>
      </c>
      <c r="AJ269">
        <v>42909211773.424713</v>
      </c>
      <c r="AK269">
        <v>7565015.2984000007</v>
      </c>
    </row>
    <row r="270" spans="1:37" x14ac:dyDescent="0.35">
      <c r="A270" t="s">
        <v>2971</v>
      </c>
      <c r="B270">
        <v>1166.1099999999999</v>
      </c>
      <c r="C270" t="s">
        <v>2972</v>
      </c>
      <c r="D270" t="s">
        <v>2973</v>
      </c>
      <c r="E270" t="s">
        <v>2974</v>
      </c>
      <c r="F270">
        <v>3.2000000000000002E-3</v>
      </c>
      <c r="G270" t="s">
        <v>2975</v>
      </c>
      <c r="H270">
        <v>0.5</v>
      </c>
      <c r="J270" t="s">
        <v>2976</v>
      </c>
      <c r="K270" t="s">
        <v>2977</v>
      </c>
      <c r="L270" t="s">
        <v>2978</v>
      </c>
      <c r="M270" t="s">
        <v>2979</v>
      </c>
      <c r="N270">
        <v>4617.0120743523566</v>
      </c>
      <c r="O270">
        <v>4672.4162192445847</v>
      </c>
      <c r="P270">
        <v>4892.0197815490801</v>
      </c>
      <c r="Q270">
        <v>5283.3813640730068</v>
      </c>
      <c r="R270">
        <v>5500</v>
      </c>
      <c r="S270" t="s">
        <v>2980</v>
      </c>
      <c r="T270" t="s">
        <v>2981</v>
      </c>
      <c r="U270" t="s">
        <v>2982</v>
      </c>
      <c r="V270" t="s">
        <v>94</v>
      </c>
      <c r="W270">
        <v>265472419.80000001</v>
      </c>
      <c r="X270">
        <v>266439117.80000001</v>
      </c>
      <c r="Y270">
        <v>267499117.80000001</v>
      </c>
      <c r="Z270">
        <v>268599117.80000001</v>
      </c>
      <c r="AA270">
        <v>270179117.80000001</v>
      </c>
      <c r="AB270">
        <v>3922205976.3972411</v>
      </c>
      <c r="AC270">
        <v>849511.74336000008</v>
      </c>
      <c r="AD270">
        <v>3983726257.4398041</v>
      </c>
      <c r="AE270">
        <v>852605.17696000007</v>
      </c>
      <c r="AF270">
        <v>4187555122.6384888</v>
      </c>
      <c r="AG270">
        <v>855997.17696000007</v>
      </c>
      <c r="AH270">
        <v>4541157034.8511047</v>
      </c>
      <c r="AI270">
        <v>859517.17696000007</v>
      </c>
      <c r="AJ270">
        <v>4755152473.2800007</v>
      </c>
      <c r="AK270">
        <v>864573.17696000007</v>
      </c>
    </row>
    <row r="271" spans="1:37" x14ac:dyDescent="0.35">
      <c r="A271" t="s">
        <v>2983</v>
      </c>
      <c r="B271">
        <v>1008.63</v>
      </c>
      <c r="C271" t="s">
        <v>2553</v>
      </c>
      <c r="D271" t="s">
        <v>2984</v>
      </c>
      <c r="E271" t="s">
        <v>2691</v>
      </c>
      <c r="F271">
        <v>6.3700000000000003E-5</v>
      </c>
      <c r="G271" t="s">
        <v>2985</v>
      </c>
      <c r="H271">
        <v>0.4</v>
      </c>
      <c r="I271">
        <v>0.15</v>
      </c>
      <c r="J271" t="s">
        <v>2986</v>
      </c>
      <c r="K271" t="s">
        <v>2987</v>
      </c>
      <c r="L271" t="s">
        <v>2988</v>
      </c>
      <c r="M271" t="s">
        <v>2989</v>
      </c>
      <c r="N271">
        <v>43651.750521149559</v>
      </c>
      <c r="O271">
        <v>44175.571527403357</v>
      </c>
      <c r="P271">
        <v>46251.823389191311</v>
      </c>
      <c r="Q271">
        <v>49951.969260326623</v>
      </c>
      <c r="R271">
        <v>52000</v>
      </c>
      <c r="S271" t="s">
        <v>2990</v>
      </c>
      <c r="T271" t="s">
        <v>2991</v>
      </c>
      <c r="U271" t="s">
        <v>2992</v>
      </c>
      <c r="V271" t="s">
        <v>1017</v>
      </c>
      <c r="W271">
        <v>331357816</v>
      </c>
      <c r="X271">
        <v>331968553.60000002</v>
      </c>
      <c r="Y271">
        <v>333028553.60000002</v>
      </c>
      <c r="Z271">
        <v>334128553.60000002</v>
      </c>
      <c r="AA271">
        <v>336128553.60000002</v>
      </c>
      <c r="AB271">
        <v>921379013.28977931</v>
      </c>
      <c r="AC271">
        <v>21107.492879199999</v>
      </c>
      <c r="AD271">
        <v>934154167.2266264</v>
      </c>
      <c r="AE271">
        <v>21146.396864319999</v>
      </c>
      <c r="AF271">
        <v>981182428.70516276</v>
      </c>
      <c r="AG271">
        <v>21213.91886432</v>
      </c>
      <c r="AH271">
        <v>1063177157.4876471</v>
      </c>
      <c r="AI271">
        <v>21283.988864319999</v>
      </c>
      <c r="AJ271">
        <v>1113392220.9446399</v>
      </c>
      <c r="AK271">
        <v>21411.388864320001</v>
      </c>
    </row>
    <row r="272" spans="1:37" x14ac:dyDescent="0.35">
      <c r="A272" t="s">
        <v>2993</v>
      </c>
      <c r="B272">
        <v>2030.36</v>
      </c>
      <c r="C272" t="s">
        <v>2553</v>
      </c>
      <c r="D272" t="s">
        <v>2994</v>
      </c>
      <c r="E272" t="s">
        <v>2691</v>
      </c>
      <c r="F272">
        <v>6.3700000000000003E-5</v>
      </c>
      <c r="G272" t="s">
        <v>2995</v>
      </c>
      <c r="H272">
        <v>0.3</v>
      </c>
      <c r="I272">
        <v>0.15</v>
      </c>
      <c r="J272" t="s">
        <v>2996</v>
      </c>
      <c r="K272" t="s">
        <v>2997</v>
      </c>
      <c r="L272" t="s">
        <v>2998</v>
      </c>
      <c r="M272" t="s">
        <v>2999</v>
      </c>
      <c r="N272">
        <v>43651.750521149559</v>
      </c>
      <c r="O272">
        <v>44175.571527403357</v>
      </c>
      <c r="P272">
        <v>46251.823389191311</v>
      </c>
      <c r="Q272">
        <v>49951.969260326623</v>
      </c>
      <c r="R272">
        <v>52000</v>
      </c>
      <c r="S272" t="s">
        <v>3000</v>
      </c>
      <c r="T272" t="s">
        <v>3001</v>
      </c>
      <c r="U272" t="s">
        <v>3002</v>
      </c>
      <c r="V272" t="s">
        <v>1017</v>
      </c>
      <c r="W272">
        <v>331357816</v>
      </c>
      <c r="X272">
        <v>331968553.60000002</v>
      </c>
      <c r="Y272">
        <v>333028553.60000002</v>
      </c>
      <c r="Z272">
        <v>334128553.60000002</v>
      </c>
      <c r="AA272">
        <v>336128553.60000002</v>
      </c>
      <c r="AB272">
        <v>921379013.28977931</v>
      </c>
      <c r="AC272">
        <v>21107.492879199999</v>
      </c>
      <c r="AD272">
        <v>934154167.2266264</v>
      </c>
      <c r="AE272">
        <v>21146.396864319999</v>
      </c>
      <c r="AF272">
        <v>981182428.70516276</v>
      </c>
      <c r="AG272">
        <v>21213.91886432</v>
      </c>
      <c r="AH272">
        <v>1063177157.4876471</v>
      </c>
      <c r="AI272">
        <v>21283.988864319999</v>
      </c>
      <c r="AJ272">
        <v>1113392220.9446399</v>
      </c>
      <c r="AK272">
        <v>21411.388864320001</v>
      </c>
    </row>
    <row r="273" spans="1:37" x14ac:dyDescent="0.35">
      <c r="A273" t="s">
        <v>3003</v>
      </c>
      <c r="B273">
        <v>1008.78</v>
      </c>
      <c r="C273" t="s">
        <v>2553</v>
      </c>
      <c r="D273" t="s">
        <v>3004</v>
      </c>
      <c r="E273" t="s">
        <v>3005</v>
      </c>
      <c r="F273">
        <v>6.3700000000000003E-5</v>
      </c>
      <c r="G273" t="s">
        <v>3006</v>
      </c>
      <c r="H273">
        <v>0.7</v>
      </c>
      <c r="I273">
        <v>0.15</v>
      </c>
      <c r="J273" t="s">
        <v>3007</v>
      </c>
      <c r="K273" t="s">
        <v>3008</v>
      </c>
      <c r="L273" t="s">
        <v>3009</v>
      </c>
      <c r="M273" t="s">
        <v>3010</v>
      </c>
      <c r="N273">
        <v>43651.750521149559</v>
      </c>
      <c r="O273">
        <v>44175.571527403357</v>
      </c>
      <c r="P273">
        <v>46251.823389191311</v>
      </c>
      <c r="Q273">
        <v>49951.969260326623</v>
      </c>
      <c r="R273">
        <v>52000</v>
      </c>
      <c r="S273" t="s">
        <v>3011</v>
      </c>
      <c r="T273" t="s">
        <v>3012</v>
      </c>
      <c r="U273" t="s">
        <v>3013</v>
      </c>
      <c r="V273" t="s">
        <v>1017</v>
      </c>
      <c r="W273">
        <v>331357816</v>
      </c>
      <c r="X273">
        <v>331968553.60000002</v>
      </c>
      <c r="Y273">
        <v>333028553.60000002</v>
      </c>
      <c r="Z273">
        <v>334128553.60000002</v>
      </c>
      <c r="AA273">
        <v>336128553.60000002</v>
      </c>
      <c r="AB273">
        <v>921379013.28977931</v>
      </c>
      <c r="AC273">
        <v>21107.492879199999</v>
      </c>
      <c r="AD273">
        <v>934154167.2266264</v>
      </c>
      <c r="AE273">
        <v>21146.396864319999</v>
      </c>
      <c r="AF273">
        <v>981182428.70516276</v>
      </c>
      <c r="AG273">
        <v>21213.91886432</v>
      </c>
      <c r="AH273">
        <v>1063177157.4876471</v>
      </c>
      <c r="AI273">
        <v>21283.988864319999</v>
      </c>
      <c r="AJ273">
        <v>1113392220.9446399</v>
      </c>
      <c r="AK273">
        <v>21411.388864320001</v>
      </c>
    </row>
    <row r="274" spans="1:37" x14ac:dyDescent="0.35">
      <c r="A274" t="s">
        <v>3014</v>
      </c>
      <c r="B274">
        <v>2026.74</v>
      </c>
      <c r="C274" t="s">
        <v>2553</v>
      </c>
      <c r="D274" t="s">
        <v>3015</v>
      </c>
      <c r="E274" t="s">
        <v>2691</v>
      </c>
      <c r="F274">
        <v>6.3700000000000003E-5</v>
      </c>
      <c r="G274" t="s">
        <v>3016</v>
      </c>
      <c r="H274">
        <v>0.3</v>
      </c>
      <c r="I274">
        <v>0.15</v>
      </c>
      <c r="J274" t="s">
        <v>3017</v>
      </c>
      <c r="K274" t="s">
        <v>3018</v>
      </c>
      <c r="L274" t="s">
        <v>3019</v>
      </c>
      <c r="M274" t="s">
        <v>3020</v>
      </c>
      <c r="N274">
        <v>43651.750521149559</v>
      </c>
      <c r="O274">
        <v>44175.571527403357</v>
      </c>
      <c r="P274">
        <v>46251.823389191311</v>
      </c>
      <c r="Q274">
        <v>49951.969260326623</v>
      </c>
      <c r="R274">
        <v>52000</v>
      </c>
      <c r="S274" t="s">
        <v>3021</v>
      </c>
      <c r="T274" t="s">
        <v>3022</v>
      </c>
      <c r="U274" t="s">
        <v>3023</v>
      </c>
      <c r="V274" t="s">
        <v>1017</v>
      </c>
      <c r="W274">
        <v>331357816</v>
      </c>
      <c r="X274">
        <v>331968553.60000002</v>
      </c>
      <c r="Y274">
        <v>333028553.60000002</v>
      </c>
      <c r="Z274">
        <v>334128553.60000002</v>
      </c>
      <c r="AA274">
        <v>336128553.60000002</v>
      </c>
      <c r="AB274">
        <v>921379013.28977931</v>
      </c>
      <c r="AC274">
        <v>21107.492879199999</v>
      </c>
      <c r="AD274">
        <v>934154167.2266264</v>
      </c>
      <c r="AE274">
        <v>21146.396864319999</v>
      </c>
      <c r="AF274">
        <v>981182428.70516276</v>
      </c>
      <c r="AG274">
        <v>21213.91886432</v>
      </c>
      <c r="AH274">
        <v>1063177157.4876471</v>
      </c>
      <c r="AI274">
        <v>21283.988864319999</v>
      </c>
      <c r="AJ274">
        <v>1113392220.9446399</v>
      </c>
      <c r="AK274">
        <v>21411.388864320001</v>
      </c>
    </row>
    <row r="275" spans="1:37" x14ac:dyDescent="0.35">
      <c r="A275" t="s">
        <v>3024</v>
      </c>
      <c r="B275">
        <v>58341.71</v>
      </c>
      <c r="C275" t="s">
        <v>590</v>
      </c>
      <c r="D275" t="s">
        <v>3025</v>
      </c>
      <c r="E275" t="s">
        <v>3026</v>
      </c>
      <c r="F275">
        <v>2.0000000000000001E-4</v>
      </c>
      <c r="G275" t="s">
        <v>3027</v>
      </c>
      <c r="H275">
        <v>0.5</v>
      </c>
      <c r="I275">
        <v>152.05000000000001</v>
      </c>
      <c r="J275" t="s">
        <v>3028</v>
      </c>
      <c r="K275" t="s">
        <v>3029</v>
      </c>
      <c r="L275" t="s">
        <v>3030</v>
      </c>
      <c r="M275" t="s">
        <v>3031</v>
      </c>
      <c r="N275">
        <v>57083.058373810964</v>
      </c>
      <c r="O275">
        <v>57768.055074296688</v>
      </c>
      <c r="P275">
        <v>60483.153662788631</v>
      </c>
      <c r="Q275">
        <v>65321.805955811717</v>
      </c>
      <c r="R275">
        <v>68000</v>
      </c>
      <c r="S275" t="s">
        <v>3032</v>
      </c>
      <c r="T275" t="s">
        <v>3033</v>
      </c>
      <c r="U275" t="s">
        <v>3034</v>
      </c>
      <c r="V275" t="s">
        <v>49</v>
      </c>
      <c r="W275">
        <v>338996155</v>
      </c>
      <c r="X275">
        <v>339500751</v>
      </c>
      <c r="Y275">
        <v>340560751</v>
      </c>
      <c r="Z275">
        <v>341660751</v>
      </c>
      <c r="AA275">
        <v>343660751</v>
      </c>
      <c r="AB275">
        <v>3870187460.8724942</v>
      </c>
      <c r="AC275">
        <v>67799.231</v>
      </c>
      <c r="AD275">
        <v>3922459616.3066182</v>
      </c>
      <c r="AE275">
        <v>67900.150200000004</v>
      </c>
      <c r="AF275">
        <v>4119637646.8495402</v>
      </c>
      <c r="AG275">
        <v>68112.150200000004</v>
      </c>
      <c r="AH275">
        <v>4463579455.9077816</v>
      </c>
      <c r="AI275">
        <v>68332.150200000004</v>
      </c>
      <c r="AJ275">
        <v>4673786213.6000004</v>
      </c>
      <c r="AK275">
        <v>68732.150200000004</v>
      </c>
    </row>
    <row r="276" spans="1:37" x14ac:dyDescent="0.35">
      <c r="A276" t="s">
        <v>3035</v>
      </c>
      <c r="B276">
        <v>505.6</v>
      </c>
      <c r="C276" t="s">
        <v>1724</v>
      </c>
      <c r="D276" t="s">
        <v>3036</v>
      </c>
      <c r="E276" t="s">
        <v>3037</v>
      </c>
      <c r="F276">
        <v>4.0000000000000003E-5</v>
      </c>
      <c r="G276" t="s">
        <v>3038</v>
      </c>
      <c r="H276">
        <v>0.1</v>
      </c>
      <c r="I276">
        <v>0.01</v>
      </c>
      <c r="J276" t="s">
        <v>3039</v>
      </c>
      <c r="K276" t="s">
        <v>3040</v>
      </c>
      <c r="L276" t="s">
        <v>3041</v>
      </c>
      <c r="M276" t="s">
        <v>3042</v>
      </c>
      <c r="N276">
        <v>3612.8926651750271</v>
      </c>
      <c r="O276">
        <v>3656.2473771571272</v>
      </c>
      <c r="P276">
        <v>3828.0910038835118</v>
      </c>
      <c r="Q276">
        <v>4134.338284194193</v>
      </c>
      <c r="R276">
        <v>4303.8461538461543</v>
      </c>
      <c r="S276" t="s">
        <v>3043</v>
      </c>
      <c r="T276" t="s">
        <v>3044</v>
      </c>
      <c r="U276" t="s">
        <v>3045</v>
      </c>
      <c r="V276" t="s">
        <v>49</v>
      </c>
      <c r="W276">
        <v>338996155</v>
      </c>
      <c r="X276">
        <v>339500751</v>
      </c>
      <c r="Y276">
        <v>340560751</v>
      </c>
      <c r="Z276">
        <v>341660751</v>
      </c>
      <c r="AA276">
        <v>343660751</v>
      </c>
      <c r="AB276">
        <v>48990268.876881473</v>
      </c>
      <c r="AC276">
        <v>13559.8462</v>
      </c>
      <c r="AD276">
        <v>49651949.215465002</v>
      </c>
      <c r="AE276">
        <v>13580.03004</v>
      </c>
      <c r="AF276">
        <v>52147901.887156516</v>
      </c>
      <c r="AG276">
        <v>13622.430039999999</v>
      </c>
      <c r="AH276">
        <v>56501644.922633581</v>
      </c>
      <c r="AI276">
        <v>13666.430039999999</v>
      </c>
      <c r="AJ276">
        <v>59162520.056769237</v>
      </c>
      <c r="AK276">
        <v>13746.430039999999</v>
      </c>
    </row>
    <row r="277" spans="1:37" x14ac:dyDescent="0.35">
      <c r="A277" t="s">
        <v>3046</v>
      </c>
      <c r="B277">
        <v>595.04</v>
      </c>
      <c r="C277" t="s">
        <v>1724</v>
      </c>
      <c r="D277" t="s">
        <v>3047</v>
      </c>
      <c r="E277" t="s">
        <v>3048</v>
      </c>
      <c r="F277">
        <v>4.0000000000000003E-5</v>
      </c>
      <c r="G277" t="s">
        <v>3049</v>
      </c>
      <c r="H277">
        <v>0.1</v>
      </c>
      <c r="I277">
        <v>0.01</v>
      </c>
      <c r="J277" t="s">
        <v>3050</v>
      </c>
      <c r="K277" t="s">
        <v>3051</v>
      </c>
      <c r="L277" t="s">
        <v>3052</v>
      </c>
      <c r="M277" t="s">
        <v>3053</v>
      </c>
      <c r="N277">
        <v>3612.8926651750271</v>
      </c>
      <c r="O277">
        <v>3656.2473771571272</v>
      </c>
      <c r="P277">
        <v>3828.0910038835118</v>
      </c>
      <c r="Q277">
        <v>4134.338284194193</v>
      </c>
      <c r="R277">
        <v>4303.8461538461543</v>
      </c>
      <c r="S277" t="s">
        <v>3054</v>
      </c>
      <c r="T277" t="s">
        <v>3055</v>
      </c>
      <c r="U277" t="s">
        <v>3056</v>
      </c>
      <c r="V277" t="s">
        <v>49</v>
      </c>
      <c r="W277">
        <v>338996155</v>
      </c>
      <c r="X277">
        <v>339500751</v>
      </c>
      <c r="Y277">
        <v>340560751</v>
      </c>
      <c r="Z277">
        <v>341660751</v>
      </c>
      <c r="AA277">
        <v>343660751</v>
      </c>
      <c r="AB277">
        <v>48990268.876881473</v>
      </c>
      <c r="AC277">
        <v>13559.8462</v>
      </c>
      <c r="AD277">
        <v>49651949.215465002</v>
      </c>
      <c r="AE277">
        <v>13580.03004</v>
      </c>
      <c r="AF277">
        <v>52147901.887156516</v>
      </c>
      <c r="AG277">
        <v>13622.430039999999</v>
      </c>
      <c r="AH277">
        <v>56501644.922633581</v>
      </c>
      <c r="AI277">
        <v>13666.430039999999</v>
      </c>
      <c r="AJ277">
        <v>59162520.056769237</v>
      </c>
      <c r="AK277">
        <v>13746.430039999999</v>
      </c>
    </row>
    <row r="278" spans="1:37" x14ac:dyDescent="0.35">
      <c r="A278" t="s">
        <v>3057</v>
      </c>
      <c r="B278">
        <v>857.47</v>
      </c>
      <c r="C278" t="s">
        <v>1724</v>
      </c>
      <c r="D278" t="s">
        <v>3058</v>
      </c>
      <c r="E278" t="s">
        <v>3059</v>
      </c>
      <c r="F278">
        <v>4.0000000000000003E-5</v>
      </c>
      <c r="G278" t="s">
        <v>3060</v>
      </c>
      <c r="H278">
        <v>0.1</v>
      </c>
      <c r="I278">
        <v>0.01</v>
      </c>
      <c r="J278" t="s">
        <v>3061</v>
      </c>
      <c r="K278" t="s">
        <v>3062</v>
      </c>
      <c r="L278" t="s">
        <v>3063</v>
      </c>
      <c r="M278" t="s">
        <v>3064</v>
      </c>
      <c r="N278">
        <v>3612.8926651750271</v>
      </c>
      <c r="O278">
        <v>3656.2473771571272</v>
      </c>
      <c r="P278">
        <v>3828.0910038835118</v>
      </c>
      <c r="Q278">
        <v>4134.338284194193</v>
      </c>
      <c r="R278">
        <v>4303.8461538461543</v>
      </c>
      <c r="S278" t="s">
        <v>3065</v>
      </c>
      <c r="T278" t="s">
        <v>3066</v>
      </c>
      <c r="U278" t="s">
        <v>3067</v>
      </c>
      <c r="V278" t="s">
        <v>49</v>
      </c>
      <c r="W278">
        <v>338996155</v>
      </c>
      <c r="X278">
        <v>339500751</v>
      </c>
      <c r="Y278">
        <v>340560751</v>
      </c>
      <c r="Z278">
        <v>341660751</v>
      </c>
      <c r="AA278">
        <v>343660751</v>
      </c>
      <c r="AB278">
        <v>48990268.876881473</v>
      </c>
      <c r="AC278">
        <v>13559.8462</v>
      </c>
      <c r="AD278">
        <v>49651949.215465002</v>
      </c>
      <c r="AE278">
        <v>13580.03004</v>
      </c>
      <c r="AF278">
        <v>52147901.887156516</v>
      </c>
      <c r="AG278">
        <v>13622.430039999999</v>
      </c>
      <c r="AH278">
        <v>56501644.922633581</v>
      </c>
      <c r="AI278">
        <v>13666.430039999999</v>
      </c>
      <c r="AJ278">
        <v>59162520.056769237</v>
      </c>
      <c r="AK278">
        <v>13746.430039999999</v>
      </c>
    </row>
    <row r="279" spans="1:37" x14ac:dyDescent="0.35">
      <c r="A279" t="s">
        <v>3068</v>
      </c>
      <c r="B279">
        <v>3.55</v>
      </c>
      <c r="C279" t="s">
        <v>418</v>
      </c>
      <c r="D279" t="s">
        <v>3069</v>
      </c>
      <c r="E279" t="s">
        <v>3070</v>
      </c>
      <c r="F279">
        <v>0.16200000000000001</v>
      </c>
      <c r="G279" t="s">
        <v>3071</v>
      </c>
      <c r="H279">
        <v>0.5</v>
      </c>
      <c r="I279">
        <v>0.01</v>
      </c>
      <c r="J279" t="s">
        <v>3072</v>
      </c>
      <c r="K279" t="s">
        <v>3073</v>
      </c>
      <c r="L279" t="s">
        <v>3074</v>
      </c>
      <c r="M279" t="s">
        <v>3075</v>
      </c>
      <c r="N279">
        <v>76.950201239205967</v>
      </c>
      <c r="O279">
        <v>77.873603654076433</v>
      </c>
      <c r="P279">
        <v>81.533663025818015</v>
      </c>
      <c r="Q279">
        <v>88.056356067883456</v>
      </c>
      <c r="R279">
        <v>91.666666666666671</v>
      </c>
      <c r="S279" t="s">
        <v>3076</v>
      </c>
      <c r="T279" t="s">
        <v>3077</v>
      </c>
      <c r="U279" t="s">
        <v>3078</v>
      </c>
      <c r="V279" t="s">
        <v>49</v>
      </c>
      <c r="W279">
        <v>338996155</v>
      </c>
      <c r="X279">
        <v>339500751</v>
      </c>
      <c r="Y279">
        <v>340560751</v>
      </c>
      <c r="Z279">
        <v>341660751</v>
      </c>
      <c r="AA279">
        <v>343660751</v>
      </c>
      <c r="AB279">
        <v>4225903220.1438642</v>
      </c>
      <c r="AC279">
        <v>54917377.109999999</v>
      </c>
      <c r="AD279">
        <v>4282979801.6289182</v>
      </c>
      <c r="AE279">
        <v>54999121.662</v>
      </c>
      <c r="AF279">
        <v>4498280812.92027</v>
      </c>
      <c r="AG279">
        <v>55170841.662</v>
      </c>
      <c r="AH279">
        <v>4873834920.6051884</v>
      </c>
      <c r="AI279">
        <v>55349041.662</v>
      </c>
      <c r="AJ279">
        <v>5103362152.3500004</v>
      </c>
      <c r="AK279">
        <v>55673041.662</v>
      </c>
    </row>
    <row r="280" spans="1:37" x14ac:dyDescent="0.35">
      <c r="A280" t="s">
        <v>3079</v>
      </c>
      <c r="B280">
        <v>30.85</v>
      </c>
      <c r="C280" t="s">
        <v>487</v>
      </c>
      <c r="D280" t="s">
        <v>3080</v>
      </c>
      <c r="E280" t="s">
        <v>3081</v>
      </c>
      <c r="F280">
        <v>2.8000000000000001E-2</v>
      </c>
      <c r="G280" t="s">
        <v>3082</v>
      </c>
      <c r="H280">
        <v>0.3</v>
      </c>
      <c r="I280">
        <v>0.15</v>
      </c>
      <c r="J280" t="s">
        <v>3083</v>
      </c>
      <c r="K280" t="s">
        <v>3084</v>
      </c>
      <c r="L280" t="s">
        <v>3085</v>
      </c>
      <c r="M280" t="s">
        <v>3086</v>
      </c>
      <c r="N280">
        <v>4761.448013576749</v>
      </c>
      <c r="O280">
        <v>4818.5853897396701</v>
      </c>
      <c r="P280">
        <v>5045.0589030574338</v>
      </c>
      <c r="Q280">
        <v>5448.663615302029</v>
      </c>
      <c r="R280">
        <v>5672.0588235294117</v>
      </c>
      <c r="S280" t="s">
        <v>3087</v>
      </c>
      <c r="T280" t="s">
        <v>3088</v>
      </c>
      <c r="U280" t="s">
        <v>3089</v>
      </c>
      <c r="V280" t="s">
        <v>94</v>
      </c>
      <c r="W280">
        <v>265472419.80000001</v>
      </c>
      <c r="X280">
        <v>266439117.80000001</v>
      </c>
      <c r="Y280">
        <v>267499117.80000001</v>
      </c>
      <c r="Z280">
        <v>268599117.80000001</v>
      </c>
      <c r="AA280">
        <v>270179117.80000001</v>
      </c>
      <c r="AB280">
        <v>35392927525.651443</v>
      </c>
      <c r="AC280">
        <v>7433227.7544000009</v>
      </c>
      <c r="AD280">
        <v>35948069928.013786</v>
      </c>
      <c r="AE280">
        <v>7460295.2984000007</v>
      </c>
      <c r="AF280">
        <v>37787366562.873177</v>
      </c>
      <c r="AG280">
        <v>7489975.2984000007</v>
      </c>
      <c r="AH280">
        <v>40978174727.254341</v>
      </c>
      <c r="AI280">
        <v>7520775.2984000007</v>
      </c>
      <c r="AJ280">
        <v>42909211773.424713</v>
      </c>
      <c r="AK280">
        <v>7565015.2984000007</v>
      </c>
    </row>
    <row r="281" spans="1:37" x14ac:dyDescent="0.35">
      <c r="A281" t="s">
        <v>3090</v>
      </c>
      <c r="B281">
        <v>3.45</v>
      </c>
      <c r="C281" t="s">
        <v>208</v>
      </c>
      <c r="D281" t="s">
        <v>3091</v>
      </c>
      <c r="E281" t="s">
        <v>3092</v>
      </c>
      <c r="F281">
        <v>3.1E-2</v>
      </c>
      <c r="G281" t="s">
        <v>3093</v>
      </c>
      <c r="H281">
        <v>0.4</v>
      </c>
      <c r="I281">
        <v>0.15</v>
      </c>
      <c r="J281" t="s">
        <v>3094</v>
      </c>
      <c r="K281" t="s">
        <v>3095</v>
      </c>
      <c r="L281" t="s">
        <v>3096</v>
      </c>
      <c r="M281" t="s">
        <v>3097</v>
      </c>
      <c r="N281">
        <v>1106.1651733936201</v>
      </c>
      <c r="O281">
        <v>1119.4391554743429</v>
      </c>
      <c r="P281">
        <v>1172.0527957816371</v>
      </c>
      <c r="Q281">
        <v>1265.817019444168</v>
      </c>
      <c r="R281">
        <v>1317.7155172413791</v>
      </c>
      <c r="S281" t="s">
        <v>3098</v>
      </c>
      <c r="T281" t="s">
        <v>3099</v>
      </c>
      <c r="U281" t="s">
        <v>3100</v>
      </c>
      <c r="V281" t="s">
        <v>94</v>
      </c>
      <c r="W281">
        <v>265472419.80000001</v>
      </c>
      <c r="X281">
        <v>266439117.80000001</v>
      </c>
      <c r="Y281">
        <v>267499117.80000001</v>
      </c>
      <c r="Z281">
        <v>268599117.80000001</v>
      </c>
      <c r="AA281">
        <v>270179117.80000001</v>
      </c>
      <c r="AB281">
        <v>9103346703.6580143</v>
      </c>
      <c r="AC281">
        <v>8229645.0138000008</v>
      </c>
      <c r="AD281">
        <v>9246133811.4761925</v>
      </c>
      <c r="AE281">
        <v>8259612.6518000001</v>
      </c>
      <c r="AF281">
        <v>9719215755.4849567</v>
      </c>
      <c r="AG281">
        <v>8292472.6518000001</v>
      </c>
      <c r="AH281">
        <v>10539917376.2868</v>
      </c>
      <c r="AI281">
        <v>8326572.6518000001</v>
      </c>
      <c r="AJ281">
        <v>11036595694.749041</v>
      </c>
      <c r="AK281">
        <v>8375552.6518000001</v>
      </c>
    </row>
    <row r="282" spans="1:37" x14ac:dyDescent="0.35">
      <c r="A282" t="s">
        <v>3101</v>
      </c>
      <c r="B282">
        <v>4.2</v>
      </c>
      <c r="C282" t="s">
        <v>208</v>
      </c>
      <c r="D282" t="s">
        <v>3102</v>
      </c>
      <c r="E282" t="s">
        <v>3103</v>
      </c>
      <c r="F282">
        <v>3.1E-2</v>
      </c>
      <c r="G282" t="s">
        <v>3104</v>
      </c>
      <c r="H282">
        <v>0.3</v>
      </c>
      <c r="I282">
        <v>0.05</v>
      </c>
      <c r="J282" t="s">
        <v>3105</v>
      </c>
      <c r="K282" t="s">
        <v>3106</v>
      </c>
      <c r="L282" t="s">
        <v>3107</v>
      </c>
      <c r="M282" t="s">
        <v>3108</v>
      </c>
      <c r="N282">
        <v>1106.1651733936201</v>
      </c>
      <c r="O282">
        <v>1119.4391554743429</v>
      </c>
      <c r="P282">
        <v>1172.0527957816371</v>
      </c>
      <c r="Q282">
        <v>1265.817019444168</v>
      </c>
      <c r="R282">
        <v>1317.7155172413791</v>
      </c>
      <c r="S282" t="s">
        <v>3109</v>
      </c>
      <c r="T282" t="s">
        <v>3110</v>
      </c>
      <c r="U282" t="s">
        <v>3111</v>
      </c>
      <c r="V282" t="s">
        <v>94</v>
      </c>
      <c r="W282">
        <v>265472419.80000001</v>
      </c>
      <c r="X282">
        <v>266439117.80000001</v>
      </c>
      <c r="Y282">
        <v>267499117.80000001</v>
      </c>
      <c r="Z282">
        <v>268599117.80000001</v>
      </c>
      <c r="AA282">
        <v>270179117.80000001</v>
      </c>
      <c r="AB282">
        <v>9103346703.6580143</v>
      </c>
      <c r="AC282">
        <v>8229645.0138000008</v>
      </c>
      <c r="AD282">
        <v>9246133811.4761925</v>
      </c>
      <c r="AE282">
        <v>8259612.6518000001</v>
      </c>
      <c r="AF282">
        <v>9719215755.4849567</v>
      </c>
      <c r="AG282">
        <v>8292472.6518000001</v>
      </c>
      <c r="AH282">
        <v>10539917376.2868</v>
      </c>
      <c r="AI282">
        <v>8326572.6518000001</v>
      </c>
      <c r="AJ282">
        <v>11036595694.749041</v>
      </c>
      <c r="AK282">
        <v>8375552.6518000001</v>
      </c>
    </row>
    <row r="283" spans="1:37" x14ac:dyDescent="0.35">
      <c r="A283" t="s">
        <v>3112</v>
      </c>
      <c r="B283">
        <v>4.8</v>
      </c>
      <c r="C283" t="s">
        <v>208</v>
      </c>
      <c r="D283" t="s">
        <v>3113</v>
      </c>
      <c r="E283" t="s">
        <v>3114</v>
      </c>
      <c r="F283">
        <v>3.1E-2</v>
      </c>
      <c r="G283" t="s">
        <v>3115</v>
      </c>
      <c r="H283">
        <v>0.4</v>
      </c>
      <c r="I283">
        <v>0.15</v>
      </c>
      <c r="J283" t="s">
        <v>3116</v>
      </c>
      <c r="K283" t="s">
        <v>3117</v>
      </c>
      <c r="L283" t="s">
        <v>3118</v>
      </c>
      <c r="M283" t="s">
        <v>3119</v>
      </c>
      <c r="N283">
        <v>1106.1651733936201</v>
      </c>
      <c r="O283">
        <v>1119.4391554743429</v>
      </c>
      <c r="P283">
        <v>1172.0527957816371</v>
      </c>
      <c r="Q283">
        <v>1265.817019444168</v>
      </c>
      <c r="R283">
        <v>1317.7155172413791</v>
      </c>
      <c r="S283" t="s">
        <v>3120</v>
      </c>
      <c r="T283" t="s">
        <v>3121</v>
      </c>
      <c r="U283" t="s">
        <v>3122</v>
      </c>
      <c r="V283" t="s">
        <v>94</v>
      </c>
      <c r="W283">
        <v>265472419.80000001</v>
      </c>
      <c r="X283">
        <v>266439117.80000001</v>
      </c>
      <c r="Y283">
        <v>267499117.80000001</v>
      </c>
      <c r="Z283">
        <v>268599117.80000001</v>
      </c>
      <c r="AA283">
        <v>270179117.80000001</v>
      </c>
      <c r="AB283">
        <v>9103346703.6580143</v>
      </c>
      <c r="AC283">
        <v>8229645.0138000008</v>
      </c>
      <c r="AD283">
        <v>9246133811.4761925</v>
      </c>
      <c r="AE283">
        <v>8259612.6518000001</v>
      </c>
      <c r="AF283">
        <v>9719215755.4849567</v>
      </c>
      <c r="AG283">
        <v>8292472.6518000001</v>
      </c>
      <c r="AH283">
        <v>10539917376.2868</v>
      </c>
      <c r="AI283">
        <v>8326572.6518000001</v>
      </c>
      <c r="AJ283">
        <v>11036595694.749041</v>
      </c>
      <c r="AK283">
        <v>8375552.6518000001</v>
      </c>
    </row>
    <row r="284" spans="1:37" x14ac:dyDescent="0.35">
      <c r="A284" t="s">
        <v>3123</v>
      </c>
      <c r="B284">
        <v>4.7</v>
      </c>
      <c r="C284" t="s">
        <v>208</v>
      </c>
      <c r="D284" t="s">
        <v>3124</v>
      </c>
      <c r="E284" t="s">
        <v>3125</v>
      </c>
      <c r="F284">
        <v>3.1E-2</v>
      </c>
      <c r="G284" t="s">
        <v>3126</v>
      </c>
      <c r="H284">
        <v>40.4</v>
      </c>
      <c r="I284">
        <v>0.12</v>
      </c>
      <c r="J284" t="s">
        <v>3127</v>
      </c>
      <c r="K284" t="s">
        <v>3128</v>
      </c>
      <c r="L284" t="s">
        <v>3129</v>
      </c>
      <c r="M284" t="s">
        <v>3130</v>
      </c>
      <c r="N284">
        <v>1106.1651733936201</v>
      </c>
      <c r="O284">
        <v>1119.4391554743429</v>
      </c>
      <c r="P284">
        <v>1172.0527957816371</v>
      </c>
      <c r="Q284">
        <v>1265.817019444168</v>
      </c>
      <c r="R284">
        <v>1317.7155172413791</v>
      </c>
      <c r="S284" t="s">
        <v>3131</v>
      </c>
      <c r="T284" t="s">
        <v>3132</v>
      </c>
      <c r="U284" t="s">
        <v>3133</v>
      </c>
      <c r="V284" t="s">
        <v>94</v>
      </c>
      <c r="W284">
        <v>265472419.80000001</v>
      </c>
      <c r="X284">
        <v>266439117.80000001</v>
      </c>
      <c r="Y284">
        <v>267499117.80000001</v>
      </c>
      <c r="Z284">
        <v>268599117.80000001</v>
      </c>
      <c r="AA284">
        <v>270179117.80000001</v>
      </c>
      <c r="AB284">
        <v>9103346703.6580143</v>
      </c>
      <c r="AC284">
        <v>8229645.0138000008</v>
      </c>
      <c r="AD284">
        <v>9246133811.4761925</v>
      </c>
      <c r="AE284">
        <v>8259612.6518000001</v>
      </c>
      <c r="AF284">
        <v>9719215755.4849567</v>
      </c>
      <c r="AG284">
        <v>8292472.6518000001</v>
      </c>
      <c r="AH284">
        <v>10539917376.2868</v>
      </c>
      <c r="AI284">
        <v>8326572.6518000001</v>
      </c>
      <c r="AJ284">
        <v>11036595694.749041</v>
      </c>
      <c r="AK284">
        <v>8375552.6518000001</v>
      </c>
    </row>
    <row r="285" spans="1:37" x14ac:dyDescent="0.35">
      <c r="A285" t="s">
        <v>3134</v>
      </c>
      <c r="B285">
        <v>31.2</v>
      </c>
      <c r="C285" t="s">
        <v>487</v>
      </c>
      <c r="D285" t="s">
        <v>3135</v>
      </c>
      <c r="E285" t="s">
        <v>3136</v>
      </c>
      <c r="F285">
        <v>2.8000000000000001E-2</v>
      </c>
      <c r="G285" t="s">
        <v>3137</v>
      </c>
      <c r="H285">
        <v>0.4</v>
      </c>
      <c r="I285">
        <v>0.15</v>
      </c>
      <c r="J285" t="s">
        <v>3138</v>
      </c>
      <c r="K285" t="s">
        <v>3139</v>
      </c>
      <c r="L285" t="s">
        <v>3140</v>
      </c>
      <c r="M285" t="s">
        <v>3141</v>
      </c>
      <c r="N285">
        <v>4761.448013576749</v>
      </c>
      <c r="O285">
        <v>4818.5853897396701</v>
      </c>
      <c r="P285">
        <v>5045.0589030574338</v>
      </c>
      <c r="Q285">
        <v>5448.663615302029</v>
      </c>
      <c r="R285">
        <v>5672.0588235294117</v>
      </c>
      <c r="S285" t="s">
        <v>3142</v>
      </c>
      <c r="T285" t="s">
        <v>3143</v>
      </c>
      <c r="U285" t="s">
        <v>3144</v>
      </c>
      <c r="V285" t="s">
        <v>94</v>
      </c>
      <c r="W285">
        <v>265472419.80000001</v>
      </c>
      <c r="X285">
        <v>266439117.80000001</v>
      </c>
      <c r="Y285">
        <v>267499117.80000001</v>
      </c>
      <c r="Z285">
        <v>268599117.80000001</v>
      </c>
      <c r="AA285">
        <v>270179117.80000001</v>
      </c>
      <c r="AB285">
        <v>35392927525.651443</v>
      </c>
      <c r="AC285">
        <v>7433227.7544000009</v>
      </c>
      <c r="AD285">
        <v>35948069928.013786</v>
      </c>
      <c r="AE285">
        <v>7460295.2984000007</v>
      </c>
      <c r="AF285">
        <v>37787366562.873177</v>
      </c>
      <c r="AG285">
        <v>7489975.2984000007</v>
      </c>
      <c r="AH285">
        <v>40978174727.254341</v>
      </c>
      <c r="AI285">
        <v>7520775.2984000007</v>
      </c>
      <c r="AJ285">
        <v>42909211773.424713</v>
      </c>
      <c r="AK285">
        <v>7565015.2984000007</v>
      </c>
    </row>
    <row r="286" spans="1:37" x14ac:dyDescent="0.35">
      <c r="A286" t="s">
        <v>3145</v>
      </c>
      <c r="B286">
        <v>2544.2600000000002</v>
      </c>
      <c r="C286" t="s">
        <v>372</v>
      </c>
      <c r="D286" t="s">
        <v>3146</v>
      </c>
      <c r="E286" t="s">
        <v>3147</v>
      </c>
      <c r="F286">
        <v>5.0000000000000001E-4</v>
      </c>
      <c r="G286" t="s">
        <v>3148</v>
      </c>
      <c r="H286">
        <v>0.6</v>
      </c>
      <c r="J286" t="s">
        <v>3149</v>
      </c>
      <c r="K286" t="s">
        <v>3150</v>
      </c>
      <c r="L286" t="s">
        <v>3151</v>
      </c>
      <c r="M286" t="s">
        <v>3152</v>
      </c>
      <c r="N286">
        <v>6885.5439810146627</v>
      </c>
      <c r="O286">
        <v>6968.1705087868386</v>
      </c>
      <c r="P286">
        <v>7295.6745226998191</v>
      </c>
      <c r="Q286">
        <v>7879.328484515805</v>
      </c>
      <c r="R286">
        <v>8202.3809523809523</v>
      </c>
      <c r="S286" t="s">
        <v>3153</v>
      </c>
      <c r="T286" t="s">
        <v>3154</v>
      </c>
      <c r="U286" t="s">
        <v>3155</v>
      </c>
      <c r="V286" t="s">
        <v>94</v>
      </c>
      <c r="W286">
        <v>265472419.80000001</v>
      </c>
      <c r="X286">
        <v>266439117.80000001</v>
      </c>
      <c r="Y286">
        <v>267499117.80000001</v>
      </c>
      <c r="Z286">
        <v>268599117.80000001</v>
      </c>
      <c r="AA286">
        <v>270179117.80000001</v>
      </c>
      <c r="AB286">
        <v>913961011.13964391</v>
      </c>
      <c r="AC286">
        <v>132736.20989999999</v>
      </c>
      <c r="AD286">
        <v>928296601.52057135</v>
      </c>
      <c r="AE286">
        <v>133219.5589</v>
      </c>
      <c r="AF286">
        <v>975793249.28906894</v>
      </c>
      <c r="AG286">
        <v>133749.5589</v>
      </c>
      <c r="AH286">
        <v>1058190339.8986779</v>
      </c>
      <c r="AI286">
        <v>134299.5589</v>
      </c>
      <c r="AJ286">
        <v>1108056024.7869051</v>
      </c>
      <c r="AK286">
        <v>135089.5589</v>
      </c>
    </row>
    <row r="287" spans="1:37" x14ac:dyDescent="0.35">
      <c r="A287" t="s">
        <v>3156</v>
      </c>
      <c r="B287">
        <v>5085.12</v>
      </c>
      <c r="C287" t="s">
        <v>372</v>
      </c>
      <c r="D287" t="s">
        <v>3146</v>
      </c>
      <c r="E287" t="s">
        <v>3157</v>
      </c>
      <c r="F287">
        <v>5.0000000000000001E-4</v>
      </c>
      <c r="G287" t="s">
        <v>3158</v>
      </c>
      <c r="H287">
        <v>0.3</v>
      </c>
      <c r="I287">
        <v>0.05</v>
      </c>
      <c r="J287" t="s">
        <v>3159</v>
      </c>
      <c r="K287" t="s">
        <v>3160</v>
      </c>
      <c r="L287" t="s">
        <v>3161</v>
      </c>
      <c r="M287" t="s">
        <v>3162</v>
      </c>
      <c r="N287">
        <v>6885.5439810146627</v>
      </c>
      <c r="O287">
        <v>6968.1705087868386</v>
      </c>
      <c r="P287">
        <v>7295.6745226998191</v>
      </c>
      <c r="Q287">
        <v>7879.328484515805</v>
      </c>
      <c r="R287">
        <v>8202.3809523809523</v>
      </c>
      <c r="S287" t="s">
        <v>3163</v>
      </c>
      <c r="T287" t="s">
        <v>3164</v>
      </c>
      <c r="U287" t="s">
        <v>3165</v>
      </c>
      <c r="V287" t="s">
        <v>94</v>
      </c>
      <c r="W287">
        <v>265472419.80000001</v>
      </c>
      <c r="X287">
        <v>266439117.80000001</v>
      </c>
      <c r="Y287">
        <v>267499117.80000001</v>
      </c>
      <c r="Z287">
        <v>268599117.80000001</v>
      </c>
      <c r="AA287">
        <v>270179117.80000001</v>
      </c>
      <c r="AB287">
        <v>913961011.13964391</v>
      </c>
      <c r="AC287">
        <v>132736.20989999999</v>
      </c>
      <c r="AD287">
        <v>928296601.52057135</v>
      </c>
      <c r="AE287">
        <v>133219.5589</v>
      </c>
      <c r="AF287">
        <v>975793249.28906894</v>
      </c>
      <c r="AG287">
        <v>133749.5589</v>
      </c>
      <c r="AH287">
        <v>1058190339.8986779</v>
      </c>
      <c r="AI287">
        <v>134299.5589</v>
      </c>
      <c r="AJ287">
        <v>1108056024.7869051</v>
      </c>
      <c r="AK287">
        <v>135089.5589</v>
      </c>
    </row>
    <row r="288" spans="1:37" x14ac:dyDescent="0.35">
      <c r="A288" t="s">
        <v>3166</v>
      </c>
      <c r="B288">
        <v>72.48</v>
      </c>
      <c r="C288" t="s">
        <v>1055</v>
      </c>
      <c r="D288" t="s">
        <v>3167</v>
      </c>
      <c r="E288" t="s">
        <v>3168</v>
      </c>
      <c r="F288">
        <v>5.1999999999999998E-3</v>
      </c>
      <c r="G288" t="s">
        <v>3169</v>
      </c>
      <c r="H288">
        <v>0.3</v>
      </c>
      <c r="I288">
        <v>7000020210</v>
      </c>
      <c r="J288" t="s">
        <v>3170</v>
      </c>
      <c r="K288" t="s">
        <v>3171</v>
      </c>
      <c r="L288" t="s">
        <v>3172</v>
      </c>
      <c r="M288" t="s">
        <v>3173</v>
      </c>
      <c r="N288">
        <v>470.62043530614358</v>
      </c>
      <c r="O288">
        <v>476.26788052981732</v>
      </c>
      <c r="P288">
        <v>498.65247091471872</v>
      </c>
      <c r="Q288">
        <v>538.54466858789624</v>
      </c>
      <c r="R288">
        <v>560.625</v>
      </c>
      <c r="S288" t="s">
        <v>3174</v>
      </c>
      <c r="T288" t="s">
        <v>3175</v>
      </c>
      <c r="U288" t="s">
        <v>3176</v>
      </c>
      <c r="V288" t="s">
        <v>49</v>
      </c>
      <c r="W288">
        <v>338996155</v>
      </c>
      <c r="X288">
        <v>339500751</v>
      </c>
      <c r="Y288">
        <v>340560751</v>
      </c>
      <c r="Z288">
        <v>341660751</v>
      </c>
      <c r="AA288">
        <v>343660751</v>
      </c>
      <c r="AB288">
        <v>829600293.77268636</v>
      </c>
      <c r="AC288">
        <v>1762780.0060000001</v>
      </c>
      <c r="AD288">
        <v>840805176.20866656</v>
      </c>
      <c r="AE288">
        <v>1765403.9051999999</v>
      </c>
      <c r="AF288">
        <v>883071591.91015577</v>
      </c>
      <c r="AG288">
        <v>1770915.9051999999</v>
      </c>
      <c r="AH288">
        <v>956797794.76729095</v>
      </c>
      <c r="AI288">
        <v>1776635.9051999999</v>
      </c>
      <c r="AJ288">
        <v>1001857004.3527499</v>
      </c>
      <c r="AK288">
        <v>1787035.9051999999</v>
      </c>
    </row>
    <row r="289" spans="1:37" x14ac:dyDescent="0.35">
      <c r="A289" t="s">
        <v>3177</v>
      </c>
      <c r="B289">
        <v>3286.06</v>
      </c>
      <c r="C289" t="s">
        <v>3178</v>
      </c>
      <c r="D289" t="s">
        <v>3179</v>
      </c>
      <c r="E289" t="s">
        <v>3180</v>
      </c>
      <c r="F289">
        <v>8.0000000000000007E-5</v>
      </c>
      <c r="G289" t="s">
        <v>3181</v>
      </c>
      <c r="H289">
        <v>0.9</v>
      </c>
      <c r="I289">
        <v>0.05</v>
      </c>
      <c r="J289" t="s">
        <v>3182</v>
      </c>
      <c r="K289" t="s">
        <v>3183</v>
      </c>
      <c r="L289" t="s">
        <v>3184</v>
      </c>
      <c r="M289" t="s">
        <v>3185</v>
      </c>
      <c r="N289">
        <v>78331.807125091684</v>
      </c>
      <c r="O289">
        <v>79271.788810592785</v>
      </c>
      <c r="P289">
        <v>82997.562884690647</v>
      </c>
      <c r="Q289">
        <v>89637.367915465904</v>
      </c>
      <c r="R289">
        <v>93312.5</v>
      </c>
      <c r="S289" t="s">
        <v>3186</v>
      </c>
      <c r="T289" t="s">
        <v>3187</v>
      </c>
      <c r="U289" t="s">
        <v>3188</v>
      </c>
      <c r="V289" t="s">
        <v>49</v>
      </c>
      <c r="W289">
        <v>338996155</v>
      </c>
      <c r="X289">
        <v>339500751</v>
      </c>
      <c r="Y289">
        <v>340560751</v>
      </c>
      <c r="Z289">
        <v>341660751</v>
      </c>
      <c r="AA289">
        <v>343660751</v>
      </c>
      <c r="AB289">
        <v>2124334514.3686149</v>
      </c>
      <c r="AC289">
        <v>27119.6924</v>
      </c>
      <c r="AD289">
        <v>2153026546.744772</v>
      </c>
      <c r="AE289">
        <v>27160.060079999999</v>
      </c>
      <c r="AF289">
        <v>2261256987.7743979</v>
      </c>
      <c r="AG289">
        <v>27244.860079999999</v>
      </c>
      <c r="AH289">
        <v>2450045635.1729112</v>
      </c>
      <c r="AI289">
        <v>27332.860079999999</v>
      </c>
      <c r="AJ289">
        <v>2565427506.2150002</v>
      </c>
      <c r="AK289">
        <v>27492.860079999999</v>
      </c>
    </row>
    <row r="290" spans="1:37" x14ac:dyDescent="0.35">
      <c r="A290" t="s">
        <v>3189</v>
      </c>
      <c r="B290">
        <v>295.92</v>
      </c>
      <c r="C290" t="s">
        <v>38</v>
      </c>
      <c r="D290" t="s">
        <v>3190</v>
      </c>
      <c r="E290" t="s">
        <v>3191</v>
      </c>
      <c r="F290">
        <v>1.0000000000000001E-5</v>
      </c>
      <c r="G290" t="s">
        <v>3192</v>
      </c>
      <c r="H290">
        <v>0.3</v>
      </c>
      <c r="I290">
        <v>5.0999999999999996</v>
      </c>
      <c r="J290" t="s">
        <v>3193</v>
      </c>
      <c r="K290" t="s">
        <v>3194</v>
      </c>
      <c r="L290" t="s">
        <v>3195</v>
      </c>
      <c r="M290" t="s">
        <v>3196</v>
      </c>
      <c r="N290">
        <v>105785.82010430199</v>
      </c>
      <c r="O290">
        <v>107055.2499455536</v>
      </c>
      <c r="P290">
        <v>112086.8466929946</v>
      </c>
      <c r="Q290">
        <v>121053.79442843419</v>
      </c>
      <c r="R290">
        <v>126017</v>
      </c>
      <c r="S290" t="s">
        <v>3197</v>
      </c>
      <c r="T290" t="s">
        <v>1388</v>
      </c>
      <c r="U290" t="s">
        <v>3198</v>
      </c>
      <c r="V290" t="s">
        <v>49</v>
      </c>
      <c r="W290">
        <v>338996155</v>
      </c>
      <c r="X290">
        <v>339500751</v>
      </c>
      <c r="Y290">
        <v>340560751</v>
      </c>
      <c r="Z290">
        <v>341660751</v>
      </c>
      <c r="AA290">
        <v>343660751</v>
      </c>
      <c r="AB290">
        <v>358609862.68880081</v>
      </c>
      <c r="AC290">
        <v>3389.96155</v>
      </c>
      <c r="AD290">
        <v>363453377.55008161</v>
      </c>
      <c r="AE290">
        <v>3395.0075099999999</v>
      </c>
      <c r="AF290">
        <v>381723806.86988121</v>
      </c>
      <c r="AG290">
        <v>3405.6075099999998</v>
      </c>
      <c r="AH290">
        <v>413593303.15818453</v>
      </c>
      <c r="AI290">
        <v>3416.6075099999998</v>
      </c>
      <c r="AJ290">
        <v>433070968.58767003</v>
      </c>
      <c r="AK290">
        <v>3436.6075099999998</v>
      </c>
    </row>
    <row r="291" spans="1:37" x14ac:dyDescent="0.35">
      <c r="A291" t="s">
        <v>3199</v>
      </c>
      <c r="B291">
        <v>3.91</v>
      </c>
      <c r="C291" t="s">
        <v>3200</v>
      </c>
      <c r="D291" t="s">
        <v>3201</v>
      </c>
      <c r="E291" t="s">
        <v>3202</v>
      </c>
      <c r="F291">
        <v>5.0000000000000001E-3</v>
      </c>
      <c r="G291" t="s">
        <v>3203</v>
      </c>
      <c r="H291">
        <v>30.5</v>
      </c>
      <c r="I291">
        <v>5.15</v>
      </c>
      <c r="J291" t="s">
        <v>3204</v>
      </c>
      <c r="K291" t="s">
        <v>3205</v>
      </c>
      <c r="L291" t="s">
        <v>3206</v>
      </c>
      <c r="M291" t="s">
        <v>3207</v>
      </c>
      <c r="N291">
        <v>8394.5674079133751</v>
      </c>
      <c r="O291">
        <v>8495.3022168083353</v>
      </c>
      <c r="P291">
        <v>8894.5814209983273</v>
      </c>
      <c r="Q291">
        <v>9606.1479346781944</v>
      </c>
      <c r="R291">
        <v>10000</v>
      </c>
      <c r="S291" t="s">
        <v>3208</v>
      </c>
      <c r="T291" t="s">
        <v>3209</v>
      </c>
      <c r="U291" t="s">
        <v>3210</v>
      </c>
      <c r="V291" t="s">
        <v>49</v>
      </c>
      <c r="W291">
        <v>338996155</v>
      </c>
      <c r="X291">
        <v>339500751</v>
      </c>
      <c r="Y291">
        <v>340560751</v>
      </c>
      <c r="Z291">
        <v>341660751</v>
      </c>
      <c r="AA291">
        <v>343660751</v>
      </c>
      <c r="AB291">
        <v>14228630370.85475</v>
      </c>
      <c r="AC291">
        <v>1694980.7749999999</v>
      </c>
      <c r="AD291">
        <v>14420807412.89197</v>
      </c>
      <c r="AE291">
        <v>1697503.7549999999</v>
      </c>
      <c r="AF291">
        <v>15145726642.829189</v>
      </c>
      <c r="AG291">
        <v>1702803.7549999999</v>
      </c>
      <c r="AH291">
        <v>16410218587.896259</v>
      </c>
      <c r="AI291">
        <v>1708303.7549999999</v>
      </c>
      <c r="AJ291">
        <v>17183037550</v>
      </c>
      <c r="AK291">
        <v>1718303.7549999999</v>
      </c>
    </row>
    <row r="292" spans="1:37" x14ac:dyDescent="0.35">
      <c r="A292" t="s">
        <v>3211</v>
      </c>
      <c r="B292">
        <v>13.38</v>
      </c>
      <c r="C292" t="s">
        <v>863</v>
      </c>
      <c r="D292" t="s">
        <v>3212</v>
      </c>
      <c r="E292" t="s">
        <v>3213</v>
      </c>
      <c r="F292">
        <v>0.1</v>
      </c>
      <c r="G292" t="s">
        <v>3214</v>
      </c>
      <c r="H292">
        <v>0.3</v>
      </c>
      <c r="I292">
        <v>0</v>
      </c>
      <c r="J292" t="s">
        <v>3215</v>
      </c>
      <c r="K292" t="s">
        <v>3216</v>
      </c>
      <c r="L292" t="s">
        <v>3217</v>
      </c>
      <c r="M292" t="s">
        <v>3218</v>
      </c>
      <c r="N292">
        <v>278.56709214154648</v>
      </c>
      <c r="O292">
        <v>281.90989724724511</v>
      </c>
      <c r="P292">
        <v>295.1596624178656</v>
      </c>
      <c r="Q292">
        <v>318.77243541129491</v>
      </c>
      <c r="R292">
        <v>331.84210526315792</v>
      </c>
      <c r="S292" t="s">
        <v>1767</v>
      </c>
      <c r="T292" t="s">
        <v>3219</v>
      </c>
      <c r="U292" t="s">
        <v>3220</v>
      </c>
      <c r="V292" t="s">
        <v>49</v>
      </c>
      <c r="W292">
        <v>338996155</v>
      </c>
      <c r="X292">
        <v>339500751</v>
      </c>
      <c r="Y292">
        <v>340560751</v>
      </c>
      <c r="Z292">
        <v>341660751</v>
      </c>
      <c r="AA292">
        <v>343660751</v>
      </c>
      <c r="AB292">
        <v>9443317314.5515003</v>
      </c>
      <c r="AC292">
        <v>33899615.5</v>
      </c>
      <c r="AD292">
        <v>9570862182.9772549</v>
      </c>
      <c r="AE292">
        <v>33950075.100000001</v>
      </c>
      <c r="AF292">
        <v>10051979629.79348</v>
      </c>
      <c r="AG292">
        <v>34056075.100000001</v>
      </c>
      <c r="AH292">
        <v>10891202968.072201</v>
      </c>
      <c r="AI292">
        <v>34166075.100000001</v>
      </c>
      <c r="AJ292">
        <v>11404110710.81579</v>
      </c>
      <c r="AK292">
        <v>34366075.100000001</v>
      </c>
    </row>
    <row r="293" spans="1:37" x14ac:dyDescent="0.35">
      <c r="A293" t="s">
        <v>3221</v>
      </c>
      <c r="B293">
        <v>25.13</v>
      </c>
      <c r="C293" t="s">
        <v>3222</v>
      </c>
      <c r="D293" t="s">
        <v>3223</v>
      </c>
      <c r="E293" t="s">
        <v>3224</v>
      </c>
      <c r="F293">
        <v>1.1599999999999999E-2</v>
      </c>
      <c r="G293" t="s">
        <v>3225</v>
      </c>
      <c r="H293">
        <v>25.3</v>
      </c>
      <c r="I293">
        <v>10.15</v>
      </c>
      <c r="J293" t="s">
        <v>3226</v>
      </c>
      <c r="K293" t="s">
        <v>3227</v>
      </c>
      <c r="L293" t="s">
        <v>3228</v>
      </c>
      <c r="M293" t="s">
        <v>3229</v>
      </c>
      <c r="N293">
        <v>4896.8309879494691</v>
      </c>
      <c r="O293">
        <v>4955.5929598048624</v>
      </c>
      <c r="P293">
        <v>5188.5058289156896</v>
      </c>
      <c r="Q293">
        <v>5603.5862952289463</v>
      </c>
      <c r="R293">
        <v>5833.333333333333</v>
      </c>
      <c r="S293" t="s">
        <v>3230</v>
      </c>
      <c r="T293" t="s">
        <v>3231</v>
      </c>
      <c r="U293" t="s">
        <v>3232</v>
      </c>
      <c r="V293" t="s">
        <v>49</v>
      </c>
      <c r="W293">
        <v>338996155</v>
      </c>
      <c r="X293">
        <v>339500751</v>
      </c>
      <c r="Y293">
        <v>340560751</v>
      </c>
      <c r="Z293">
        <v>341660751</v>
      </c>
      <c r="AA293">
        <v>343660751</v>
      </c>
      <c r="AB293">
        <v>19256079768.55677</v>
      </c>
      <c r="AC293">
        <v>3932355.398</v>
      </c>
      <c r="AD293">
        <v>19516159365.44714</v>
      </c>
      <c r="AE293">
        <v>3938208.7116</v>
      </c>
      <c r="AF293">
        <v>20497216723.295502</v>
      </c>
      <c r="AG293">
        <v>3950504.7116</v>
      </c>
      <c r="AH293">
        <v>22208495822.286259</v>
      </c>
      <c r="AI293">
        <v>3963264.7116</v>
      </c>
      <c r="AJ293">
        <v>23254377484.333328</v>
      </c>
      <c r="AK293">
        <v>3986464.7116</v>
      </c>
    </row>
    <row r="294" spans="1:37" x14ac:dyDescent="0.35">
      <c r="A294" t="s">
        <v>3233</v>
      </c>
      <c r="B294">
        <v>270.62</v>
      </c>
      <c r="C294" t="s">
        <v>290</v>
      </c>
      <c r="D294" t="s">
        <v>3234</v>
      </c>
      <c r="E294" t="s">
        <v>3235</v>
      </c>
      <c r="F294">
        <v>1.6E-2</v>
      </c>
      <c r="G294" t="s">
        <v>3236</v>
      </c>
      <c r="H294">
        <v>0.3</v>
      </c>
      <c r="I294">
        <v>1.02</v>
      </c>
      <c r="J294" t="s">
        <v>3237</v>
      </c>
      <c r="K294" t="s">
        <v>3238</v>
      </c>
      <c r="L294" t="s">
        <v>3239</v>
      </c>
      <c r="M294" t="s">
        <v>3240</v>
      </c>
      <c r="N294">
        <v>582.68173772575199</v>
      </c>
      <c r="O294">
        <v>589.67391857846098</v>
      </c>
      <c r="P294">
        <v>617.38859275164862</v>
      </c>
      <c r="Q294">
        <v>666.77968017178057</v>
      </c>
      <c r="R294">
        <v>694.11764705882354</v>
      </c>
      <c r="S294" t="s">
        <v>3241</v>
      </c>
      <c r="T294" t="s">
        <v>3242</v>
      </c>
      <c r="U294" t="s">
        <v>3243</v>
      </c>
      <c r="V294" t="s">
        <v>49</v>
      </c>
      <c r="W294">
        <v>338996155</v>
      </c>
      <c r="X294">
        <v>339500751</v>
      </c>
      <c r="Y294">
        <v>340560751</v>
      </c>
      <c r="Z294">
        <v>341660751</v>
      </c>
      <c r="AA294">
        <v>343660751</v>
      </c>
      <c r="AB294">
        <v>3160429898.8439741</v>
      </c>
      <c r="AC294">
        <v>5423938.4800000004</v>
      </c>
      <c r="AD294">
        <v>3203115811.240005</v>
      </c>
      <c r="AE294">
        <v>5432012.0159999998</v>
      </c>
      <c r="AF294">
        <v>3364133164.9013538</v>
      </c>
      <c r="AG294">
        <v>5448972.0159999998</v>
      </c>
      <c r="AH294">
        <v>3644999140.4644861</v>
      </c>
      <c r="AI294">
        <v>5466572.0159999998</v>
      </c>
      <c r="AJ294">
        <v>3816655869.9294109</v>
      </c>
      <c r="AK294">
        <v>5498572.0159999998</v>
      </c>
    </row>
    <row r="295" spans="1:37" x14ac:dyDescent="0.35">
      <c r="A295" t="s">
        <v>3244</v>
      </c>
      <c r="B295">
        <v>12623.26</v>
      </c>
      <c r="C295" t="s">
        <v>3245</v>
      </c>
      <c r="D295" t="s">
        <v>3246</v>
      </c>
      <c r="E295" t="s">
        <v>3247</v>
      </c>
      <c r="F295">
        <v>9.7000000000000003E-6</v>
      </c>
      <c r="G295" t="s">
        <v>3248</v>
      </c>
      <c r="H295">
        <v>0.3</v>
      </c>
      <c r="I295">
        <v>405.6</v>
      </c>
      <c r="J295" t="s">
        <v>3249</v>
      </c>
      <c r="K295" t="s">
        <v>3250</v>
      </c>
      <c r="L295" t="s">
        <v>3251</v>
      </c>
      <c r="M295" t="s">
        <v>3252</v>
      </c>
      <c r="N295">
        <v>219517.93771693471</v>
      </c>
      <c r="O295">
        <v>222152.152969538</v>
      </c>
      <c r="P295">
        <v>232593.30415910631</v>
      </c>
      <c r="Q295">
        <v>251200.76849183481</v>
      </c>
      <c r="R295">
        <v>261500</v>
      </c>
      <c r="S295" t="s">
        <v>3253</v>
      </c>
      <c r="T295" t="s">
        <v>3254</v>
      </c>
      <c r="U295" t="s">
        <v>3255</v>
      </c>
      <c r="V295" t="s">
        <v>94</v>
      </c>
      <c r="W295">
        <v>265472419.80000001</v>
      </c>
      <c r="X295">
        <v>266439117.80000001</v>
      </c>
      <c r="Y295">
        <v>267499117.80000001</v>
      </c>
      <c r="Z295">
        <v>268599117.80000001</v>
      </c>
      <c r="AA295">
        <v>270179117.80000001</v>
      </c>
      <c r="AB295">
        <v>565276793.71763742</v>
      </c>
      <c r="AC295">
        <v>2575.0824720599999</v>
      </c>
      <c r="AD295">
        <v>574143229.44937122</v>
      </c>
      <c r="AE295">
        <v>2584.4594426600001</v>
      </c>
      <c r="AF295">
        <v>603519485.58685553</v>
      </c>
      <c r="AG295">
        <v>2594.7414426599998</v>
      </c>
      <c r="AH295">
        <v>654481356.63361204</v>
      </c>
      <c r="AI295">
        <v>2605.4114426599999</v>
      </c>
      <c r="AJ295">
        <v>685322841.25559008</v>
      </c>
      <c r="AK295">
        <v>2620.7374426599999</v>
      </c>
    </row>
    <row r="296" spans="1:37" x14ac:dyDescent="0.35">
      <c r="A296" t="s">
        <v>3256</v>
      </c>
      <c r="B296">
        <v>138.88</v>
      </c>
      <c r="C296" t="s">
        <v>360</v>
      </c>
      <c r="D296" t="s">
        <v>3257</v>
      </c>
      <c r="E296" t="s">
        <v>3258</v>
      </c>
      <c r="F296">
        <v>3.4999999999999999E-6</v>
      </c>
      <c r="G296" t="s">
        <v>3259</v>
      </c>
      <c r="H296">
        <v>20.3</v>
      </c>
      <c r="I296">
        <v>30.4</v>
      </c>
      <c r="J296" t="s">
        <v>3260</v>
      </c>
      <c r="K296" t="s">
        <v>3261</v>
      </c>
      <c r="L296" t="s">
        <v>3262</v>
      </c>
      <c r="M296" t="s">
        <v>3263</v>
      </c>
      <c r="N296">
        <v>54010.646702514663</v>
      </c>
      <c r="O296">
        <v>54658.774462944843</v>
      </c>
      <c r="P296">
        <v>57227.736862703241</v>
      </c>
      <c r="Q296">
        <v>61805.955811719497</v>
      </c>
      <c r="R296">
        <v>64340</v>
      </c>
      <c r="S296" t="s">
        <v>3264</v>
      </c>
      <c r="T296" t="s">
        <v>3265</v>
      </c>
      <c r="U296" t="s">
        <v>3266</v>
      </c>
      <c r="V296" t="s">
        <v>49</v>
      </c>
      <c r="W296">
        <v>338996155</v>
      </c>
      <c r="X296">
        <v>339500751</v>
      </c>
      <c r="Y296">
        <v>340560751</v>
      </c>
      <c r="Z296">
        <v>341660751</v>
      </c>
      <c r="AA296">
        <v>343660751</v>
      </c>
      <c r="AB296">
        <v>64082905.464255638</v>
      </c>
      <c r="AC296">
        <v>1186.4865425</v>
      </c>
      <c r="AD296">
        <v>64948432.426182874</v>
      </c>
      <c r="AE296">
        <v>1188.2526284999999</v>
      </c>
      <c r="AF296">
        <v>68213323.653974101</v>
      </c>
      <c r="AG296">
        <v>1191.9626284999999</v>
      </c>
      <c r="AH296">
        <v>73908342.476167142</v>
      </c>
      <c r="AI296">
        <v>1195.8126285000001</v>
      </c>
      <c r="AJ296">
        <v>77388964.517690003</v>
      </c>
      <c r="AK296">
        <v>1202.8126285000001</v>
      </c>
    </row>
    <row r="297" spans="1:37" x14ac:dyDescent="0.35">
      <c r="A297" t="s">
        <v>3267</v>
      </c>
      <c r="B297">
        <v>269.42</v>
      </c>
      <c r="C297" t="s">
        <v>360</v>
      </c>
      <c r="D297" t="s">
        <v>3268</v>
      </c>
      <c r="E297" t="s">
        <v>3269</v>
      </c>
      <c r="F297">
        <v>3.4999999999999999E-6</v>
      </c>
      <c r="G297" t="s">
        <v>3270</v>
      </c>
      <c r="H297">
        <v>0.3</v>
      </c>
      <c r="I297">
        <v>1.52</v>
      </c>
      <c r="J297" t="s">
        <v>3271</v>
      </c>
      <c r="K297" t="s">
        <v>3272</v>
      </c>
      <c r="L297" t="s">
        <v>3273</v>
      </c>
      <c r="M297" t="s">
        <v>3274</v>
      </c>
      <c r="N297">
        <v>54010.646702514663</v>
      </c>
      <c r="O297">
        <v>54658.774462944843</v>
      </c>
      <c r="P297">
        <v>57227.736862703241</v>
      </c>
      <c r="Q297">
        <v>61805.955811719497</v>
      </c>
      <c r="R297">
        <v>64340</v>
      </c>
      <c r="S297" t="s">
        <v>3275</v>
      </c>
      <c r="T297" t="s">
        <v>3276</v>
      </c>
      <c r="U297" t="s">
        <v>3277</v>
      </c>
      <c r="V297" t="s">
        <v>49</v>
      </c>
      <c r="W297">
        <v>338996155</v>
      </c>
      <c r="X297">
        <v>339500751</v>
      </c>
      <c r="Y297">
        <v>340560751</v>
      </c>
      <c r="Z297">
        <v>341660751</v>
      </c>
      <c r="AA297">
        <v>343660751</v>
      </c>
      <c r="AB297">
        <v>64082905.464255638</v>
      </c>
      <c r="AC297">
        <v>1186.4865425</v>
      </c>
      <c r="AD297">
        <v>64948432.426182874</v>
      </c>
      <c r="AE297">
        <v>1188.2526284999999</v>
      </c>
      <c r="AF297">
        <v>68213323.653974101</v>
      </c>
      <c r="AG297">
        <v>1191.9626284999999</v>
      </c>
      <c r="AH297">
        <v>73908342.476167142</v>
      </c>
      <c r="AI297">
        <v>1195.8126285000001</v>
      </c>
      <c r="AJ297">
        <v>77388964.517690003</v>
      </c>
      <c r="AK297">
        <v>1202.8126285000001</v>
      </c>
    </row>
    <row r="298" spans="1:37" x14ac:dyDescent="0.35">
      <c r="A298" t="s">
        <v>3278</v>
      </c>
      <c r="B298">
        <v>1299.45</v>
      </c>
      <c r="C298" t="s">
        <v>360</v>
      </c>
      <c r="D298" t="s">
        <v>3279</v>
      </c>
      <c r="E298" t="s">
        <v>3280</v>
      </c>
      <c r="F298">
        <v>3.4999999999999999E-6</v>
      </c>
      <c r="G298" t="s">
        <v>3281</v>
      </c>
      <c r="H298">
        <v>0.3</v>
      </c>
      <c r="I298">
        <v>1.52</v>
      </c>
      <c r="J298" t="s">
        <v>3282</v>
      </c>
      <c r="K298" t="s">
        <v>3283</v>
      </c>
      <c r="L298" t="s">
        <v>3284</v>
      </c>
      <c r="M298" t="s">
        <v>3285</v>
      </c>
      <c r="N298">
        <v>54010.646702514663</v>
      </c>
      <c r="O298">
        <v>54658.774462944843</v>
      </c>
      <c r="P298">
        <v>57227.736862703241</v>
      </c>
      <c r="Q298">
        <v>61805.955811719497</v>
      </c>
      <c r="R298">
        <v>64340</v>
      </c>
      <c r="S298" t="s">
        <v>3286</v>
      </c>
      <c r="T298" t="s">
        <v>3287</v>
      </c>
      <c r="U298" t="s">
        <v>3288</v>
      </c>
      <c r="V298" t="s">
        <v>49</v>
      </c>
      <c r="W298">
        <v>338996155</v>
      </c>
      <c r="X298">
        <v>339500751</v>
      </c>
      <c r="Y298">
        <v>340560751</v>
      </c>
      <c r="Z298">
        <v>341660751</v>
      </c>
      <c r="AA298">
        <v>343660751</v>
      </c>
      <c r="AB298">
        <v>64082905.464255638</v>
      </c>
      <c r="AC298">
        <v>1186.4865425</v>
      </c>
      <c r="AD298">
        <v>64948432.426182874</v>
      </c>
      <c r="AE298">
        <v>1188.2526284999999</v>
      </c>
      <c r="AF298">
        <v>68213323.653974101</v>
      </c>
      <c r="AG298">
        <v>1191.9626284999999</v>
      </c>
      <c r="AH298">
        <v>73908342.476167142</v>
      </c>
      <c r="AI298">
        <v>1195.8126285000001</v>
      </c>
      <c r="AJ298">
        <v>77388964.517690003</v>
      </c>
      <c r="AK298">
        <v>1202.8126285000001</v>
      </c>
    </row>
    <row r="299" spans="1:37" x14ac:dyDescent="0.35">
      <c r="A299" t="s">
        <v>3289</v>
      </c>
      <c r="B299">
        <v>6478.21</v>
      </c>
      <c r="C299" t="s">
        <v>453</v>
      </c>
      <c r="D299" t="s">
        <v>3290</v>
      </c>
      <c r="E299" t="s">
        <v>3291</v>
      </c>
      <c r="F299">
        <v>3.0000000000000001E-3</v>
      </c>
      <c r="G299" t="s">
        <v>3292</v>
      </c>
      <c r="H299">
        <v>3020.3</v>
      </c>
      <c r="I299">
        <v>15.2</v>
      </c>
      <c r="J299" t="s">
        <v>3293</v>
      </c>
      <c r="K299" t="s">
        <v>3294</v>
      </c>
      <c r="L299" t="s">
        <v>3295</v>
      </c>
      <c r="M299" t="s">
        <v>3296</v>
      </c>
      <c r="N299">
        <v>39574.389208734487</v>
      </c>
      <c r="O299">
        <v>40049.281879239301</v>
      </c>
      <c r="P299">
        <v>41931.598127563542</v>
      </c>
      <c r="Q299">
        <v>45286.125977768628</v>
      </c>
      <c r="R299">
        <v>47142.857142857138</v>
      </c>
      <c r="S299" t="s">
        <v>3297</v>
      </c>
      <c r="T299" t="s">
        <v>3298</v>
      </c>
      <c r="U299" t="s">
        <v>3299</v>
      </c>
      <c r="V299" t="s">
        <v>94</v>
      </c>
      <c r="W299">
        <v>265472419.80000001</v>
      </c>
      <c r="X299">
        <v>266439117.80000001</v>
      </c>
      <c r="Y299">
        <v>267499117.80000001</v>
      </c>
      <c r="Z299">
        <v>268599117.80000001</v>
      </c>
      <c r="AA299">
        <v>270179117.80000001</v>
      </c>
      <c r="AB299">
        <v>31517726596.049259</v>
      </c>
      <c r="AC299">
        <v>796417.2594000001</v>
      </c>
      <c r="AD299">
        <v>32012085997.284142</v>
      </c>
      <c r="AE299">
        <v>799317.35340000002</v>
      </c>
      <c r="AF299">
        <v>33649996521.202141</v>
      </c>
      <c r="AG299">
        <v>802497.35340000002</v>
      </c>
      <c r="AH299">
        <v>36491440458.624947</v>
      </c>
      <c r="AI299">
        <v>805797.35340000002</v>
      </c>
      <c r="AJ299">
        <v>38211046660.285713</v>
      </c>
      <c r="AK299">
        <v>810537.35340000002</v>
      </c>
    </row>
    <row r="300" spans="1:37" x14ac:dyDescent="0.35">
      <c r="A300" t="s">
        <v>3300</v>
      </c>
      <c r="B300">
        <v>6478.21</v>
      </c>
      <c r="C300" t="s">
        <v>453</v>
      </c>
      <c r="D300" t="s">
        <v>3301</v>
      </c>
      <c r="E300" t="s">
        <v>3302</v>
      </c>
      <c r="F300">
        <v>3.0000000000000001E-3</v>
      </c>
      <c r="G300" t="s">
        <v>3303</v>
      </c>
      <c r="H300">
        <v>0.3</v>
      </c>
      <c r="I300">
        <v>0.15</v>
      </c>
      <c r="J300" t="s">
        <v>3304</v>
      </c>
      <c r="K300" t="s">
        <v>3305</v>
      </c>
      <c r="L300" t="s">
        <v>3306</v>
      </c>
      <c r="M300" t="s">
        <v>3307</v>
      </c>
      <c r="N300">
        <v>39574.389208734487</v>
      </c>
      <c r="O300">
        <v>40049.281879239301</v>
      </c>
      <c r="P300">
        <v>41931.598127563542</v>
      </c>
      <c r="Q300">
        <v>45286.125977768628</v>
      </c>
      <c r="R300">
        <v>47142.857142857138</v>
      </c>
      <c r="S300" t="s">
        <v>1599</v>
      </c>
      <c r="T300" t="s">
        <v>3308</v>
      </c>
      <c r="U300" t="s">
        <v>3309</v>
      </c>
      <c r="V300" t="s">
        <v>94</v>
      </c>
      <c r="W300">
        <v>265472419.80000001</v>
      </c>
      <c r="X300">
        <v>266439117.80000001</v>
      </c>
      <c r="Y300">
        <v>267499117.80000001</v>
      </c>
      <c r="Z300">
        <v>268599117.80000001</v>
      </c>
      <c r="AA300">
        <v>270179117.80000001</v>
      </c>
      <c r="AB300">
        <v>31517726596.049259</v>
      </c>
      <c r="AC300">
        <v>796417.2594000001</v>
      </c>
      <c r="AD300">
        <v>32012085997.284142</v>
      </c>
      <c r="AE300">
        <v>799317.35340000002</v>
      </c>
      <c r="AF300">
        <v>33649996521.202141</v>
      </c>
      <c r="AG300">
        <v>802497.35340000002</v>
      </c>
      <c r="AH300">
        <v>36491440458.624947</v>
      </c>
      <c r="AI300">
        <v>805797.35340000002</v>
      </c>
      <c r="AJ300">
        <v>38211046660.285713</v>
      </c>
      <c r="AK300">
        <v>810537.35340000002</v>
      </c>
    </row>
    <row r="301" spans="1:37" x14ac:dyDescent="0.35">
      <c r="A301" t="s">
        <v>3310</v>
      </c>
      <c r="B301">
        <v>13409.44</v>
      </c>
      <c r="C301" t="s">
        <v>566</v>
      </c>
      <c r="D301" t="s">
        <v>3311</v>
      </c>
      <c r="E301" t="s">
        <v>3312</v>
      </c>
      <c r="F301">
        <v>2.2499999999999999E-4</v>
      </c>
      <c r="G301" t="s">
        <v>3313</v>
      </c>
      <c r="H301">
        <v>0.2</v>
      </c>
      <c r="I301">
        <v>185.82</v>
      </c>
      <c r="J301" t="s">
        <v>3314</v>
      </c>
      <c r="K301" t="s">
        <v>3315</v>
      </c>
      <c r="L301" t="s">
        <v>3316</v>
      </c>
      <c r="M301" t="s">
        <v>3317</v>
      </c>
      <c r="N301">
        <v>98098.151586384061</v>
      </c>
      <c r="O301">
        <v>99275.329405420678</v>
      </c>
      <c r="P301">
        <v>103941.2698874754</v>
      </c>
      <c r="Q301">
        <v>112256.5714784735</v>
      </c>
      <c r="R301">
        <v>116859.0909090909</v>
      </c>
      <c r="S301" t="s">
        <v>3318</v>
      </c>
      <c r="T301" t="s">
        <v>3319</v>
      </c>
      <c r="U301" t="s">
        <v>3320</v>
      </c>
      <c r="V301" t="s">
        <v>94</v>
      </c>
      <c r="W301">
        <v>265472419.80000001</v>
      </c>
      <c r="X301">
        <v>266439117.80000001</v>
      </c>
      <c r="Y301">
        <v>267499117.80000001</v>
      </c>
      <c r="Z301">
        <v>268599117.80000001</v>
      </c>
      <c r="AA301">
        <v>270179117.80000001</v>
      </c>
      <c r="AB301">
        <v>5859529577.8975325</v>
      </c>
      <c r="AC301">
        <v>59731.294455000003</v>
      </c>
      <c r="AD301">
        <v>5951437016.8690548</v>
      </c>
      <c r="AE301">
        <v>59948.801505000003</v>
      </c>
      <c r="AF301">
        <v>6255944549.5300617</v>
      </c>
      <c r="AG301">
        <v>60187.301505000003</v>
      </c>
      <c r="AH301">
        <v>6784203614.9333897</v>
      </c>
      <c r="AI301">
        <v>60434.801505000003</v>
      </c>
      <c r="AJ301">
        <v>7103899369.9638395</v>
      </c>
      <c r="AK301">
        <v>60790.301505000003</v>
      </c>
    </row>
    <row r="302" spans="1:37" x14ac:dyDescent="0.35">
      <c r="A302" t="s">
        <v>3321</v>
      </c>
      <c r="B302">
        <v>9004.09</v>
      </c>
      <c r="C302" t="s">
        <v>3322</v>
      </c>
      <c r="D302" t="s">
        <v>3323</v>
      </c>
      <c r="E302" t="s">
        <v>3324</v>
      </c>
      <c r="F302">
        <v>5.6700000000000003E-5</v>
      </c>
      <c r="G302" t="s">
        <v>3325</v>
      </c>
      <c r="H302">
        <v>0.3</v>
      </c>
      <c r="I302">
        <v>1.52</v>
      </c>
      <c r="J302" t="s">
        <v>3326</v>
      </c>
      <c r="K302" t="s">
        <v>3327</v>
      </c>
      <c r="L302" t="s">
        <v>3328</v>
      </c>
      <c r="M302" t="s">
        <v>3329</v>
      </c>
      <c r="N302">
        <v>92340.241487047126</v>
      </c>
      <c r="O302">
        <v>93448.32438489169</v>
      </c>
      <c r="P302">
        <v>97840.395630981599</v>
      </c>
      <c r="Q302">
        <v>105667.6272814601</v>
      </c>
      <c r="R302">
        <v>110000</v>
      </c>
      <c r="S302" t="s">
        <v>3330</v>
      </c>
      <c r="T302" t="s">
        <v>3331</v>
      </c>
      <c r="U302" t="s">
        <v>3332</v>
      </c>
      <c r="V302" t="s">
        <v>94</v>
      </c>
      <c r="W302">
        <v>265472419.80000001</v>
      </c>
      <c r="X302">
        <v>266439117.80000001</v>
      </c>
      <c r="Y302">
        <v>267499117.80000001</v>
      </c>
      <c r="Z302">
        <v>268599117.80000001</v>
      </c>
      <c r="AA302">
        <v>270179117.80000001</v>
      </c>
      <c r="AB302">
        <v>1389931742.885772</v>
      </c>
      <c r="AC302">
        <v>15052.28620266</v>
      </c>
      <c r="AD302">
        <v>1411732992.4802301</v>
      </c>
      <c r="AE302">
        <v>15107.097979259999</v>
      </c>
      <c r="AF302">
        <v>1483964846.5850141</v>
      </c>
      <c r="AG302">
        <v>15167.19997926</v>
      </c>
      <c r="AH302">
        <v>1609272524.2253599</v>
      </c>
      <c r="AI302">
        <v>15229.569979260001</v>
      </c>
      <c r="AJ302">
        <v>1685107157.7186</v>
      </c>
      <c r="AK302">
        <v>15319.15597926</v>
      </c>
    </row>
    <row r="303" spans="1:37" x14ac:dyDescent="0.35">
      <c r="A303" t="s">
        <v>3333</v>
      </c>
      <c r="B303">
        <v>9938.0400000000009</v>
      </c>
      <c r="C303" t="s">
        <v>566</v>
      </c>
      <c r="D303" t="s">
        <v>3334</v>
      </c>
      <c r="E303" t="s">
        <v>3335</v>
      </c>
      <c r="F303">
        <v>2.2499999999999999E-4</v>
      </c>
      <c r="G303" t="s">
        <v>3336</v>
      </c>
      <c r="H303">
        <v>0.2</v>
      </c>
      <c r="I303">
        <v>520.4</v>
      </c>
      <c r="J303" t="s">
        <v>3337</v>
      </c>
      <c r="K303" t="s">
        <v>3338</v>
      </c>
      <c r="L303" t="s">
        <v>3339</v>
      </c>
      <c r="M303" t="s">
        <v>3340</v>
      </c>
      <c r="N303">
        <v>98098.151586384061</v>
      </c>
      <c r="O303">
        <v>99275.329405420678</v>
      </c>
      <c r="P303">
        <v>103941.2698874754</v>
      </c>
      <c r="Q303">
        <v>112256.5714784735</v>
      </c>
      <c r="R303">
        <v>116859.0909090909</v>
      </c>
      <c r="S303" t="s">
        <v>3341</v>
      </c>
      <c r="T303" t="s">
        <v>3342</v>
      </c>
      <c r="U303" t="s">
        <v>3343</v>
      </c>
      <c r="V303" t="s">
        <v>94</v>
      </c>
      <c r="W303">
        <v>265472419.80000001</v>
      </c>
      <c r="X303">
        <v>266439117.80000001</v>
      </c>
      <c r="Y303">
        <v>267499117.80000001</v>
      </c>
      <c r="Z303">
        <v>268599117.80000001</v>
      </c>
      <c r="AA303">
        <v>270179117.80000001</v>
      </c>
      <c r="AB303">
        <v>5859529577.8975325</v>
      </c>
      <c r="AC303">
        <v>59731.294455000003</v>
      </c>
      <c r="AD303">
        <v>5951437016.8690548</v>
      </c>
      <c r="AE303">
        <v>59948.801505000003</v>
      </c>
      <c r="AF303">
        <v>6255944549.5300617</v>
      </c>
      <c r="AG303">
        <v>60187.301505000003</v>
      </c>
      <c r="AH303">
        <v>6784203614.9333897</v>
      </c>
      <c r="AI303">
        <v>60434.801505000003</v>
      </c>
      <c r="AJ303">
        <v>7103899369.9638395</v>
      </c>
      <c r="AK303">
        <v>60790.301505000003</v>
      </c>
    </row>
    <row r="304" spans="1:37" x14ac:dyDescent="0.35">
      <c r="A304" t="s">
        <v>3344</v>
      </c>
      <c r="B304">
        <v>20348.57</v>
      </c>
      <c r="C304" t="s">
        <v>255</v>
      </c>
      <c r="D304" t="s">
        <v>3345</v>
      </c>
      <c r="E304" t="s">
        <v>3346</v>
      </c>
      <c r="F304">
        <v>4.1999999999999998E-5</v>
      </c>
      <c r="G304" t="s">
        <v>3347</v>
      </c>
      <c r="H304">
        <v>0.65</v>
      </c>
      <c r="I304">
        <v>305.10000000000002</v>
      </c>
      <c r="J304" t="s">
        <v>3348</v>
      </c>
      <c r="K304" t="s">
        <v>3349</v>
      </c>
      <c r="L304" t="s">
        <v>3350</v>
      </c>
      <c r="M304" t="s">
        <v>3351</v>
      </c>
      <c r="N304">
        <v>118710.1325836446</v>
      </c>
      <c r="O304">
        <v>120134.6541746483</v>
      </c>
      <c r="P304">
        <v>125780.9829208568</v>
      </c>
      <c r="Q304">
        <v>135843.46155452539</v>
      </c>
      <c r="R304">
        <v>141413.04347826089</v>
      </c>
      <c r="S304" t="s">
        <v>3352</v>
      </c>
      <c r="T304" t="s">
        <v>3353</v>
      </c>
      <c r="U304" t="s">
        <v>3354</v>
      </c>
      <c r="V304" t="s">
        <v>94</v>
      </c>
      <c r="W304">
        <v>265472419.80000001</v>
      </c>
      <c r="X304">
        <v>266439117.80000001</v>
      </c>
      <c r="Y304">
        <v>267499117.80000001</v>
      </c>
      <c r="Z304">
        <v>268599117.80000001</v>
      </c>
      <c r="AA304">
        <v>270179117.80000001</v>
      </c>
      <c r="AB304">
        <v>1323599178.3738761</v>
      </c>
      <c r="AC304">
        <v>11149.8416316</v>
      </c>
      <c r="AD304">
        <v>1344359993.571058</v>
      </c>
      <c r="AE304">
        <v>11190.4429476</v>
      </c>
      <c r="AF304">
        <v>1413144682.628535</v>
      </c>
      <c r="AG304">
        <v>11234.962947599999</v>
      </c>
      <c r="AH304">
        <v>1532472225.162637</v>
      </c>
      <c r="AI304">
        <v>11281.1629476</v>
      </c>
      <c r="AJ304">
        <v>1604687755.959522</v>
      </c>
      <c r="AK304">
        <v>11347.5229476</v>
      </c>
    </row>
    <row r="305" spans="1:37" x14ac:dyDescent="0.35">
      <c r="A305" t="s">
        <v>3355</v>
      </c>
      <c r="B305">
        <v>2916.23</v>
      </c>
      <c r="C305" t="s">
        <v>360</v>
      </c>
      <c r="D305" t="s">
        <v>3356</v>
      </c>
      <c r="E305" t="s">
        <v>3357</v>
      </c>
      <c r="F305">
        <v>3.4999999999999999E-6</v>
      </c>
      <c r="G305" t="s">
        <v>3358</v>
      </c>
      <c r="H305">
        <v>0.3</v>
      </c>
      <c r="I305">
        <v>0.3</v>
      </c>
      <c r="J305" t="s">
        <v>3359</v>
      </c>
      <c r="K305" t="s">
        <v>3360</v>
      </c>
      <c r="L305" t="s">
        <v>3361</v>
      </c>
      <c r="M305" t="s">
        <v>3362</v>
      </c>
      <c r="N305">
        <v>54010.646702514663</v>
      </c>
      <c r="O305">
        <v>54658.774462944843</v>
      </c>
      <c r="P305">
        <v>57227.736862703241</v>
      </c>
      <c r="Q305">
        <v>61805.955811719497</v>
      </c>
      <c r="R305">
        <v>64340</v>
      </c>
      <c r="S305" t="s">
        <v>3275</v>
      </c>
      <c r="T305" t="s">
        <v>3363</v>
      </c>
      <c r="U305" t="s">
        <v>3364</v>
      </c>
      <c r="V305" t="s">
        <v>49</v>
      </c>
      <c r="W305">
        <v>338996155</v>
      </c>
      <c r="X305">
        <v>339500751</v>
      </c>
      <c r="Y305">
        <v>340560751</v>
      </c>
      <c r="Z305">
        <v>341660751</v>
      </c>
      <c r="AA305">
        <v>343660751</v>
      </c>
      <c r="AB305">
        <v>64082905.464255638</v>
      </c>
      <c r="AC305">
        <v>1186.4865425</v>
      </c>
      <c r="AD305">
        <v>64948432.426182874</v>
      </c>
      <c r="AE305">
        <v>1188.2526284999999</v>
      </c>
      <c r="AF305">
        <v>68213323.653974101</v>
      </c>
      <c r="AG305">
        <v>1191.9626284999999</v>
      </c>
      <c r="AH305">
        <v>73908342.476167142</v>
      </c>
      <c r="AI305">
        <v>1195.8126285000001</v>
      </c>
      <c r="AJ305">
        <v>77388964.517690003</v>
      </c>
      <c r="AK305">
        <v>1202.8126285000001</v>
      </c>
    </row>
    <row r="306" spans="1:37" x14ac:dyDescent="0.35">
      <c r="A306" t="s">
        <v>3365</v>
      </c>
      <c r="B306">
        <v>3820.76</v>
      </c>
      <c r="C306" t="s">
        <v>360</v>
      </c>
      <c r="D306" t="s">
        <v>3366</v>
      </c>
      <c r="E306" t="s">
        <v>3367</v>
      </c>
      <c r="F306">
        <v>3.4999999999999999E-6</v>
      </c>
      <c r="G306" t="s">
        <v>3368</v>
      </c>
      <c r="H306">
        <v>0.5</v>
      </c>
      <c r="I306">
        <v>1.53</v>
      </c>
      <c r="J306" t="s">
        <v>3369</v>
      </c>
      <c r="K306" t="s">
        <v>3370</v>
      </c>
      <c r="L306" t="s">
        <v>3371</v>
      </c>
      <c r="M306" t="s">
        <v>3372</v>
      </c>
      <c r="N306">
        <v>54010.646702514663</v>
      </c>
      <c r="O306">
        <v>54658.774462944843</v>
      </c>
      <c r="P306">
        <v>57227.736862703241</v>
      </c>
      <c r="Q306">
        <v>61805.955811719497</v>
      </c>
      <c r="R306">
        <v>64340</v>
      </c>
      <c r="S306" t="s">
        <v>3373</v>
      </c>
      <c r="T306" t="s">
        <v>3374</v>
      </c>
      <c r="U306" t="s">
        <v>3375</v>
      </c>
      <c r="V306" t="s">
        <v>49</v>
      </c>
      <c r="W306">
        <v>338996155</v>
      </c>
      <c r="X306">
        <v>339500751</v>
      </c>
      <c r="Y306">
        <v>340560751</v>
      </c>
      <c r="Z306">
        <v>341660751</v>
      </c>
      <c r="AA306">
        <v>343660751</v>
      </c>
      <c r="AB306">
        <v>64082905.464255638</v>
      </c>
      <c r="AC306">
        <v>1186.4865425</v>
      </c>
      <c r="AD306">
        <v>64948432.426182874</v>
      </c>
      <c r="AE306">
        <v>1188.2526284999999</v>
      </c>
      <c r="AF306">
        <v>68213323.653974101</v>
      </c>
      <c r="AG306">
        <v>1191.9626284999999</v>
      </c>
      <c r="AH306">
        <v>73908342.476167142</v>
      </c>
      <c r="AI306">
        <v>1195.8126285000001</v>
      </c>
      <c r="AJ306">
        <v>77388964.517690003</v>
      </c>
      <c r="AK306">
        <v>1202.8126285000001</v>
      </c>
    </row>
    <row r="307" spans="1:37" x14ac:dyDescent="0.35">
      <c r="A307" t="s">
        <v>3376</v>
      </c>
      <c r="B307">
        <v>525889.9</v>
      </c>
      <c r="C307" t="s">
        <v>278</v>
      </c>
      <c r="D307" t="s">
        <v>3377</v>
      </c>
      <c r="E307" t="s">
        <v>3378</v>
      </c>
      <c r="F307">
        <v>1.2999999999999999E-5</v>
      </c>
      <c r="G307" t="s">
        <v>3379</v>
      </c>
      <c r="H307">
        <v>30.5</v>
      </c>
      <c r="I307">
        <v>15.3</v>
      </c>
      <c r="J307" t="s">
        <v>3380</v>
      </c>
      <c r="K307" t="s">
        <v>3381</v>
      </c>
      <c r="L307" t="s">
        <v>3382</v>
      </c>
      <c r="M307" t="s">
        <v>3383</v>
      </c>
      <c r="N307">
        <v>117659.73818356229</v>
      </c>
      <c r="O307">
        <v>119071.655041765</v>
      </c>
      <c r="P307">
        <v>124668.022828728</v>
      </c>
      <c r="Q307">
        <v>134641.46465502621</v>
      </c>
      <c r="R307">
        <v>140161.76470588229</v>
      </c>
      <c r="S307" t="s">
        <v>3384</v>
      </c>
      <c r="T307" t="s">
        <v>3385</v>
      </c>
      <c r="U307" t="s">
        <v>3386</v>
      </c>
      <c r="V307" t="s">
        <v>49</v>
      </c>
      <c r="W307">
        <v>338996155</v>
      </c>
      <c r="X307">
        <v>339500751</v>
      </c>
      <c r="Y307">
        <v>340560751</v>
      </c>
      <c r="Z307">
        <v>341660751</v>
      </c>
      <c r="AA307">
        <v>343660751</v>
      </c>
      <c r="AB307">
        <v>518520584.95294589</v>
      </c>
      <c r="AC307">
        <v>4406.9500149999994</v>
      </c>
      <c r="AD307">
        <v>525523912.02339822</v>
      </c>
      <c r="AE307">
        <v>4413.509763</v>
      </c>
      <c r="AF307">
        <v>551941461.24307775</v>
      </c>
      <c r="AG307">
        <v>4427.2897629999998</v>
      </c>
      <c r="AH307">
        <v>598022151.08709085</v>
      </c>
      <c r="AI307">
        <v>4441.5897629999999</v>
      </c>
      <c r="AJ307">
        <v>626185265.16401446</v>
      </c>
      <c r="AK307">
        <v>4467.5897629999999</v>
      </c>
    </row>
    <row r="308" spans="1:37" x14ac:dyDescent="0.35">
      <c r="A308" t="s">
        <v>3387</v>
      </c>
      <c r="B308">
        <v>1463.36</v>
      </c>
      <c r="C308" t="s">
        <v>566</v>
      </c>
      <c r="D308" t="s">
        <v>3388</v>
      </c>
      <c r="E308" t="s">
        <v>3389</v>
      </c>
      <c r="F308">
        <v>2.2499999999999999E-4</v>
      </c>
      <c r="G308" t="s">
        <v>3390</v>
      </c>
      <c r="H308">
        <v>0.2</v>
      </c>
      <c r="I308">
        <v>0.25</v>
      </c>
      <c r="J308" t="s">
        <v>3391</v>
      </c>
      <c r="K308" t="s">
        <v>3392</v>
      </c>
      <c r="L308" t="s">
        <v>3393</v>
      </c>
      <c r="M308" t="s">
        <v>3394</v>
      </c>
      <c r="N308">
        <v>98098.151586384061</v>
      </c>
      <c r="O308">
        <v>99275.329405420678</v>
      </c>
      <c r="P308">
        <v>103941.2698874754</v>
      </c>
      <c r="Q308">
        <v>112256.5714784735</v>
      </c>
      <c r="R308">
        <v>116859.0909090909</v>
      </c>
      <c r="S308" t="s">
        <v>3395</v>
      </c>
      <c r="T308" t="s">
        <v>3396</v>
      </c>
      <c r="U308" t="s">
        <v>3397</v>
      </c>
      <c r="V308" t="s">
        <v>94</v>
      </c>
      <c r="W308">
        <v>265472419.80000001</v>
      </c>
      <c r="X308">
        <v>266439117.80000001</v>
      </c>
      <c r="Y308">
        <v>267499117.80000001</v>
      </c>
      <c r="Z308">
        <v>268599117.80000001</v>
      </c>
      <c r="AA308">
        <v>270179117.80000001</v>
      </c>
      <c r="AB308">
        <v>5859529577.8975325</v>
      </c>
      <c r="AC308">
        <v>59731.294455000003</v>
      </c>
      <c r="AD308">
        <v>5951437016.8690548</v>
      </c>
      <c r="AE308">
        <v>59948.801505000003</v>
      </c>
      <c r="AF308">
        <v>6255944549.5300617</v>
      </c>
      <c r="AG308">
        <v>60187.301505000003</v>
      </c>
      <c r="AH308">
        <v>6784203614.9333897</v>
      </c>
      <c r="AI308">
        <v>60434.801505000003</v>
      </c>
      <c r="AJ308">
        <v>7103899369.9638395</v>
      </c>
      <c r="AK308">
        <v>60790.301505000003</v>
      </c>
    </row>
    <row r="309" spans="1:37" x14ac:dyDescent="0.35">
      <c r="A309" t="s">
        <v>3398</v>
      </c>
      <c r="B309">
        <v>2061.86</v>
      </c>
      <c r="C309" t="s">
        <v>453</v>
      </c>
      <c r="D309" t="s">
        <v>3301</v>
      </c>
      <c r="E309" t="s">
        <v>3399</v>
      </c>
      <c r="F309">
        <v>3.0000000000000001E-3</v>
      </c>
      <c r="G309" t="s">
        <v>3400</v>
      </c>
      <c r="H309">
        <v>0.4</v>
      </c>
      <c r="I309">
        <v>1.52</v>
      </c>
      <c r="J309" t="s">
        <v>3401</v>
      </c>
      <c r="K309" t="s">
        <v>3402</v>
      </c>
      <c r="L309" t="s">
        <v>3403</v>
      </c>
      <c r="M309" t="s">
        <v>3404</v>
      </c>
      <c r="N309">
        <v>39574.389208734487</v>
      </c>
      <c r="O309">
        <v>40049.281879239301</v>
      </c>
      <c r="P309">
        <v>41931.598127563542</v>
      </c>
      <c r="Q309">
        <v>45286.125977768628</v>
      </c>
      <c r="R309">
        <v>47142.857142857138</v>
      </c>
      <c r="S309" t="s">
        <v>3405</v>
      </c>
      <c r="T309" t="s">
        <v>3406</v>
      </c>
      <c r="U309" t="s">
        <v>3407</v>
      </c>
      <c r="V309" t="s">
        <v>94</v>
      </c>
      <c r="W309">
        <v>265472419.80000001</v>
      </c>
      <c r="X309">
        <v>266439117.80000001</v>
      </c>
      <c r="Y309">
        <v>267499117.80000001</v>
      </c>
      <c r="Z309">
        <v>268599117.80000001</v>
      </c>
      <c r="AA309">
        <v>270179117.80000001</v>
      </c>
      <c r="AB309">
        <v>31517726596.049259</v>
      </c>
      <c r="AC309">
        <v>796417.2594000001</v>
      </c>
      <c r="AD309">
        <v>32012085997.284142</v>
      </c>
      <c r="AE309">
        <v>799317.35340000002</v>
      </c>
      <c r="AF309">
        <v>33649996521.202141</v>
      </c>
      <c r="AG309">
        <v>802497.35340000002</v>
      </c>
      <c r="AH309">
        <v>36491440458.624947</v>
      </c>
      <c r="AI309">
        <v>805797.35340000002</v>
      </c>
      <c r="AJ309">
        <v>38211046660.285713</v>
      </c>
      <c r="AK309">
        <v>810537.35340000002</v>
      </c>
    </row>
    <row r="310" spans="1:37" x14ac:dyDescent="0.35">
      <c r="A310" t="s">
        <v>3408</v>
      </c>
      <c r="B310">
        <v>42252.36</v>
      </c>
      <c r="C310" t="s">
        <v>3409</v>
      </c>
      <c r="D310" t="s">
        <v>3410</v>
      </c>
      <c r="E310" t="s">
        <v>3411</v>
      </c>
      <c r="F310">
        <v>0.02</v>
      </c>
      <c r="G310" t="s">
        <v>3412</v>
      </c>
      <c r="H310">
        <v>0.5</v>
      </c>
      <c r="I310">
        <v>0</v>
      </c>
      <c r="J310" t="s">
        <v>3413</v>
      </c>
      <c r="K310" t="s">
        <v>3414</v>
      </c>
      <c r="L310" t="s">
        <v>3415</v>
      </c>
      <c r="M310" t="s">
        <v>3416</v>
      </c>
      <c r="N310">
        <v>20986.418519783441</v>
      </c>
      <c r="O310">
        <v>21238.255542020841</v>
      </c>
      <c r="P310">
        <v>22236.453552495819</v>
      </c>
      <c r="Q310">
        <v>24015.369836695489</v>
      </c>
      <c r="R310">
        <v>25000</v>
      </c>
      <c r="S310" t="s">
        <v>3417</v>
      </c>
      <c r="T310" t="s">
        <v>3418</v>
      </c>
      <c r="U310" t="s">
        <v>3419</v>
      </c>
      <c r="V310" t="s">
        <v>49</v>
      </c>
      <c r="W310">
        <v>338996155</v>
      </c>
      <c r="X310">
        <v>339500751</v>
      </c>
      <c r="Y310">
        <v>340560751</v>
      </c>
      <c r="Z310">
        <v>341660751</v>
      </c>
      <c r="AA310">
        <v>343660751</v>
      </c>
      <c r="AB310">
        <v>142286303708.54761</v>
      </c>
      <c r="AC310">
        <v>6779923.1000000006</v>
      </c>
      <c r="AD310">
        <v>144208074128.9198</v>
      </c>
      <c r="AE310">
        <v>6790015.0199999996</v>
      </c>
      <c r="AF310">
        <v>151457266428.2919</v>
      </c>
      <c r="AG310">
        <v>6811215.0199999996</v>
      </c>
      <c r="AH310">
        <v>164102185878.96259</v>
      </c>
      <c r="AI310">
        <v>6833215.0199999996</v>
      </c>
      <c r="AJ310">
        <v>171830375500</v>
      </c>
      <c r="AK310">
        <v>6873215.0199999996</v>
      </c>
    </row>
    <row r="311" spans="1:37" x14ac:dyDescent="0.35">
      <c r="A311" t="s">
        <v>3420</v>
      </c>
      <c r="B311">
        <v>13595.98</v>
      </c>
      <c r="C311" t="s">
        <v>278</v>
      </c>
      <c r="D311" t="s">
        <v>3421</v>
      </c>
      <c r="E311" t="s">
        <v>3422</v>
      </c>
      <c r="F311">
        <v>1.2999999999999999E-5</v>
      </c>
      <c r="G311" t="s">
        <v>3423</v>
      </c>
      <c r="H311">
        <v>0.3</v>
      </c>
      <c r="I311">
        <v>105.9</v>
      </c>
      <c r="J311" t="s">
        <v>3424</v>
      </c>
      <c r="K311" t="s">
        <v>3425</v>
      </c>
      <c r="L311" t="s">
        <v>3426</v>
      </c>
      <c r="M311" t="s">
        <v>3427</v>
      </c>
      <c r="N311">
        <v>117659.73818356229</v>
      </c>
      <c r="O311">
        <v>119071.655041765</v>
      </c>
      <c r="P311">
        <v>124668.022828728</v>
      </c>
      <c r="Q311">
        <v>134641.46465502621</v>
      </c>
      <c r="R311">
        <v>140161.76470588229</v>
      </c>
      <c r="S311" t="s">
        <v>3428</v>
      </c>
      <c r="T311" t="s">
        <v>3429</v>
      </c>
      <c r="U311" t="s">
        <v>3430</v>
      </c>
      <c r="V311" t="s">
        <v>49</v>
      </c>
      <c r="W311">
        <v>338996155</v>
      </c>
      <c r="X311">
        <v>339500751</v>
      </c>
      <c r="Y311">
        <v>340560751</v>
      </c>
      <c r="Z311">
        <v>341660751</v>
      </c>
      <c r="AA311">
        <v>343660751</v>
      </c>
      <c r="AB311">
        <v>518520584.95294589</v>
      </c>
      <c r="AC311">
        <v>4406.9500149999994</v>
      </c>
      <c r="AD311">
        <v>525523912.02339822</v>
      </c>
      <c r="AE311">
        <v>4413.509763</v>
      </c>
      <c r="AF311">
        <v>551941461.24307775</v>
      </c>
      <c r="AG311">
        <v>4427.2897629999998</v>
      </c>
      <c r="AH311">
        <v>598022151.08709085</v>
      </c>
      <c r="AI311">
        <v>4441.5897629999999</v>
      </c>
      <c r="AJ311">
        <v>626185265.16401446</v>
      </c>
      <c r="AK311">
        <v>4467.5897629999999</v>
      </c>
    </row>
    <row r="312" spans="1:37" x14ac:dyDescent="0.35">
      <c r="A312" t="s">
        <v>3431</v>
      </c>
      <c r="B312">
        <v>17763.12</v>
      </c>
      <c r="C312" t="s">
        <v>3432</v>
      </c>
      <c r="D312" t="s">
        <v>3433</v>
      </c>
      <c r="E312" t="s">
        <v>3434</v>
      </c>
      <c r="F312">
        <v>2.0000000000000002E-5</v>
      </c>
      <c r="G312" t="s">
        <v>3435</v>
      </c>
      <c r="H312">
        <v>0.7</v>
      </c>
      <c r="I312">
        <v>510.2</v>
      </c>
      <c r="J312" t="s">
        <v>3436</v>
      </c>
      <c r="K312" t="s">
        <v>3437</v>
      </c>
      <c r="L312" t="s">
        <v>3438</v>
      </c>
      <c r="M312" t="s">
        <v>3439</v>
      </c>
      <c r="N312">
        <v>139909.45679855629</v>
      </c>
      <c r="O312">
        <v>141588.370280139</v>
      </c>
      <c r="P312">
        <v>148243.02368330551</v>
      </c>
      <c r="Q312">
        <v>160102.46557796991</v>
      </c>
      <c r="R312">
        <v>166666.66666666669</v>
      </c>
      <c r="S312" t="s">
        <v>3440</v>
      </c>
      <c r="T312" t="s">
        <v>3441</v>
      </c>
      <c r="U312" t="s">
        <v>3442</v>
      </c>
      <c r="V312" t="s">
        <v>1090</v>
      </c>
      <c r="W312">
        <v>125425284</v>
      </c>
      <c r="X312">
        <v>126003478.59999999</v>
      </c>
      <c r="Y312">
        <v>126003478.59999999</v>
      </c>
      <c r="Z312">
        <v>126103478.59999999</v>
      </c>
      <c r="AA312">
        <v>126103478.59999999</v>
      </c>
      <c r="AB312">
        <v>350963667.06489313</v>
      </c>
      <c r="AC312">
        <v>2508.5056800000002</v>
      </c>
      <c r="AD312">
        <v>356812543.69204742</v>
      </c>
      <c r="AE312">
        <v>2520.0695719999999</v>
      </c>
      <c r="AF312">
        <v>373582733.24557352</v>
      </c>
      <c r="AG312">
        <v>2520.0695719999999</v>
      </c>
      <c r="AH312">
        <v>403789556.83637542</v>
      </c>
      <c r="AI312">
        <v>2522.0695719999999</v>
      </c>
      <c r="AJ312">
        <v>420344928.66666669</v>
      </c>
      <c r="AK312">
        <v>2522.0695719999999</v>
      </c>
    </row>
    <row r="313" spans="1:37" x14ac:dyDescent="0.35">
      <c r="A313" t="s">
        <v>3443</v>
      </c>
      <c r="B313">
        <v>17763.12</v>
      </c>
      <c r="C313" t="s">
        <v>3432</v>
      </c>
      <c r="D313" t="s">
        <v>3444</v>
      </c>
      <c r="E313" t="s">
        <v>3445</v>
      </c>
      <c r="F313">
        <v>2.0000000000000002E-5</v>
      </c>
      <c r="G313" t="s">
        <v>3446</v>
      </c>
      <c r="H313">
        <v>0.5</v>
      </c>
      <c r="I313">
        <v>0.85</v>
      </c>
      <c r="J313" t="s">
        <v>3447</v>
      </c>
      <c r="K313" t="s">
        <v>3448</v>
      </c>
      <c r="L313" t="s">
        <v>3449</v>
      </c>
      <c r="M313" t="s">
        <v>3450</v>
      </c>
      <c r="N313">
        <v>139909.45679855629</v>
      </c>
      <c r="O313">
        <v>141588.370280139</v>
      </c>
      <c r="P313">
        <v>148243.02368330551</v>
      </c>
      <c r="Q313">
        <v>160102.46557796991</v>
      </c>
      <c r="R313">
        <v>166666.66666666669</v>
      </c>
      <c r="S313" t="s">
        <v>3451</v>
      </c>
      <c r="T313" t="s">
        <v>3452</v>
      </c>
      <c r="U313" t="s">
        <v>3453</v>
      </c>
      <c r="V313" t="s">
        <v>1090</v>
      </c>
      <c r="W313">
        <v>125425284</v>
      </c>
      <c r="X313">
        <v>126003478.59999999</v>
      </c>
      <c r="Y313">
        <v>126003478.59999999</v>
      </c>
      <c r="Z313">
        <v>126103478.59999999</v>
      </c>
      <c r="AA313">
        <v>126103478.59999999</v>
      </c>
      <c r="AB313">
        <v>350963667.06489313</v>
      </c>
      <c r="AC313">
        <v>2508.5056800000002</v>
      </c>
      <c r="AD313">
        <v>356812543.69204742</v>
      </c>
      <c r="AE313">
        <v>2520.0695719999999</v>
      </c>
      <c r="AF313">
        <v>373582733.24557352</v>
      </c>
      <c r="AG313">
        <v>2520.0695719999999</v>
      </c>
      <c r="AH313">
        <v>403789556.83637542</v>
      </c>
      <c r="AI313">
        <v>2522.0695719999999</v>
      </c>
      <c r="AJ313">
        <v>420344928.66666669</v>
      </c>
      <c r="AK313">
        <v>2522.0695719999999</v>
      </c>
    </row>
    <row r="314" spans="1:37" x14ac:dyDescent="0.35">
      <c r="A314" t="s">
        <v>3454</v>
      </c>
      <c r="B314">
        <v>17763.12</v>
      </c>
      <c r="C314" t="s">
        <v>3432</v>
      </c>
      <c r="D314" t="s">
        <v>3455</v>
      </c>
      <c r="E314" t="s">
        <v>3456</v>
      </c>
      <c r="F314">
        <v>2.0000000000000002E-5</v>
      </c>
      <c r="G314" t="s">
        <v>3457</v>
      </c>
      <c r="H314">
        <v>0.6</v>
      </c>
      <c r="I314">
        <v>8.0500000000000007</v>
      </c>
      <c r="J314" t="s">
        <v>3458</v>
      </c>
      <c r="K314" t="s">
        <v>3459</v>
      </c>
      <c r="L314" t="s">
        <v>3460</v>
      </c>
      <c r="M314" t="s">
        <v>3461</v>
      </c>
      <c r="N314">
        <v>139909.45679855629</v>
      </c>
      <c r="O314">
        <v>141588.370280139</v>
      </c>
      <c r="P314">
        <v>148243.02368330551</v>
      </c>
      <c r="Q314">
        <v>160102.46557796991</v>
      </c>
      <c r="R314">
        <v>166666.66666666669</v>
      </c>
      <c r="S314" t="s">
        <v>3462</v>
      </c>
      <c r="T314" t="s">
        <v>3463</v>
      </c>
      <c r="U314" t="s">
        <v>3464</v>
      </c>
      <c r="V314" t="s">
        <v>1090</v>
      </c>
      <c r="W314">
        <v>125425284</v>
      </c>
      <c r="X314">
        <v>126003478.59999999</v>
      </c>
      <c r="Y314">
        <v>126003478.59999999</v>
      </c>
      <c r="Z314">
        <v>126103478.59999999</v>
      </c>
      <c r="AA314">
        <v>126103478.59999999</v>
      </c>
      <c r="AB314">
        <v>350963667.06489313</v>
      </c>
      <c r="AC314">
        <v>2508.5056800000002</v>
      </c>
      <c r="AD314">
        <v>356812543.69204742</v>
      </c>
      <c r="AE314">
        <v>2520.0695719999999</v>
      </c>
      <c r="AF314">
        <v>373582733.24557352</v>
      </c>
      <c r="AG314">
        <v>2520.0695719999999</v>
      </c>
      <c r="AH314">
        <v>403789556.83637542</v>
      </c>
      <c r="AI314">
        <v>2522.0695719999999</v>
      </c>
      <c r="AJ314">
        <v>420344928.66666669</v>
      </c>
      <c r="AK314">
        <v>2522.0695719999999</v>
      </c>
    </row>
    <row r="315" spans="1:37" x14ac:dyDescent="0.35">
      <c r="A315" t="s">
        <v>3465</v>
      </c>
      <c r="B315">
        <v>38.18</v>
      </c>
      <c r="C315" t="s">
        <v>1019</v>
      </c>
      <c r="D315" t="s">
        <v>3466</v>
      </c>
      <c r="E315" t="s">
        <v>3467</v>
      </c>
      <c r="F315">
        <v>0.28999999999999998</v>
      </c>
      <c r="G315" t="s">
        <v>3468</v>
      </c>
      <c r="H315">
        <v>20.6</v>
      </c>
      <c r="I315">
        <v>0</v>
      </c>
      <c r="J315" t="s">
        <v>3469</v>
      </c>
      <c r="K315" t="s">
        <v>3470</v>
      </c>
      <c r="L315" t="s">
        <v>3471</v>
      </c>
      <c r="M315" t="s">
        <v>3472</v>
      </c>
      <c r="N315">
        <v>349.3072771403954</v>
      </c>
      <c r="O315">
        <v>353.49896446608022</v>
      </c>
      <c r="P315">
        <v>370.11341579598587</v>
      </c>
      <c r="Q315">
        <v>399.72248905966478</v>
      </c>
      <c r="R315">
        <v>416.11111111111109</v>
      </c>
      <c r="S315" t="s">
        <v>3473</v>
      </c>
      <c r="T315" t="s">
        <v>3474</v>
      </c>
      <c r="U315" t="s">
        <v>3475</v>
      </c>
      <c r="V315" t="s">
        <v>1029</v>
      </c>
      <c r="W315">
        <v>139921842</v>
      </c>
      <c r="X315">
        <v>139603232</v>
      </c>
      <c r="Y315">
        <v>140663232</v>
      </c>
      <c r="Z315">
        <v>141763232</v>
      </c>
      <c r="AA315">
        <v>143763232</v>
      </c>
      <c r="AB315">
        <v>14173958116.0317</v>
      </c>
      <c r="AC315">
        <v>40577334.18</v>
      </c>
      <c r="AD315">
        <v>14311383404.954201</v>
      </c>
      <c r="AE315">
        <v>40484937.279999986</v>
      </c>
      <c r="AF315">
        <v>15097791289.002741</v>
      </c>
      <c r="AG315">
        <v>40792337.279999986</v>
      </c>
      <c r="AH315">
        <v>16433126066.13299</v>
      </c>
      <c r="AI315">
        <v>41111337.279999986</v>
      </c>
      <c r="AJ315">
        <v>17348228679.288891</v>
      </c>
      <c r="AK315">
        <v>41691337.279999986</v>
      </c>
    </row>
    <row r="316" spans="1:37" x14ac:dyDescent="0.35">
      <c r="A316" t="s">
        <v>3476</v>
      </c>
      <c r="B316">
        <v>12.97</v>
      </c>
      <c r="C316" t="s">
        <v>1019</v>
      </c>
      <c r="D316" t="s">
        <v>3477</v>
      </c>
      <c r="E316" t="s">
        <v>3478</v>
      </c>
      <c r="F316">
        <v>0.28999999999999998</v>
      </c>
      <c r="G316" t="s">
        <v>3479</v>
      </c>
      <c r="H316">
        <v>30.2</v>
      </c>
      <c r="I316">
        <v>0</v>
      </c>
      <c r="J316" t="s">
        <v>3480</v>
      </c>
      <c r="K316" t="s">
        <v>3481</v>
      </c>
      <c r="L316" t="s">
        <v>3482</v>
      </c>
      <c r="M316" t="s">
        <v>3483</v>
      </c>
      <c r="N316">
        <v>349.3072771403954</v>
      </c>
      <c r="O316">
        <v>353.49896446608022</v>
      </c>
      <c r="P316">
        <v>370.11341579598587</v>
      </c>
      <c r="Q316">
        <v>399.72248905966478</v>
      </c>
      <c r="R316">
        <v>416.11111111111109</v>
      </c>
      <c r="S316" t="s">
        <v>3484</v>
      </c>
      <c r="T316" t="s">
        <v>3485</v>
      </c>
      <c r="U316" t="s">
        <v>3486</v>
      </c>
      <c r="V316" t="s">
        <v>1029</v>
      </c>
      <c r="W316">
        <v>139921842</v>
      </c>
      <c r="X316">
        <v>139603232</v>
      </c>
      <c r="Y316">
        <v>140663232</v>
      </c>
      <c r="Z316">
        <v>141763232</v>
      </c>
      <c r="AA316">
        <v>143763232</v>
      </c>
      <c r="AB316">
        <v>14173958116.0317</v>
      </c>
      <c r="AC316">
        <v>40577334.18</v>
      </c>
      <c r="AD316">
        <v>14311383404.954201</v>
      </c>
      <c r="AE316">
        <v>40484937.279999986</v>
      </c>
      <c r="AF316">
        <v>15097791289.002741</v>
      </c>
      <c r="AG316">
        <v>40792337.279999986</v>
      </c>
      <c r="AH316">
        <v>16433126066.13299</v>
      </c>
      <c r="AI316">
        <v>41111337.279999986</v>
      </c>
      <c r="AJ316">
        <v>17348228679.288891</v>
      </c>
      <c r="AK316">
        <v>41691337.279999986</v>
      </c>
    </row>
    <row r="317" spans="1:37" x14ac:dyDescent="0.35">
      <c r="A317" t="s">
        <v>3487</v>
      </c>
      <c r="B317">
        <v>10.97</v>
      </c>
      <c r="C317" t="s">
        <v>1019</v>
      </c>
      <c r="D317" t="s">
        <v>3488</v>
      </c>
      <c r="E317" t="s">
        <v>3489</v>
      </c>
      <c r="F317">
        <v>0.28999999999999998</v>
      </c>
      <c r="G317" t="s">
        <v>3490</v>
      </c>
      <c r="H317">
        <v>15.3</v>
      </c>
      <c r="I317">
        <v>0</v>
      </c>
      <c r="J317" t="s">
        <v>3491</v>
      </c>
      <c r="K317" t="s">
        <v>3492</v>
      </c>
      <c r="L317" t="s">
        <v>3493</v>
      </c>
      <c r="M317" t="s">
        <v>3494</v>
      </c>
      <c r="N317">
        <v>349.3072771403954</v>
      </c>
      <c r="O317">
        <v>353.49896446608022</v>
      </c>
      <c r="P317">
        <v>370.11341579598587</v>
      </c>
      <c r="Q317">
        <v>399.72248905966478</v>
      </c>
      <c r="R317">
        <v>416.11111111111109</v>
      </c>
      <c r="S317" t="s">
        <v>1027</v>
      </c>
      <c r="T317" t="s">
        <v>3495</v>
      </c>
      <c r="U317" t="s">
        <v>3496</v>
      </c>
      <c r="V317" t="s">
        <v>1029</v>
      </c>
      <c r="W317">
        <v>139921842</v>
      </c>
      <c r="X317">
        <v>139603232</v>
      </c>
      <c r="Y317">
        <v>140663232</v>
      </c>
      <c r="Z317">
        <v>141763232</v>
      </c>
      <c r="AA317">
        <v>143763232</v>
      </c>
      <c r="AB317">
        <v>14173958116.0317</v>
      </c>
      <c r="AC317">
        <v>40577334.18</v>
      </c>
      <c r="AD317">
        <v>14311383404.954201</v>
      </c>
      <c r="AE317">
        <v>40484937.279999986</v>
      </c>
      <c r="AF317">
        <v>15097791289.002741</v>
      </c>
      <c r="AG317">
        <v>40792337.279999986</v>
      </c>
      <c r="AH317">
        <v>16433126066.13299</v>
      </c>
      <c r="AI317">
        <v>41111337.279999986</v>
      </c>
      <c r="AJ317">
        <v>17348228679.288891</v>
      </c>
      <c r="AK317">
        <v>41691337.279999986</v>
      </c>
    </row>
    <row r="318" spans="1:37" x14ac:dyDescent="0.35">
      <c r="A318" t="s">
        <v>3497</v>
      </c>
      <c r="B318">
        <v>1259.99</v>
      </c>
      <c r="C318" t="s">
        <v>231</v>
      </c>
      <c r="D318" t="s">
        <v>3498</v>
      </c>
      <c r="E318" t="s">
        <v>3499</v>
      </c>
      <c r="F318">
        <v>0.191</v>
      </c>
      <c r="G318" t="s">
        <v>3500</v>
      </c>
      <c r="H318">
        <v>30.2</v>
      </c>
      <c r="I318">
        <v>0.02</v>
      </c>
      <c r="J318" t="s">
        <v>3501</v>
      </c>
      <c r="K318" t="s">
        <v>3502</v>
      </c>
      <c r="L318" t="s">
        <v>3503</v>
      </c>
      <c r="M318" t="s">
        <v>3504</v>
      </c>
      <c r="N318">
        <v>725.9551939635088</v>
      </c>
      <c r="O318">
        <v>734.66665629107092</v>
      </c>
      <c r="P318">
        <v>769.19598913675122</v>
      </c>
      <c r="Q318">
        <v>830.73166826769136</v>
      </c>
      <c r="R318">
        <v>864.79166666666663</v>
      </c>
      <c r="S318" t="s">
        <v>3505</v>
      </c>
      <c r="T318" t="s">
        <v>3506</v>
      </c>
      <c r="U318" t="s">
        <v>3507</v>
      </c>
      <c r="V318" t="s">
        <v>94</v>
      </c>
      <c r="W318">
        <v>265472419.80000001</v>
      </c>
      <c r="X318">
        <v>266439117.80000001</v>
      </c>
      <c r="Y318">
        <v>267499117.80000001</v>
      </c>
      <c r="Z318">
        <v>268599117.80000001</v>
      </c>
      <c r="AA318">
        <v>270179117.80000001</v>
      </c>
      <c r="AB318">
        <v>36809726663.503357</v>
      </c>
      <c r="AC318">
        <v>50705232.1818</v>
      </c>
      <c r="AD318">
        <v>37387091733.840332</v>
      </c>
      <c r="AE318">
        <v>50889871.499799997</v>
      </c>
      <c r="AF318">
        <v>39300016465.291458</v>
      </c>
      <c r="AG318">
        <v>51092331.499799997</v>
      </c>
      <c r="AH318">
        <v>42618554506.017807</v>
      </c>
      <c r="AI318">
        <v>51302431.499799997</v>
      </c>
      <c r="AJ318">
        <v>44626892069.931213</v>
      </c>
      <c r="AK318">
        <v>51604211.499799997</v>
      </c>
    </row>
    <row r="319" spans="1:37" x14ac:dyDescent="0.35">
      <c r="A319" t="s">
        <v>3508</v>
      </c>
      <c r="B319">
        <v>1349.99</v>
      </c>
      <c r="C319" t="s">
        <v>231</v>
      </c>
      <c r="D319" t="s">
        <v>3509</v>
      </c>
      <c r="E319" t="s">
        <v>3510</v>
      </c>
      <c r="F319">
        <v>0.191</v>
      </c>
      <c r="G319" t="s">
        <v>3511</v>
      </c>
      <c r="H319">
        <v>0.3</v>
      </c>
      <c r="I319">
        <v>0.02</v>
      </c>
      <c r="J319" t="s">
        <v>3512</v>
      </c>
      <c r="K319" t="s">
        <v>3513</v>
      </c>
      <c r="L319" t="s">
        <v>3514</v>
      </c>
      <c r="M319" t="s">
        <v>3515</v>
      </c>
      <c r="N319">
        <v>725.9551939635088</v>
      </c>
      <c r="O319">
        <v>734.66665629107092</v>
      </c>
      <c r="P319">
        <v>769.19598913675122</v>
      </c>
      <c r="Q319">
        <v>830.73166826769136</v>
      </c>
      <c r="R319">
        <v>864.79166666666663</v>
      </c>
      <c r="S319" t="s">
        <v>3516</v>
      </c>
      <c r="T319" t="s">
        <v>3517</v>
      </c>
      <c r="U319" t="s">
        <v>3518</v>
      </c>
      <c r="V319" t="s">
        <v>94</v>
      </c>
      <c r="W319">
        <v>265472419.80000001</v>
      </c>
      <c r="X319">
        <v>266439117.80000001</v>
      </c>
      <c r="Y319">
        <v>267499117.80000001</v>
      </c>
      <c r="Z319">
        <v>268599117.80000001</v>
      </c>
      <c r="AA319">
        <v>270179117.80000001</v>
      </c>
      <c r="AB319">
        <v>36809726663.503357</v>
      </c>
      <c r="AC319">
        <v>50705232.1818</v>
      </c>
      <c r="AD319">
        <v>37387091733.840332</v>
      </c>
      <c r="AE319">
        <v>50889871.499799997</v>
      </c>
      <c r="AF319">
        <v>39300016465.291458</v>
      </c>
      <c r="AG319">
        <v>51092331.499799997</v>
      </c>
      <c r="AH319">
        <v>42618554506.017807</v>
      </c>
      <c r="AI319">
        <v>51302431.499799997</v>
      </c>
      <c r="AJ319">
        <v>44626892069.931213</v>
      </c>
      <c r="AK319">
        <v>51604211.499799997</v>
      </c>
    </row>
    <row r="320" spans="1:37" x14ac:dyDescent="0.35">
      <c r="A320" t="s">
        <v>3519</v>
      </c>
      <c r="B320">
        <v>474.99</v>
      </c>
      <c r="C320" t="s">
        <v>231</v>
      </c>
      <c r="D320" t="s">
        <v>3520</v>
      </c>
      <c r="E320" t="s">
        <v>3521</v>
      </c>
      <c r="F320">
        <v>0.191</v>
      </c>
      <c r="G320" t="s">
        <v>3522</v>
      </c>
      <c r="H320">
        <v>25.1</v>
      </c>
      <c r="J320" t="s">
        <v>3523</v>
      </c>
      <c r="K320" t="s">
        <v>3524</v>
      </c>
      <c r="L320" t="s">
        <v>3525</v>
      </c>
      <c r="M320" t="s">
        <v>3526</v>
      </c>
      <c r="N320">
        <v>725.9551939635088</v>
      </c>
      <c r="O320">
        <v>734.66665629107092</v>
      </c>
      <c r="P320">
        <v>769.19598913675122</v>
      </c>
      <c r="Q320">
        <v>830.73166826769136</v>
      </c>
      <c r="R320">
        <v>864.79166666666663</v>
      </c>
      <c r="S320" t="s">
        <v>3527</v>
      </c>
      <c r="T320" t="s">
        <v>3528</v>
      </c>
      <c r="U320" t="s">
        <v>229</v>
      </c>
      <c r="V320" t="s">
        <v>94</v>
      </c>
      <c r="W320">
        <v>265472419.80000001</v>
      </c>
      <c r="X320">
        <v>266439117.80000001</v>
      </c>
      <c r="Y320">
        <v>267499117.80000001</v>
      </c>
      <c r="Z320">
        <v>268599117.80000001</v>
      </c>
      <c r="AA320">
        <v>270179117.80000001</v>
      </c>
      <c r="AB320">
        <v>36809726663.503357</v>
      </c>
      <c r="AC320">
        <v>50705232.1818</v>
      </c>
      <c r="AD320">
        <v>37387091733.840332</v>
      </c>
      <c r="AE320">
        <v>50889871.499799997</v>
      </c>
      <c r="AF320">
        <v>39300016465.291458</v>
      </c>
      <c r="AG320">
        <v>51092331.499799997</v>
      </c>
      <c r="AH320">
        <v>42618554506.017807</v>
      </c>
      <c r="AI320">
        <v>51302431.499799997</v>
      </c>
      <c r="AJ320">
        <v>44626892069.931213</v>
      </c>
      <c r="AK320">
        <v>51604211.499799997</v>
      </c>
    </row>
    <row r="321" spans="1:37" x14ac:dyDescent="0.35">
      <c r="A321" t="s">
        <v>3529</v>
      </c>
      <c r="B321">
        <v>0.99</v>
      </c>
      <c r="C321" t="s">
        <v>1748</v>
      </c>
      <c r="D321" t="s">
        <v>3530</v>
      </c>
      <c r="E321" t="s">
        <v>3531</v>
      </c>
      <c r="F321">
        <v>1E-3</v>
      </c>
      <c r="G321" t="s">
        <v>3532</v>
      </c>
      <c r="H321">
        <v>0.05</v>
      </c>
      <c r="I321">
        <v>0.01</v>
      </c>
      <c r="J321" t="s">
        <v>3533</v>
      </c>
      <c r="K321" t="s">
        <v>3534</v>
      </c>
      <c r="L321" t="s">
        <v>3535</v>
      </c>
      <c r="M321" t="s">
        <v>3536</v>
      </c>
      <c r="N321">
        <v>42.182701224764713</v>
      </c>
      <c r="O321">
        <v>42.688893639461888</v>
      </c>
      <c r="P321">
        <v>44.695271640516587</v>
      </c>
      <c r="Q321">
        <v>48.270893371757928</v>
      </c>
      <c r="R321">
        <v>50.25</v>
      </c>
      <c r="S321" t="s">
        <v>3537</v>
      </c>
      <c r="T321" t="s">
        <v>3538</v>
      </c>
      <c r="U321" t="s">
        <v>3539</v>
      </c>
      <c r="V321" t="s">
        <v>49</v>
      </c>
      <c r="W321">
        <v>338996155</v>
      </c>
      <c r="X321">
        <v>339500751</v>
      </c>
      <c r="Y321">
        <v>340560751</v>
      </c>
      <c r="Z321">
        <v>341660751</v>
      </c>
      <c r="AA321">
        <v>343660751</v>
      </c>
      <c r="AB321">
        <v>14299773.522709031</v>
      </c>
      <c r="AC321">
        <v>338996.15500000003</v>
      </c>
      <c r="AD321">
        <v>14492911.449956439</v>
      </c>
      <c r="AE321">
        <v>339500.75099999999</v>
      </c>
      <c r="AF321">
        <v>15221455.276043329</v>
      </c>
      <c r="AG321">
        <v>340560.75099999999</v>
      </c>
      <c r="AH321">
        <v>16492269.680835741</v>
      </c>
      <c r="AI321">
        <v>341660.75099999999</v>
      </c>
      <c r="AJ321">
        <v>17268952.737750001</v>
      </c>
      <c r="AK321">
        <v>343660.75099999999</v>
      </c>
    </row>
    <row r="322" spans="1:37" x14ac:dyDescent="0.35">
      <c r="A322" t="s">
        <v>3540</v>
      </c>
      <c r="B322">
        <v>1.65</v>
      </c>
      <c r="C322" t="s">
        <v>1748</v>
      </c>
      <c r="D322" t="s">
        <v>3541</v>
      </c>
      <c r="E322" t="s">
        <v>3542</v>
      </c>
      <c r="F322">
        <v>1E-3</v>
      </c>
      <c r="G322" t="s">
        <v>3543</v>
      </c>
      <c r="H322">
        <v>0.3</v>
      </c>
      <c r="I322">
        <v>0.5</v>
      </c>
      <c r="J322" t="s">
        <v>3544</v>
      </c>
      <c r="K322" t="s">
        <v>3545</v>
      </c>
      <c r="L322" t="s">
        <v>3546</v>
      </c>
      <c r="M322" t="s">
        <v>3547</v>
      </c>
      <c r="N322">
        <v>42.182701224764713</v>
      </c>
      <c r="O322">
        <v>42.688893639461888</v>
      </c>
      <c r="P322">
        <v>44.695271640516587</v>
      </c>
      <c r="Q322">
        <v>48.270893371757928</v>
      </c>
      <c r="R322">
        <v>50.25</v>
      </c>
      <c r="S322" t="s">
        <v>3548</v>
      </c>
      <c r="T322" t="s">
        <v>3549</v>
      </c>
      <c r="U322" t="s">
        <v>3550</v>
      </c>
      <c r="V322" t="s">
        <v>49</v>
      </c>
      <c r="W322">
        <v>338996155</v>
      </c>
      <c r="X322">
        <v>339500751</v>
      </c>
      <c r="Y322">
        <v>340560751</v>
      </c>
      <c r="Z322">
        <v>341660751</v>
      </c>
      <c r="AA322">
        <v>343660751</v>
      </c>
      <c r="AB322">
        <v>14299773.522709031</v>
      </c>
      <c r="AC322">
        <v>338996.15500000003</v>
      </c>
      <c r="AD322">
        <v>14492911.449956439</v>
      </c>
      <c r="AE322">
        <v>339500.75099999999</v>
      </c>
      <c r="AF322">
        <v>15221455.276043329</v>
      </c>
      <c r="AG322">
        <v>340560.75099999999</v>
      </c>
      <c r="AH322">
        <v>16492269.680835741</v>
      </c>
      <c r="AI322">
        <v>341660.75099999999</v>
      </c>
      <c r="AJ322">
        <v>17268952.737750001</v>
      </c>
      <c r="AK322">
        <v>343660.75099999999</v>
      </c>
    </row>
    <row r="323" spans="1:37" x14ac:dyDescent="0.35">
      <c r="A323" t="s">
        <v>3551</v>
      </c>
      <c r="B323">
        <v>2.57</v>
      </c>
      <c r="C323" t="s">
        <v>441</v>
      </c>
      <c r="D323" t="s">
        <v>3552</v>
      </c>
      <c r="E323" t="s">
        <v>3553</v>
      </c>
      <c r="F323">
        <v>3.2399999999999998E-2</v>
      </c>
      <c r="G323" t="s">
        <v>3554</v>
      </c>
      <c r="H323">
        <v>0.25</v>
      </c>
      <c r="J323" t="s">
        <v>3555</v>
      </c>
      <c r="K323" t="s">
        <v>3556</v>
      </c>
      <c r="L323" t="s">
        <v>3557</v>
      </c>
      <c r="M323" t="s">
        <v>3558</v>
      </c>
      <c r="N323">
        <v>8841.5781223847625</v>
      </c>
      <c r="O323">
        <v>8947.6770598533803</v>
      </c>
      <c r="P323">
        <v>9368.2178816664891</v>
      </c>
      <c r="Q323">
        <v>10117.67531219981</v>
      </c>
      <c r="R323">
        <v>10532.5</v>
      </c>
      <c r="S323" t="s">
        <v>3559</v>
      </c>
      <c r="T323" t="s">
        <v>3560</v>
      </c>
      <c r="U323" t="s">
        <v>3561</v>
      </c>
      <c r="V323" t="s">
        <v>49</v>
      </c>
      <c r="W323">
        <v>338996155</v>
      </c>
      <c r="X323">
        <v>339500751</v>
      </c>
      <c r="Y323">
        <v>340560751</v>
      </c>
      <c r="Z323">
        <v>341660751</v>
      </c>
      <c r="AA323">
        <v>343660751</v>
      </c>
      <c r="AB323">
        <v>97111255998.90593</v>
      </c>
      <c r="AC323">
        <v>10983475.422</v>
      </c>
      <c r="AD323">
        <v>98422875841.43251</v>
      </c>
      <c r="AE323">
        <v>10999824.3324</v>
      </c>
      <c r="AF323">
        <v>103370493080.90781</v>
      </c>
      <c r="AG323">
        <v>11034168.3324</v>
      </c>
      <c r="AH323">
        <v>112000726475.5072</v>
      </c>
      <c r="AI323">
        <v>11069808.3324</v>
      </c>
      <c r="AJ323">
        <v>117275262261.00301</v>
      </c>
      <c r="AK323">
        <v>11134608.3324</v>
      </c>
    </row>
    <row r="324" spans="1:37" x14ac:dyDescent="0.35">
      <c r="A324" t="s">
        <v>3562</v>
      </c>
      <c r="B324">
        <v>1.97</v>
      </c>
      <c r="C324" t="s">
        <v>1748</v>
      </c>
      <c r="D324" t="s">
        <v>3563</v>
      </c>
      <c r="E324" t="s">
        <v>3564</v>
      </c>
      <c r="F324">
        <v>1E-3</v>
      </c>
      <c r="G324" t="s">
        <v>3565</v>
      </c>
      <c r="H324">
        <v>5.25</v>
      </c>
      <c r="I324">
        <v>0.01</v>
      </c>
      <c r="J324" t="s">
        <v>3566</v>
      </c>
      <c r="K324" t="s">
        <v>3567</v>
      </c>
      <c r="L324" t="s">
        <v>3568</v>
      </c>
      <c r="M324" t="s">
        <v>3569</v>
      </c>
      <c r="N324">
        <v>42.182701224764713</v>
      </c>
      <c r="O324">
        <v>42.688893639461888</v>
      </c>
      <c r="P324">
        <v>44.695271640516587</v>
      </c>
      <c r="Q324">
        <v>48.270893371757928</v>
      </c>
      <c r="R324">
        <v>50.25</v>
      </c>
      <c r="S324" t="s">
        <v>3570</v>
      </c>
      <c r="T324" t="s">
        <v>3571</v>
      </c>
      <c r="U324" t="s">
        <v>3572</v>
      </c>
      <c r="V324" t="s">
        <v>49</v>
      </c>
      <c r="W324">
        <v>338996155</v>
      </c>
      <c r="X324">
        <v>339500751</v>
      </c>
      <c r="Y324">
        <v>340560751</v>
      </c>
      <c r="Z324">
        <v>341660751</v>
      </c>
      <c r="AA324">
        <v>343660751</v>
      </c>
      <c r="AB324">
        <v>14299773.522709031</v>
      </c>
      <c r="AC324">
        <v>338996.15500000003</v>
      </c>
      <c r="AD324">
        <v>14492911.449956439</v>
      </c>
      <c r="AE324">
        <v>339500.75099999999</v>
      </c>
      <c r="AF324">
        <v>15221455.276043329</v>
      </c>
      <c r="AG324">
        <v>340560.75099999999</v>
      </c>
      <c r="AH324">
        <v>16492269.680835741</v>
      </c>
      <c r="AI324">
        <v>341660.75099999999</v>
      </c>
      <c r="AJ324">
        <v>17268952.737750001</v>
      </c>
      <c r="AK324">
        <v>343660.75099999999</v>
      </c>
    </row>
    <row r="325" spans="1:37" x14ac:dyDescent="0.35">
      <c r="A325" t="s">
        <v>3573</v>
      </c>
      <c r="B325">
        <v>2.1</v>
      </c>
      <c r="C325" t="s">
        <v>1748</v>
      </c>
      <c r="D325" t="s">
        <v>3574</v>
      </c>
      <c r="E325" t="s">
        <v>3575</v>
      </c>
      <c r="F325">
        <v>1E-3</v>
      </c>
      <c r="G325" t="s">
        <v>3576</v>
      </c>
      <c r="H325">
        <v>0.1</v>
      </c>
      <c r="I325">
        <v>0.01</v>
      </c>
      <c r="J325" t="s">
        <v>3577</v>
      </c>
      <c r="K325" t="s">
        <v>3578</v>
      </c>
      <c r="L325" t="s">
        <v>3579</v>
      </c>
      <c r="M325" t="s">
        <v>3580</v>
      </c>
      <c r="N325">
        <v>42.182701224764713</v>
      </c>
      <c r="O325">
        <v>42.688893639461888</v>
      </c>
      <c r="P325">
        <v>44.695271640516587</v>
      </c>
      <c r="Q325">
        <v>48.270893371757928</v>
      </c>
      <c r="R325">
        <v>50.25</v>
      </c>
      <c r="S325" t="s">
        <v>3581</v>
      </c>
      <c r="T325" t="s">
        <v>3582</v>
      </c>
      <c r="U325" t="s">
        <v>3583</v>
      </c>
      <c r="V325" t="s">
        <v>49</v>
      </c>
      <c r="W325">
        <v>338996155</v>
      </c>
      <c r="X325">
        <v>339500751</v>
      </c>
      <c r="Y325">
        <v>340560751</v>
      </c>
      <c r="Z325">
        <v>341660751</v>
      </c>
      <c r="AA325">
        <v>343660751</v>
      </c>
      <c r="AB325">
        <v>14299773.522709031</v>
      </c>
      <c r="AC325">
        <v>338996.15500000003</v>
      </c>
      <c r="AD325">
        <v>14492911.449956439</v>
      </c>
      <c r="AE325">
        <v>339500.75099999999</v>
      </c>
      <c r="AF325">
        <v>15221455.276043329</v>
      </c>
      <c r="AG325">
        <v>340560.75099999999</v>
      </c>
      <c r="AH325">
        <v>16492269.680835741</v>
      </c>
      <c r="AI325">
        <v>341660.75099999999</v>
      </c>
      <c r="AJ325">
        <v>17268952.737750001</v>
      </c>
      <c r="AK325">
        <v>343660.75099999999</v>
      </c>
    </row>
    <row r="326" spans="1:37" x14ac:dyDescent="0.35">
      <c r="A326" t="s">
        <v>3584</v>
      </c>
      <c r="B326">
        <v>2.79</v>
      </c>
      <c r="C326" t="s">
        <v>418</v>
      </c>
      <c r="D326" t="s">
        <v>3585</v>
      </c>
      <c r="E326" t="s">
        <v>3586</v>
      </c>
      <c r="F326">
        <v>0.16200000000000001</v>
      </c>
      <c r="G326" t="s">
        <v>3587</v>
      </c>
      <c r="H326">
        <v>10.199999999999999</v>
      </c>
      <c r="I326">
        <v>0.01</v>
      </c>
      <c r="J326" t="s">
        <v>3588</v>
      </c>
      <c r="K326" t="s">
        <v>3589</v>
      </c>
      <c r="L326" t="s">
        <v>3590</v>
      </c>
      <c r="M326" t="s">
        <v>3591</v>
      </c>
      <c r="N326">
        <v>76.950201239205967</v>
      </c>
      <c r="O326">
        <v>77.873603654076433</v>
      </c>
      <c r="P326">
        <v>81.533663025818015</v>
      </c>
      <c r="Q326">
        <v>88.056356067883456</v>
      </c>
      <c r="R326">
        <v>91.666666666666671</v>
      </c>
      <c r="S326" t="s">
        <v>3592</v>
      </c>
      <c r="T326" t="s">
        <v>3593</v>
      </c>
      <c r="U326" t="s">
        <v>3594</v>
      </c>
      <c r="V326" t="s">
        <v>49</v>
      </c>
      <c r="W326">
        <v>338996155</v>
      </c>
      <c r="X326">
        <v>339500751</v>
      </c>
      <c r="Y326">
        <v>340560751</v>
      </c>
      <c r="Z326">
        <v>341660751</v>
      </c>
      <c r="AA326">
        <v>343660751</v>
      </c>
      <c r="AB326">
        <v>4225903220.1438642</v>
      </c>
      <c r="AC326">
        <v>54917377.109999999</v>
      </c>
      <c r="AD326">
        <v>4282979801.6289182</v>
      </c>
      <c r="AE326">
        <v>54999121.662</v>
      </c>
      <c r="AF326">
        <v>4498280812.92027</v>
      </c>
      <c r="AG326">
        <v>55170841.662</v>
      </c>
      <c r="AH326">
        <v>4873834920.6051884</v>
      </c>
      <c r="AI326">
        <v>55349041.662</v>
      </c>
      <c r="AJ326">
        <v>5103362152.3500004</v>
      </c>
      <c r="AK326">
        <v>55673041.662</v>
      </c>
    </row>
    <row r="327" spans="1:37" x14ac:dyDescent="0.35">
      <c r="A327" t="s">
        <v>3595</v>
      </c>
      <c r="B327">
        <v>2.61</v>
      </c>
      <c r="C327" t="s">
        <v>418</v>
      </c>
      <c r="D327" t="s">
        <v>3596</v>
      </c>
      <c r="E327" t="s">
        <v>3597</v>
      </c>
      <c r="F327">
        <v>0.16200000000000001</v>
      </c>
      <c r="G327" t="s">
        <v>3598</v>
      </c>
      <c r="H327">
        <v>1</v>
      </c>
      <c r="I327">
        <v>0</v>
      </c>
      <c r="J327" t="s">
        <v>3599</v>
      </c>
      <c r="K327" t="s">
        <v>3600</v>
      </c>
      <c r="L327" t="s">
        <v>3601</v>
      </c>
      <c r="M327" t="s">
        <v>3602</v>
      </c>
      <c r="N327">
        <v>76.950201239205967</v>
      </c>
      <c r="O327">
        <v>77.873603654076433</v>
      </c>
      <c r="P327">
        <v>81.533663025818015</v>
      </c>
      <c r="Q327">
        <v>88.056356067883456</v>
      </c>
      <c r="R327">
        <v>91.666666666666671</v>
      </c>
      <c r="S327" t="s">
        <v>3603</v>
      </c>
      <c r="T327" t="s">
        <v>3604</v>
      </c>
      <c r="U327" t="s">
        <v>3605</v>
      </c>
      <c r="V327" t="s">
        <v>49</v>
      </c>
      <c r="W327">
        <v>338996155</v>
      </c>
      <c r="X327">
        <v>339500751</v>
      </c>
      <c r="Y327">
        <v>340560751</v>
      </c>
      <c r="Z327">
        <v>341660751</v>
      </c>
      <c r="AA327">
        <v>343660751</v>
      </c>
      <c r="AB327">
        <v>4225903220.1438642</v>
      </c>
      <c r="AC327">
        <v>54917377.109999999</v>
      </c>
      <c r="AD327">
        <v>4282979801.6289182</v>
      </c>
      <c r="AE327">
        <v>54999121.662</v>
      </c>
      <c r="AF327">
        <v>4498280812.92027</v>
      </c>
      <c r="AG327">
        <v>55170841.662</v>
      </c>
      <c r="AH327">
        <v>4873834920.6051884</v>
      </c>
      <c r="AI327">
        <v>55349041.662</v>
      </c>
      <c r="AJ327">
        <v>5103362152.3500004</v>
      </c>
      <c r="AK327">
        <v>55673041.662</v>
      </c>
    </row>
    <row r="328" spans="1:37" x14ac:dyDescent="0.35">
      <c r="A328" t="s">
        <v>3606</v>
      </c>
      <c r="B328">
        <v>1.97</v>
      </c>
      <c r="C328" t="s">
        <v>418</v>
      </c>
      <c r="D328" t="s">
        <v>3607</v>
      </c>
      <c r="E328" t="s">
        <v>3608</v>
      </c>
      <c r="F328">
        <v>0.16200000000000001</v>
      </c>
      <c r="G328" t="s">
        <v>3609</v>
      </c>
      <c r="H328">
        <v>0.1</v>
      </c>
      <c r="I328">
        <v>0.01</v>
      </c>
      <c r="J328" t="s">
        <v>3610</v>
      </c>
      <c r="K328" t="s">
        <v>3611</v>
      </c>
      <c r="L328" t="s">
        <v>3612</v>
      </c>
      <c r="M328" t="s">
        <v>3613</v>
      </c>
      <c r="N328">
        <v>76.950201239205967</v>
      </c>
      <c r="O328">
        <v>77.873603654076433</v>
      </c>
      <c r="P328">
        <v>81.533663025818015</v>
      </c>
      <c r="Q328">
        <v>88.056356067883456</v>
      </c>
      <c r="R328">
        <v>91.666666666666671</v>
      </c>
      <c r="S328" t="s">
        <v>3614</v>
      </c>
      <c r="T328" t="s">
        <v>3615</v>
      </c>
      <c r="U328" t="s">
        <v>1769</v>
      </c>
      <c r="V328" t="s">
        <v>49</v>
      </c>
      <c r="W328">
        <v>338996155</v>
      </c>
      <c r="X328">
        <v>339500751</v>
      </c>
      <c r="Y328">
        <v>340560751</v>
      </c>
      <c r="Z328">
        <v>341660751</v>
      </c>
      <c r="AA328">
        <v>343660751</v>
      </c>
      <c r="AB328">
        <v>4225903220.1438642</v>
      </c>
      <c r="AC328">
        <v>54917377.109999999</v>
      </c>
      <c r="AD328">
        <v>4282979801.6289182</v>
      </c>
      <c r="AE328">
        <v>54999121.662</v>
      </c>
      <c r="AF328">
        <v>4498280812.92027</v>
      </c>
      <c r="AG328">
        <v>55170841.662</v>
      </c>
      <c r="AH328">
        <v>4873834920.6051884</v>
      </c>
      <c r="AI328">
        <v>55349041.662</v>
      </c>
      <c r="AJ328">
        <v>5103362152.3500004</v>
      </c>
      <c r="AK328">
        <v>55673041.662</v>
      </c>
    </row>
    <row r="329" spans="1:37" x14ac:dyDescent="0.35">
      <c r="A329" t="s">
        <v>3616</v>
      </c>
      <c r="B329">
        <v>1.57</v>
      </c>
      <c r="C329" t="s">
        <v>1748</v>
      </c>
      <c r="D329" t="s">
        <v>3617</v>
      </c>
      <c r="E329" t="s">
        <v>3618</v>
      </c>
      <c r="F329">
        <v>1E-3</v>
      </c>
      <c r="G329" t="s">
        <v>3619</v>
      </c>
      <c r="H329">
        <v>0.3</v>
      </c>
      <c r="I329">
        <v>0.01</v>
      </c>
      <c r="J329" t="s">
        <v>3620</v>
      </c>
      <c r="K329" t="s">
        <v>3621</v>
      </c>
      <c r="L329" t="s">
        <v>3622</v>
      </c>
      <c r="M329" t="s">
        <v>3623</v>
      </c>
      <c r="N329">
        <v>42.182701224764713</v>
      </c>
      <c r="O329">
        <v>42.688893639461888</v>
      </c>
      <c r="P329">
        <v>44.695271640516587</v>
      </c>
      <c r="Q329">
        <v>48.270893371757928</v>
      </c>
      <c r="R329">
        <v>50.25</v>
      </c>
      <c r="S329" t="s">
        <v>3624</v>
      </c>
      <c r="T329" t="s">
        <v>3625</v>
      </c>
      <c r="U329" t="s">
        <v>3626</v>
      </c>
      <c r="V329" t="s">
        <v>49</v>
      </c>
      <c r="W329">
        <v>338996155</v>
      </c>
      <c r="X329">
        <v>339500751</v>
      </c>
      <c r="Y329">
        <v>340560751</v>
      </c>
      <c r="Z329">
        <v>341660751</v>
      </c>
      <c r="AA329">
        <v>343660751</v>
      </c>
      <c r="AB329">
        <v>14299773.522709031</v>
      </c>
      <c r="AC329">
        <v>338996.15500000003</v>
      </c>
      <c r="AD329">
        <v>14492911.449956439</v>
      </c>
      <c r="AE329">
        <v>339500.75099999999</v>
      </c>
      <c r="AF329">
        <v>15221455.276043329</v>
      </c>
      <c r="AG329">
        <v>340560.75099999999</v>
      </c>
      <c r="AH329">
        <v>16492269.680835741</v>
      </c>
      <c r="AI329">
        <v>341660.75099999999</v>
      </c>
      <c r="AJ329">
        <v>17268952.737750001</v>
      </c>
      <c r="AK329">
        <v>343660.75099999999</v>
      </c>
    </row>
    <row r="330" spans="1:37" x14ac:dyDescent="0.35">
      <c r="A330" t="s">
        <v>3627</v>
      </c>
      <c r="B330">
        <v>2.39</v>
      </c>
      <c r="C330" t="s">
        <v>231</v>
      </c>
      <c r="D330" t="s">
        <v>3628</v>
      </c>
      <c r="E330" t="s">
        <v>3629</v>
      </c>
      <c r="F330">
        <v>0.191</v>
      </c>
      <c r="G330" t="s">
        <v>3630</v>
      </c>
      <c r="H330">
        <v>0.25</v>
      </c>
      <c r="J330" t="s">
        <v>3631</v>
      </c>
      <c r="K330" t="s">
        <v>3632</v>
      </c>
      <c r="L330" t="s">
        <v>3633</v>
      </c>
      <c r="M330" t="s">
        <v>3634</v>
      </c>
      <c r="N330">
        <v>725.9551939635088</v>
      </c>
      <c r="O330">
        <v>734.66665629107092</v>
      </c>
      <c r="P330">
        <v>769.19598913675122</v>
      </c>
      <c r="Q330">
        <v>830.73166826769136</v>
      </c>
      <c r="R330">
        <v>864.79166666666663</v>
      </c>
      <c r="S330" t="s">
        <v>3635</v>
      </c>
      <c r="T330" t="s">
        <v>3636</v>
      </c>
      <c r="U330" t="s">
        <v>3637</v>
      </c>
      <c r="V330" t="s">
        <v>94</v>
      </c>
      <c r="W330">
        <v>265472419.80000001</v>
      </c>
      <c r="X330">
        <v>266439117.80000001</v>
      </c>
      <c r="Y330">
        <v>267499117.80000001</v>
      </c>
      <c r="Z330">
        <v>268599117.80000001</v>
      </c>
      <c r="AA330">
        <v>270179117.80000001</v>
      </c>
      <c r="AB330">
        <v>36809726663.503357</v>
      </c>
      <c r="AC330">
        <v>50705232.1818</v>
      </c>
      <c r="AD330">
        <v>37387091733.840332</v>
      </c>
      <c r="AE330">
        <v>50889871.499799997</v>
      </c>
      <c r="AF330">
        <v>39300016465.291458</v>
      </c>
      <c r="AG330">
        <v>51092331.499799997</v>
      </c>
      <c r="AH330">
        <v>42618554506.017807</v>
      </c>
      <c r="AI330">
        <v>51302431.499799997</v>
      </c>
      <c r="AJ330">
        <v>44626892069.931213</v>
      </c>
      <c r="AK330">
        <v>51604211.499799997</v>
      </c>
    </row>
    <row r="331" spans="1:37" x14ac:dyDescent="0.35">
      <c r="A331" t="s">
        <v>3638</v>
      </c>
      <c r="B331">
        <v>3.14</v>
      </c>
      <c r="C331" t="s">
        <v>1748</v>
      </c>
      <c r="D331" t="s">
        <v>3639</v>
      </c>
      <c r="E331" t="s">
        <v>3640</v>
      </c>
      <c r="F331">
        <v>1E-3</v>
      </c>
      <c r="G331" t="s">
        <v>3641</v>
      </c>
      <c r="H331">
        <v>5.0999999999999996</v>
      </c>
      <c r="J331" t="s">
        <v>3642</v>
      </c>
      <c r="K331" t="s">
        <v>3643</v>
      </c>
      <c r="L331" t="s">
        <v>3644</v>
      </c>
      <c r="M331" t="s">
        <v>3645</v>
      </c>
      <c r="N331">
        <v>42.182701224764713</v>
      </c>
      <c r="O331">
        <v>42.688893639461888</v>
      </c>
      <c r="P331">
        <v>44.695271640516587</v>
      </c>
      <c r="Q331">
        <v>48.270893371757928</v>
      </c>
      <c r="R331">
        <v>50.25</v>
      </c>
      <c r="S331" t="s">
        <v>3646</v>
      </c>
      <c r="T331" t="s">
        <v>3647</v>
      </c>
      <c r="U331" t="s">
        <v>3648</v>
      </c>
      <c r="V331" t="s">
        <v>49</v>
      </c>
      <c r="W331">
        <v>338996155</v>
      </c>
      <c r="X331">
        <v>339500751</v>
      </c>
      <c r="Y331">
        <v>340560751</v>
      </c>
      <c r="Z331">
        <v>341660751</v>
      </c>
      <c r="AA331">
        <v>343660751</v>
      </c>
      <c r="AB331">
        <v>14299773.522709031</v>
      </c>
      <c r="AC331">
        <v>338996.15500000003</v>
      </c>
      <c r="AD331">
        <v>14492911.449956439</v>
      </c>
      <c r="AE331">
        <v>339500.75099999999</v>
      </c>
      <c r="AF331">
        <v>15221455.276043329</v>
      </c>
      <c r="AG331">
        <v>340560.75099999999</v>
      </c>
      <c r="AH331">
        <v>16492269.680835741</v>
      </c>
      <c r="AI331">
        <v>341660.75099999999</v>
      </c>
      <c r="AJ331">
        <v>17268952.737750001</v>
      </c>
      <c r="AK331">
        <v>343660.75099999999</v>
      </c>
    </row>
    <row r="332" spans="1:37" x14ac:dyDescent="0.35">
      <c r="A332" t="s">
        <v>3649</v>
      </c>
      <c r="B332">
        <v>3.48</v>
      </c>
      <c r="C332" t="s">
        <v>1748</v>
      </c>
      <c r="D332" t="s">
        <v>3650</v>
      </c>
      <c r="E332" t="s">
        <v>3651</v>
      </c>
      <c r="F332">
        <v>1E-3</v>
      </c>
      <c r="G332" t="s">
        <v>3652</v>
      </c>
      <c r="H332">
        <v>0.2</v>
      </c>
      <c r="I332">
        <v>0.3</v>
      </c>
      <c r="J332" t="s">
        <v>3653</v>
      </c>
      <c r="K332" t="s">
        <v>3654</v>
      </c>
      <c r="L332" t="s">
        <v>3655</v>
      </c>
      <c r="M332" t="s">
        <v>3656</v>
      </c>
      <c r="N332">
        <v>42.182701224764713</v>
      </c>
      <c r="O332">
        <v>42.688893639461888</v>
      </c>
      <c r="P332">
        <v>44.695271640516587</v>
      </c>
      <c r="Q332">
        <v>48.270893371757928</v>
      </c>
      <c r="R332">
        <v>50.25</v>
      </c>
      <c r="S332" t="s">
        <v>3657</v>
      </c>
      <c r="T332" t="s">
        <v>3658</v>
      </c>
      <c r="U332" t="s">
        <v>3659</v>
      </c>
      <c r="V332" t="s">
        <v>49</v>
      </c>
      <c r="W332">
        <v>338996155</v>
      </c>
      <c r="X332">
        <v>339500751</v>
      </c>
      <c r="Y332">
        <v>340560751</v>
      </c>
      <c r="Z332">
        <v>341660751</v>
      </c>
      <c r="AA332">
        <v>343660751</v>
      </c>
      <c r="AB332">
        <v>14299773.522709031</v>
      </c>
      <c r="AC332">
        <v>338996.15500000003</v>
      </c>
      <c r="AD332">
        <v>14492911.449956439</v>
      </c>
      <c r="AE332">
        <v>339500.75099999999</v>
      </c>
      <c r="AF332">
        <v>15221455.276043329</v>
      </c>
      <c r="AG332">
        <v>340560.75099999999</v>
      </c>
      <c r="AH332">
        <v>16492269.680835741</v>
      </c>
      <c r="AI332">
        <v>341660.75099999999</v>
      </c>
      <c r="AJ332">
        <v>17268952.737750001</v>
      </c>
      <c r="AK332">
        <v>343660.75099999999</v>
      </c>
    </row>
    <row r="333" spans="1:37" x14ac:dyDescent="0.35">
      <c r="A333" t="s">
        <v>3660</v>
      </c>
      <c r="B333">
        <v>1.95</v>
      </c>
      <c r="C333" t="s">
        <v>1748</v>
      </c>
      <c r="D333" t="s">
        <v>3661</v>
      </c>
      <c r="E333" t="s">
        <v>3662</v>
      </c>
      <c r="F333">
        <v>1E-3</v>
      </c>
      <c r="G333" t="s">
        <v>3663</v>
      </c>
      <c r="H333">
        <v>0.02</v>
      </c>
      <c r="I333">
        <v>0.2</v>
      </c>
      <c r="J333" t="s">
        <v>3664</v>
      </c>
      <c r="K333" t="s">
        <v>3665</v>
      </c>
      <c r="L333" t="s">
        <v>3666</v>
      </c>
      <c r="M333" t="s">
        <v>3667</v>
      </c>
      <c r="N333">
        <v>42.182701224764713</v>
      </c>
      <c r="O333">
        <v>42.688893639461888</v>
      </c>
      <c r="P333">
        <v>44.695271640516587</v>
      </c>
      <c r="Q333">
        <v>48.270893371757928</v>
      </c>
      <c r="R333">
        <v>50.25</v>
      </c>
      <c r="S333" t="s">
        <v>3668</v>
      </c>
      <c r="T333" t="s">
        <v>3669</v>
      </c>
      <c r="U333" t="s">
        <v>3670</v>
      </c>
      <c r="V333" t="s">
        <v>49</v>
      </c>
      <c r="W333">
        <v>338996155</v>
      </c>
      <c r="X333">
        <v>339500751</v>
      </c>
      <c r="Y333">
        <v>340560751</v>
      </c>
      <c r="Z333">
        <v>341660751</v>
      </c>
      <c r="AA333">
        <v>343660751</v>
      </c>
      <c r="AB333">
        <v>14299773.522709031</v>
      </c>
      <c r="AC333">
        <v>338996.15500000003</v>
      </c>
      <c r="AD333">
        <v>14492911.449956439</v>
      </c>
      <c r="AE333">
        <v>339500.75099999999</v>
      </c>
      <c r="AF333">
        <v>15221455.276043329</v>
      </c>
      <c r="AG333">
        <v>340560.75099999999</v>
      </c>
      <c r="AH333">
        <v>16492269.680835741</v>
      </c>
      <c r="AI333">
        <v>341660.75099999999</v>
      </c>
      <c r="AJ333">
        <v>17268952.737750001</v>
      </c>
      <c r="AK333">
        <v>343660.75099999999</v>
      </c>
    </row>
    <row r="334" spans="1:37" x14ac:dyDescent="0.35">
      <c r="A334" t="s">
        <v>3671</v>
      </c>
      <c r="B334">
        <v>26519.56</v>
      </c>
      <c r="C334" t="s">
        <v>255</v>
      </c>
      <c r="D334" t="s">
        <v>3672</v>
      </c>
      <c r="E334" t="s">
        <v>3673</v>
      </c>
      <c r="F334">
        <v>4.1999999999999998E-5</v>
      </c>
      <c r="G334" t="s">
        <v>3674</v>
      </c>
      <c r="H334">
        <v>0.6</v>
      </c>
      <c r="I334">
        <v>3.05</v>
      </c>
      <c r="J334" t="s">
        <v>3675</v>
      </c>
      <c r="K334" t="s">
        <v>3676</v>
      </c>
      <c r="L334" t="s">
        <v>3677</v>
      </c>
      <c r="M334" t="s">
        <v>3678</v>
      </c>
      <c r="N334">
        <v>118710.1325836446</v>
      </c>
      <c r="O334">
        <v>120134.6541746483</v>
      </c>
      <c r="P334">
        <v>125780.9829208568</v>
      </c>
      <c r="Q334">
        <v>135843.46155452539</v>
      </c>
      <c r="R334">
        <v>141413.04347826089</v>
      </c>
      <c r="S334" t="s">
        <v>3679</v>
      </c>
      <c r="T334" t="s">
        <v>3680</v>
      </c>
      <c r="U334" t="s">
        <v>3681</v>
      </c>
      <c r="V334" t="s">
        <v>94</v>
      </c>
      <c r="W334">
        <v>265472419.80000001</v>
      </c>
      <c r="X334">
        <v>266439117.80000001</v>
      </c>
      <c r="Y334">
        <v>267499117.80000001</v>
      </c>
      <c r="Z334">
        <v>268599117.80000001</v>
      </c>
      <c r="AA334">
        <v>270179117.80000001</v>
      </c>
      <c r="AB334">
        <v>1323599178.3738761</v>
      </c>
      <c r="AC334">
        <v>11149.8416316</v>
      </c>
      <c r="AD334">
        <v>1344359993.571058</v>
      </c>
      <c r="AE334">
        <v>11190.4429476</v>
      </c>
      <c r="AF334">
        <v>1413144682.628535</v>
      </c>
      <c r="AG334">
        <v>11234.962947599999</v>
      </c>
      <c r="AH334">
        <v>1532472225.162637</v>
      </c>
      <c r="AI334">
        <v>11281.1629476</v>
      </c>
      <c r="AJ334">
        <v>1604687755.959522</v>
      </c>
      <c r="AK334">
        <v>11347.5229476</v>
      </c>
    </row>
    <row r="335" spans="1:37" x14ac:dyDescent="0.35">
      <c r="A335" t="s">
        <v>3682</v>
      </c>
      <c r="B335">
        <v>25357.85</v>
      </c>
      <c r="C335" t="s">
        <v>278</v>
      </c>
      <c r="D335" t="s">
        <v>3683</v>
      </c>
      <c r="E335" t="s">
        <v>3684</v>
      </c>
      <c r="F335">
        <v>1.2999999999999999E-5</v>
      </c>
      <c r="G335" t="s">
        <v>3685</v>
      </c>
      <c r="H335">
        <v>0.2</v>
      </c>
      <c r="I335">
        <v>5.0999999999999996</v>
      </c>
      <c r="J335" t="s">
        <v>3686</v>
      </c>
      <c r="K335" t="s">
        <v>3687</v>
      </c>
      <c r="L335" t="s">
        <v>3688</v>
      </c>
      <c r="M335" t="s">
        <v>3689</v>
      </c>
      <c r="N335">
        <v>117659.73818356229</v>
      </c>
      <c r="O335">
        <v>119071.655041765</v>
      </c>
      <c r="P335">
        <v>124668.022828728</v>
      </c>
      <c r="Q335">
        <v>134641.46465502621</v>
      </c>
      <c r="R335">
        <v>140161.76470588229</v>
      </c>
      <c r="S335" t="s">
        <v>3690</v>
      </c>
      <c r="T335" t="s">
        <v>3691</v>
      </c>
      <c r="U335" t="s">
        <v>3692</v>
      </c>
      <c r="V335" t="s">
        <v>49</v>
      </c>
      <c r="W335">
        <v>338996155</v>
      </c>
      <c r="X335">
        <v>339500751</v>
      </c>
      <c r="Y335">
        <v>340560751</v>
      </c>
      <c r="Z335">
        <v>341660751</v>
      </c>
      <c r="AA335">
        <v>343660751</v>
      </c>
      <c r="AB335">
        <v>518520584.95294589</v>
      </c>
      <c r="AC335">
        <v>4406.9500149999994</v>
      </c>
      <c r="AD335">
        <v>525523912.02339822</v>
      </c>
      <c r="AE335">
        <v>4413.509763</v>
      </c>
      <c r="AF335">
        <v>551941461.24307775</v>
      </c>
      <c r="AG335">
        <v>4427.2897629999998</v>
      </c>
      <c r="AH335">
        <v>598022151.08709085</v>
      </c>
      <c r="AI335">
        <v>4441.5897629999999</v>
      </c>
      <c r="AJ335">
        <v>626185265.16401446</v>
      </c>
      <c r="AK335">
        <v>4467.5897629999999</v>
      </c>
    </row>
    <row r="336" spans="1:37" x14ac:dyDescent="0.35">
      <c r="A336" t="s">
        <v>3693</v>
      </c>
      <c r="B336">
        <v>21663.95</v>
      </c>
      <c r="C336" t="s">
        <v>278</v>
      </c>
      <c r="D336" t="s">
        <v>3694</v>
      </c>
      <c r="E336" t="s">
        <v>3695</v>
      </c>
      <c r="F336">
        <v>1.2999999999999999E-5</v>
      </c>
      <c r="G336" t="s">
        <v>3696</v>
      </c>
      <c r="H336">
        <v>0.25</v>
      </c>
      <c r="I336">
        <v>0.15</v>
      </c>
      <c r="J336" t="s">
        <v>3697</v>
      </c>
      <c r="K336" t="s">
        <v>3698</v>
      </c>
      <c r="L336" t="s">
        <v>3699</v>
      </c>
      <c r="M336" t="s">
        <v>3700</v>
      </c>
      <c r="N336">
        <v>117659.73818356229</v>
      </c>
      <c r="O336">
        <v>119071.655041765</v>
      </c>
      <c r="P336">
        <v>124668.022828728</v>
      </c>
      <c r="Q336">
        <v>134641.46465502621</v>
      </c>
      <c r="R336">
        <v>140161.76470588229</v>
      </c>
      <c r="S336" t="s">
        <v>3701</v>
      </c>
      <c r="T336" t="s">
        <v>3702</v>
      </c>
      <c r="U336" t="s">
        <v>3703</v>
      </c>
      <c r="V336" t="s">
        <v>49</v>
      </c>
      <c r="W336">
        <v>338996155</v>
      </c>
      <c r="X336">
        <v>339500751</v>
      </c>
      <c r="Y336">
        <v>340560751</v>
      </c>
      <c r="Z336">
        <v>341660751</v>
      </c>
      <c r="AA336">
        <v>343660751</v>
      </c>
      <c r="AB336">
        <v>518520584.95294589</v>
      </c>
      <c r="AC336">
        <v>4406.9500149999994</v>
      </c>
      <c r="AD336">
        <v>525523912.02339822</v>
      </c>
      <c r="AE336">
        <v>4413.509763</v>
      </c>
      <c r="AF336">
        <v>551941461.24307775</v>
      </c>
      <c r="AG336">
        <v>4427.2897629999998</v>
      </c>
      <c r="AH336">
        <v>598022151.08709085</v>
      </c>
      <c r="AI336">
        <v>4441.5897629999999</v>
      </c>
      <c r="AJ336">
        <v>626185265.16401446</v>
      </c>
      <c r="AK336">
        <v>4467.5897629999999</v>
      </c>
    </row>
    <row r="337" spans="1:37" x14ac:dyDescent="0.35">
      <c r="A337" t="s">
        <v>3704</v>
      </c>
      <c r="B337">
        <v>1337.28</v>
      </c>
      <c r="C337" t="s">
        <v>3705</v>
      </c>
      <c r="D337" t="s">
        <v>3706</v>
      </c>
      <c r="E337" t="s">
        <v>3707</v>
      </c>
      <c r="F337">
        <v>2.0000000000000002E-5</v>
      </c>
      <c r="G337" t="s">
        <v>3708</v>
      </c>
      <c r="H337">
        <v>0.3</v>
      </c>
      <c r="I337">
        <v>5.0999999999999996</v>
      </c>
      <c r="J337" t="s">
        <v>3709</v>
      </c>
      <c r="K337" t="s">
        <v>3710</v>
      </c>
      <c r="L337" t="s">
        <v>3711</v>
      </c>
      <c r="M337" t="s">
        <v>3712</v>
      </c>
      <c r="N337">
        <v>27282.344075718469</v>
      </c>
      <c r="O337">
        <v>27609.732204627089</v>
      </c>
      <c r="P337">
        <v>28907.389618244561</v>
      </c>
      <c r="Q337">
        <v>31219.980787704131</v>
      </c>
      <c r="R337">
        <v>32500</v>
      </c>
      <c r="S337" t="s">
        <v>3713</v>
      </c>
      <c r="T337" t="s">
        <v>1780</v>
      </c>
      <c r="U337" t="s">
        <v>3714</v>
      </c>
      <c r="V337" t="s">
        <v>49</v>
      </c>
      <c r="W337">
        <v>338996155</v>
      </c>
      <c r="X337">
        <v>339500751</v>
      </c>
      <c r="Y337">
        <v>340560751</v>
      </c>
      <c r="Z337">
        <v>341660751</v>
      </c>
      <c r="AA337">
        <v>343660751</v>
      </c>
      <c r="AB337">
        <v>184972194.8211118</v>
      </c>
      <c r="AC337">
        <v>6779.9231000000009</v>
      </c>
      <c r="AD337">
        <v>187470496.3675957</v>
      </c>
      <c r="AE337">
        <v>6790.0150200000007</v>
      </c>
      <c r="AF337">
        <v>196894446.35677949</v>
      </c>
      <c r="AG337">
        <v>6811.2150200000005</v>
      </c>
      <c r="AH337">
        <v>213332841.64265129</v>
      </c>
      <c r="AI337">
        <v>6833.2150200000005</v>
      </c>
      <c r="AJ337">
        <v>223379488.15000001</v>
      </c>
      <c r="AK337">
        <v>6873.2150200000005</v>
      </c>
    </row>
    <row r="338" spans="1:37" x14ac:dyDescent="0.35">
      <c r="A338" t="s">
        <v>3715</v>
      </c>
      <c r="B338">
        <v>350.23</v>
      </c>
      <c r="C338" t="s">
        <v>636</v>
      </c>
      <c r="D338" t="s">
        <v>3716</v>
      </c>
      <c r="E338" t="s">
        <v>3717</v>
      </c>
      <c r="F338">
        <v>1E-3</v>
      </c>
      <c r="G338" t="s">
        <v>3718</v>
      </c>
      <c r="H338">
        <v>0.2</v>
      </c>
      <c r="I338">
        <v>10.199999999999999</v>
      </c>
      <c r="J338" t="s">
        <v>3719</v>
      </c>
      <c r="K338" t="s">
        <v>3720</v>
      </c>
      <c r="L338" t="s">
        <v>3721</v>
      </c>
      <c r="M338" t="s">
        <v>3722</v>
      </c>
      <c r="N338">
        <v>4197.2837039566884</v>
      </c>
      <c r="O338">
        <v>4247.6511084041676</v>
      </c>
      <c r="P338">
        <v>4447.2907104991637</v>
      </c>
      <c r="Q338">
        <v>4803.0739673390972</v>
      </c>
      <c r="R338">
        <v>5000</v>
      </c>
      <c r="S338" t="s">
        <v>3723</v>
      </c>
      <c r="T338" t="s">
        <v>3724</v>
      </c>
      <c r="U338" t="s">
        <v>3725</v>
      </c>
      <c r="V338" t="s">
        <v>647</v>
      </c>
      <c r="W338">
        <v>7638338</v>
      </c>
      <c r="X338">
        <v>7532198.4000000004</v>
      </c>
      <c r="Y338">
        <v>7532198.4000000004</v>
      </c>
      <c r="Z338">
        <v>7532198.4000000004</v>
      </c>
      <c r="AA338">
        <v>7532198.4000000004</v>
      </c>
      <c r="AB338">
        <v>32060271.61271311</v>
      </c>
      <c r="AC338">
        <v>7638.3379999999997</v>
      </c>
      <c r="AD338">
        <v>31994150.8824801</v>
      </c>
      <c r="AE338">
        <v>7532.1984000000002</v>
      </c>
      <c r="AF338">
        <v>33497875.973956671</v>
      </c>
      <c r="AG338">
        <v>7532.1984000000002</v>
      </c>
      <c r="AH338">
        <v>36177706.0518732</v>
      </c>
      <c r="AI338">
        <v>7532.1984000000002</v>
      </c>
      <c r="AJ338">
        <v>37660992</v>
      </c>
      <c r="AK338">
        <v>7532.1984000000002</v>
      </c>
    </row>
    <row r="339" spans="1:37" x14ac:dyDescent="0.35">
      <c r="A339" t="s">
        <v>3726</v>
      </c>
      <c r="B339">
        <v>2120.5500000000002</v>
      </c>
      <c r="C339" t="s">
        <v>360</v>
      </c>
      <c r="D339" t="s">
        <v>3727</v>
      </c>
      <c r="E339" t="s">
        <v>3728</v>
      </c>
      <c r="F339">
        <v>3.4999999999999999E-6</v>
      </c>
      <c r="G339" t="s">
        <v>3729</v>
      </c>
      <c r="H339">
        <v>0.3</v>
      </c>
      <c r="I339">
        <v>1.52</v>
      </c>
      <c r="J339" t="s">
        <v>3730</v>
      </c>
      <c r="K339" t="s">
        <v>3731</v>
      </c>
      <c r="L339" t="s">
        <v>3732</v>
      </c>
      <c r="M339" t="s">
        <v>3733</v>
      </c>
      <c r="N339">
        <v>54010.646702514663</v>
      </c>
      <c r="O339">
        <v>54658.774462944843</v>
      </c>
      <c r="P339">
        <v>57227.736862703241</v>
      </c>
      <c r="Q339">
        <v>61805.955811719497</v>
      </c>
      <c r="R339">
        <v>64340</v>
      </c>
      <c r="S339" t="s">
        <v>3734</v>
      </c>
      <c r="T339" t="s">
        <v>3735</v>
      </c>
      <c r="U339" t="s">
        <v>3736</v>
      </c>
      <c r="V339" t="s">
        <v>49</v>
      </c>
      <c r="W339">
        <v>338996155</v>
      </c>
      <c r="X339">
        <v>339500751</v>
      </c>
      <c r="Y339">
        <v>340560751</v>
      </c>
      <c r="Z339">
        <v>341660751</v>
      </c>
      <c r="AA339">
        <v>343660751</v>
      </c>
      <c r="AB339">
        <v>64082905.464255638</v>
      </c>
      <c r="AC339">
        <v>1186.4865425</v>
      </c>
      <c r="AD339">
        <v>64948432.426182874</v>
      </c>
      <c r="AE339">
        <v>1188.2526284999999</v>
      </c>
      <c r="AF339">
        <v>68213323.653974101</v>
      </c>
      <c r="AG339">
        <v>1191.9626284999999</v>
      </c>
      <c r="AH339">
        <v>73908342.476167142</v>
      </c>
      <c r="AI339">
        <v>1195.8126285000001</v>
      </c>
      <c r="AJ339">
        <v>77388964.517690003</v>
      </c>
      <c r="AK339">
        <v>1202.8126285000001</v>
      </c>
    </row>
    <row r="340" spans="1:37" x14ac:dyDescent="0.35">
      <c r="A340" t="s">
        <v>3737</v>
      </c>
      <c r="B340">
        <v>4249.16</v>
      </c>
      <c r="C340" t="s">
        <v>3738</v>
      </c>
      <c r="D340" t="s">
        <v>3739</v>
      </c>
      <c r="E340" t="s">
        <v>3740</v>
      </c>
      <c r="F340">
        <v>2.5000000000000001E-5</v>
      </c>
      <c r="G340" t="s">
        <v>3741</v>
      </c>
      <c r="H340">
        <v>0.3</v>
      </c>
      <c r="I340">
        <v>0.05</v>
      </c>
      <c r="J340" t="s">
        <v>3742</v>
      </c>
      <c r="K340" t="s">
        <v>3743</v>
      </c>
      <c r="L340" t="s">
        <v>3744</v>
      </c>
      <c r="M340" t="s">
        <v>3745</v>
      </c>
      <c r="N340">
        <v>146904.92963848411</v>
      </c>
      <c r="O340">
        <v>148667.78879414589</v>
      </c>
      <c r="P340">
        <v>155655.17486747069</v>
      </c>
      <c r="Q340">
        <v>168107.58885686839</v>
      </c>
      <c r="R340">
        <v>175000</v>
      </c>
      <c r="S340" t="s">
        <v>2697</v>
      </c>
      <c r="T340" t="s">
        <v>3746</v>
      </c>
      <c r="U340" t="s">
        <v>3747</v>
      </c>
      <c r="V340" t="s">
        <v>1017</v>
      </c>
      <c r="W340">
        <v>331357816</v>
      </c>
      <c r="X340">
        <v>331968553.60000002</v>
      </c>
      <c r="Y340">
        <v>333028553.60000002</v>
      </c>
      <c r="Z340">
        <v>334128553.60000002</v>
      </c>
      <c r="AA340">
        <v>336128553.60000002</v>
      </c>
      <c r="AB340">
        <v>1216952416.116044</v>
      </c>
      <c r="AC340">
        <v>8283.9454000000005</v>
      </c>
      <c r="AD340">
        <v>1233825770.322572</v>
      </c>
      <c r="AE340">
        <v>8299.2138400000003</v>
      </c>
      <c r="AF340">
        <v>1295940443.661721</v>
      </c>
      <c r="AG340">
        <v>8325.7138400000003</v>
      </c>
      <c r="AH340">
        <v>1404238637.848223</v>
      </c>
      <c r="AI340">
        <v>8353.2138400000003</v>
      </c>
      <c r="AJ340">
        <v>1470562422</v>
      </c>
      <c r="AK340">
        <v>8403.2138400000003</v>
      </c>
    </row>
    <row r="341" spans="1:37" x14ac:dyDescent="0.35">
      <c r="A341" t="s">
        <v>3748</v>
      </c>
      <c r="B341">
        <v>7.49</v>
      </c>
      <c r="C341" t="s">
        <v>231</v>
      </c>
      <c r="D341" t="s">
        <v>3749</v>
      </c>
      <c r="E341" t="s">
        <v>3750</v>
      </c>
      <c r="F341">
        <v>0.191</v>
      </c>
      <c r="G341" t="s">
        <v>3751</v>
      </c>
      <c r="H341">
        <v>0.2</v>
      </c>
      <c r="I341">
        <v>0.01</v>
      </c>
      <c r="J341" t="s">
        <v>3752</v>
      </c>
      <c r="K341" t="s">
        <v>3753</v>
      </c>
      <c r="L341" t="s">
        <v>3754</v>
      </c>
      <c r="M341" t="s">
        <v>3755</v>
      </c>
      <c r="N341">
        <v>725.9551939635088</v>
      </c>
      <c r="O341">
        <v>734.66665629107092</v>
      </c>
      <c r="P341">
        <v>769.19598913675122</v>
      </c>
      <c r="Q341">
        <v>830.73166826769136</v>
      </c>
      <c r="R341">
        <v>864.79166666666663</v>
      </c>
      <c r="S341" t="s">
        <v>3756</v>
      </c>
      <c r="T341" t="s">
        <v>3757</v>
      </c>
      <c r="U341" t="s">
        <v>1248</v>
      </c>
      <c r="V341" t="s">
        <v>94</v>
      </c>
      <c r="W341">
        <v>265472419.80000001</v>
      </c>
      <c r="X341">
        <v>266439117.80000001</v>
      </c>
      <c r="Y341">
        <v>267499117.80000001</v>
      </c>
      <c r="Z341">
        <v>268599117.80000001</v>
      </c>
      <c r="AA341">
        <v>270179117.80000001</v>
      </c>
      <c r="AB341">
        <v>36809726663.503357</v>
      </c>
      <c r="AC341">
        <v>50705232.1818</v>
      </c>
      <c r="AD341">
        <v>37387091733.840332</v>
      </c>
      <c r="AE341">
        <v>50889871.499799997</v>
      </c>
      <c r="AF341">
        <v>39300016465.291458</v>
      </c>
      <c r="AG341">
        <v>51092331.499799997</v>
      </c>
      <c r="AH341">
        <v>42618554506.017807</v>
      </c>
      <c r="AI341">
        <v>51302431.499799997</v>
      </c>
      <c r="AJ341">
        <v>44626892069.931213</v>
      </c>
      <c r="AK341">
        <v>51604211.499799997</v>
      </c>
    </row>
    <row r="342" spans="1:37" x14ac:dyDescent="0.35">
      <c r="A342" t="s">
        <v>3758</v>
      </c>
      <c r="B342">
        <v>8.86</v>
      </c>
      <c r="C342" t="s">
        <v>231</v>
      </c>
      <c r="D342" t="s">
        <v>3759</v>
      </c>
      <c r="E342" t="s">
        <v>3760</v>
      </c>
      <c r="F342">
        <v>0.191</v>
      </c>
      <c r="G342" t="s">
        <v>3761</v>
      </c>
      <c r="H342">
        <v>50.6</v>
      </c>
      <c r="I342">
        <v>0.15</v>
      </c>
      <c r="J342" t="s">
        <v>3762</v>
      </c>
      <c r="K342" t="s">
        <v>3763</v>
      </c>
      <c r="L342" t="s">
        <v>3764</v>
      </c>
      <c r="M342" t="s">
        <v>3765</v>
      </c>
      <c r="N342">
        <v>725.9551939635088</v>
      </c>
      <c r="O342">
        <v>734.66665629107092</v>
      </c>
      <c r="P342">
        <v>769.19598913675122</v>
      </c>
      <c r="Q342">
        <v>830.73166826769136</v>
      </c>
      <c r="R342">
        <v>864.79166666666663</v>
      </c>
      <c r="S342" t="s">
        <v>3766</v>
      </c>
      <c r="T342" t="s">
        <v>3767</v>
      </c>
      <c r="U342" t="s">
        <v>3768</v>
      </c>
      <c r="V342" t="s">
        <v>94</v>
      </c>
      <c r="W342">
        <v>265472419.80000001</v>
      </c>
      <c r="X342">
        <v>266439117.80000001</v>
      </c>
      <c r="Y342">
        <v>267499117.80000001</v>
      </c>
      <c r="Z342">
        <v>268599117.80000001</v>
      </c>
      <c r="AA342">
        <v>270179117.80000001</v>
      </c>
      <c r="AB342">
        <v>36809726663.503357</v>
      </c>
      <c r="AC342">
        <v>50705232.1818</v>
      </c>
      <c r="AD342">
        <v>37387091733.840332</v>
      </c>
      <c r="AE342">
        <v>50889871.499799997</v>
      </c>
      <c r="AF342">
        <v>39300016465.291458</v>
      </c>
      <c r="AG342">
        <v>51092331.499799997</v>
      </c>
      <c r="AH342">
        <v>42618554506.017807</v>
      </c>
      <c r="AI342">
        <v>51302431.499799997</v>
      </c>
      <c r="AJ342">
        <v>44626892069.931213</v>
      </c>
      <c r="AK342">
        <v>51604211.499799997</v>
      </c>
    </row>
    <row r="343" spans="1:37" x14ac:dyDescent="0.35">
      <c r="A343" t="s">
        <v>3769</v>
      </c>
      <c r="B343">
        <v>404.07</v>
      </c>
      <c r="C343" t="s">
        <v>208</v>
      </c>
      <c r="D343" t="s">
        <v>3770</v>
      </c>
      <c r="E343" t="s">
        <v>3771</v>
      </c>
      <c r="F343">
        <v>3.1E-2</v>
      </c>
      <c r="G343" t="s">
        <v>3772</v>
      </c>
      <c r="H343">
        <v>0.4</v>
      </c>
      <c r="I343">
        <v>0.02</v>
      </c>
      <c r="J343" t="s">
        <v>3773</v>
      </c>
      <c r="K343" t="s">
        <v>3774</v>
      </c>
      <c r="L343" t="s">
        <v>3775</v>
      </c>
      <c r="M343" t="s">
        <v>3776</v>
      </c>
      <c r="N343">
        <v>1106.1651733936201</v>
      </c>
      <c r="O343">
        <v>1119.4391554743429</v>
      </c>
      <c r="P343">
        <v>1172.0527957816371</v>
      </c>
      <c r="Q343">
        <v>1265.817019444168</v>
      </c>
      <c r="R343">
        <v>1317.7155172413791</v>
      </c>
      <c r="S343" t="s">
        <v>3777</v>
      </c>
      <c r="T343" t="s">
        <v>3778</v>
      </c>
      <c r="U343" t="s">
        <v>1248</v>
      </c>
      <c r="V343" t="s">
        <v>94</v>
      </c>
      <c r="W343">
        <v>265472419.80000001</v>
      </c>
      <c r="X343">
        <v>266439117.80000001</v>
      </c>
      <c r="Y343">
        <v>267499117.80000001</v>
      </c>
      <c r="Z343">
        <v>268599117.80000001</v>
      </c>
      <c r="AA343">
        <v>270179117.80000001</v>
      </c>
      <c r="AB343">
        <v>9103346703.6580143</v>
      </c>
      <c r="AC343">
        <v>8229645.0138000008</v>
      </c>
      <c r="AD343">
        <v>9246133811.4761925</v>
      </c>
      <c r="AE343">
        <v>8259612.6518000001</v>
      </c>
      <c r="AF343">
        <v>9719215755.4849567</v>
      </c>
      <c r="AG343">
        <v>8292472.6518000001</v>
      </c>
      <c r="AH343">
        <v>10539917376.2868</v>
      </c>
      <c r="AI343">
        <v>8326572.6518000001</v>
      </c>
      <c r="AJ343">
        <v>11036595694.749041</v>
      </c>
      <c r="AK343">
        <v>8375552.6518000001</v>
      </c>
    </row>
    <row r="344" spans="1:37" x14ac:dyDescent="0.35">
      <c r="A344" t="s">
        <v>3779</v>
      </c>
      <c r="B344">
        <v>422.86</v>
      </c>
      <c r="C344" t="s">
        <v>208</v>
      </c>
      <c r="D344" t="s">
        <v>3780</v>
      </c>
      <c r="E344" t="s">
        <v>3781</v>
      </c>
      <c r="F344">
        <v>3.1E-2</v>
      </c>
      <c r="G344" t="s">
        <v>3782</v>
      </c>
      <c r="H344">
        <v>50.4</v>
      </c>
      <c r="I344">
        <v>0.23</v>
      </c>
      <c r="J344" t="s">
        <v>3783</v>
      </c>
      <c r="K344" t="s">
        <v>3784</v>
      </c>
      <c r="L344" t="s">
        <v>3785</v>
      </c>
      <c r="M344" t="s">
        <v>3786</v>
      </c>
      <c r="N344">
        <v>1106.1651733936201</v>
      </c>
      <c r="O344">
        <v>1119.4391554743429</v>
      </c>
      <c r="P344">
        <v>1172.0527957816371</v>
      </c>
      <c r="Q344">
        <v>1265.817019444168</v>
      </c>
      <c r="R344">
        <v>1317.7155172413791</v>
      </c>
      <c r="S344" t="s">
        <v>3787</v>
      </c>
      <c r="T344" t="s">
        <v>3788</v>
      </c>
      <c r="U344" t="s">
        <v>1248</v>
      </c>
      <c r="V344" t="s">
        <v>94</v>
      </c>
      <c r="W344">
        <v>265472419.80000001</v>
      </c>
      <c r="X344">
        <v>266439117.80000001</v>
      </c>
      <c r="Y344">
        <v>267499117.80000001</v>
      </c>
      <c r="Z344">
        <v>268599117.80000001</v>
      </c>
      <c r="AA344">
        <v>270179117.80000001</v>
      </c>
      <c r="AB344">
        <v>9103346703.6580143</v>
      </c>
      <c r="AC344">
        <v>8229645.0138000008</v>
      </c>
      <c r="AD344">
        <v>9246133811.4761925</v>
      </c>
      <c r="AE344">
        <v>8259612.6518000001</v>
      </c>
      <c r="AF344">
        <v>9719215755.4849567</v>
      </c>
      <c r="AG344">
        <v>8292472.6518000001</v>
      </c>
      <c r="AH344">
        <v>10539917376.2868</v>
      </c>
      <c r="AI344">
        <v>8326572.6518000001</v>
      </c>
      <c r="AJ344">
        <v>11036595694.749041</v>
      </c>
      <c r="AK344">
        <v>8375552.6518000001</v>
      </c>
    </row>
    <row r="345" spans="1:37" x14ac:dyDescent="0.35">
      <c r="A345" t="s">
        <v>3789</v>
      </c>
      <c r="B345">
        <v>11.5</v>
      </c>
      <c r="C345" t="s">
        <v>208</v>
      </c>
      <c r="D345" t="s">
        <v>3790</v>
      </c>
      <c r="E345" t="s">
        <v>3791</v>
      </c>
      <c r="F345">
        <v>3.1E-2</v>
      </c>
      <c r="G345" t="s">
        <v>3792</v>
      </c>
      <c r="H345">
        <v>30402030255</v>
      </c>
      <c r="I345">
        <v>0.01</v>
      </c>
      <c r="J345" t="s">
        <v>3793</v>
      </c>
      <c r="K345" t="s">
        <v>3794</v>
      </c>
      <c r="L345" t="s">
        <v>3795</v>
      </c>
      <c r="M345" t="s">
        <v>3796</v>
      </c>
      <c r="N345">
        <v>1106.1651733936201</v>
      </c>
      <c r="O345">
        <v>1119.4391554743429</v>
      </c>
      <c r="P345">
        <v>1172.0527957816371</v>
      </c>
      <c r="Q345">
        <v>1265.817019444168</v>
      </c>
      <c r="R345">
        <v>1317.7155172413791</v>
      </c>
      <c r="S345" t="s">
        <v>3797</v>
      </c>
      <c r="T345" t="s">
        <v>3798</v>
      </c>
      <c r="U345" t="s">
        <v>2982</v>
      </c>
      <c r="V345" t="s">
        <v>94</v>
      </c>
      <c r="W345">
        <v>265472419.80000001</v>
      </c>
      <c r="X345">
        <v>266439117.80000001</v>
      </c>
      <c r="Y345">
        <v>267499117.80000001</v>
      </c>
      <c r="Z345">
        <v>268599117.80000001</v>
      </c>
      <c r="AA345">
        <v>270179117.80000001</v>
      </c>
      <c r="AB345">
        <v>9103346703.6580143</v>
      </c>
      <c r="AC345">
        <v>8229645.0138000008</v>
      </c>
      <c r="AD345">
        <v>9246133811.4761925</v>
      </c>
      <c r="AE345">
        <v>8259612.6518000001</v>
      </c>
      <c r="AF345">
        <v>9719215755.4849567</v>
      </c>
      <c r="AG345">
        <v>8292472.6518000001</v>
      </c>
      <c r="AH345">
        <v>10539917376.2868</v>
      </c>
      <c r="AI345">
        <v>8326572.6518000001</v>
      </c>
      <c r="AJ345">
        <v>11036595694.749041</v>
      </c>
      <c r="AK345">
        <v>8375552.6518000001</v>
      </c>
    </row>
    <row r="346" spans="1:37" x14ac:dyDescent="0.35">
      <c r="A346" t="s">
        <v>3799</v>
      </c>
      <c r="B346">
        <v>12</v>
      </c>
      <c r="C346" t="s">
        <v>1172</v>
      </c>
      <c r="D346" t="s">
        <v>3800</v>
      </c>
      <c r="E346" t="s">
        <v>3801</v>
      </c>
      <c r="F346">
        <v>0.02</v>
      </c>
      <c r="G346" t="s">
        <v>3802</v>
      </c>
      <c r="H346">
        <v>3040.25</v>
      </c>
      <c r="J346" t="s">
        <v>3803</v>
      </c>
      <c r="K346" t="s">
        <v>3804</v>
      </c>
      <c r="L346" t="s">
        <v>3805</v>
      </c>
      <c r="M346" t="s">
        <v>3806</v>
      </c>
      <c r="N346">
        <v>5009.5815501930119</v>
      </c>
      <c r="O346">
        <v>5069.696528795328</v>
      </c>
      <c r="P346">
        <v>5307.9722656487083</v>
      </c>
      <c r="Q346">
        <v>5732.6100469006051</v>
      </c>
      <c r="R346">
        <v>5967.6470588235297</v>
      </c>
      <c r="S346" t="s">
        <v>3807</v>
      </c>
      <c r="T346" t="s">
        <v>3808</v>
      </c>
      <c r="U346" t="s">
        <v>3809</v>
      </c>
      <c r="V346" t="s">
        <v>94</v>
      </c>
      <c r="W346">
        <v>265472419.80000001</v>
      </c>
      <c r="X346">
        <v>266439117.80000001</v>
      </c>
      <c r="Y346">
        <v>267499117.80000001</v>
      </c>
      <c r="Z346">
        <v>268599117.80000001</v>
      </c>
      <c r="AA346">
        <v>270179117.80000001</v>
      </c>
      <c r="AB346">
        <v>26598114726.303478</v>
      </c>
      <c r="AC346">
        <v>5309448.3960000006</v>
      </c>
      <c r="AD346">
        <v>27015309412.918991</v>
      </c>
      <c r="AE346">
        <v>5328782.3560000006</v>
      </c>
      <c r="AF346">
        <v>28397557967.357941</v>
      </c>
      <c r="AG346">
        <v>5349982.3560000006</v>
      </c>
      <c r="AH346">
        <v>30795480025.778389</v>
      </c>
      <c r="AI346">
        <v>5371982.3560000006</v>
      </c>
      <c r="AJ346">
        <v>32246672353.894119</v>
      </c>
      <c r="AK346">
        <v>5403582.3560000006</v>
      </c>
    </row>
    <row r="347" spans="1:37" x14ac:dyDescent="0.35">
      <c r="A347" t="s">
        <v>3810</v>
      </c>
      <c r="B347">
        <v>582.6</v>
      </c>
      <c r="C347" t="s">
        <v>886</v>
      </c>
      <c r="D347" t="s">
        <v>3811</v>
      </c>
      <c r="E347" t="s">
        <v>3812</v>
      </c>
      <c r="F347">
        <v>4.5999999999999999E-2</v>
      </c>
      <c r="G347" t="s">
        <v>3813</v>
      </c>
      <c r="H347">
        <v>0.3</v>
      </c>
      <c r="I347">
        <v>5.0999999999999996</v>
      </c>
      <c r="J347" t="s">
        <v>3814</v>
      </c>
      <c r="K347" t="s">
        <v>3815</v>
      </c>
      <c r="L347" t="s">
        <v>3816</v>
      </c>
      <c r="M347" t="s">
        <v>3817</v>
      </c>
      <c r="N347">
        <v>963.93530786561541</v>
      </c>
      <c r="O347">
        <v>975.50253156000281</v>
      </c>
      <c r="P347">
        <v>1021.351150543323</v>
      </c>
      <c r="Q347">
        <v>1103.059242586789</v>
      </c>
      <c r="R347">
        <v>1148.2846715328469</v>
      </c>
      <c r="S347" t="s">
        <v>3818</v>
      </c>
      <c r="T347" t="s">
        <v>3819</v>
      </c>
      <c r="U347" t="s">
        <v>3820</v>
      </c>
      <c r="V347" t="s">
        <v>94</v>
      </c>
      <c r="W347">
        <v>265472419.80000001</v>
      </c>
      <c r="X347">
        <v>266439117.80000001</v>
      </c>
      <c r="Y347">
        <v>267499117.80000001</v>
      </c>
      <c r="Z347">
        <v>268599117.80000001</v>
      </c>
      <c r="AA347">
        <v>270179117.80000001</v>
      </c>
      <c r="AB347">
        <v>11771318980.64817</v>
      </c>
      <c r="AC347">
        <v>12211731.310799999</v>
      </c>
      <c r="AD347">
        <v>11955953560.343639</v>
      </c>
      <c r="AE347">
        <v>12256199.4188</v>
      </c>
      <c r="AF347">
        <v>12567684459.780279</v>
      </c>
      <c r="AG347">
        <v>12304959.4188</v>
      </c>
      <c r="AH347">
        <v>13628914014.237591</v>
      </c>
      <c r="AI347">
        <v>12355559.4188</v>
      </c>
      <c r="AJ347">
        <v>14271156818.748341</v>
      </c>
      <c r="AK347">
        <v>12428239.4188</v>
      </c>
    </row>
    <row r="348" spans="1:37" x14ac:dyDescent="0.35">
      <c r="A348" t="s">
        <v>3821</v>
      </c>
      <c r="B348">
        <v>2997.98</v>
      </c>
      <c r="C348" t="s">
        <v>360</v>
      </c>
      <c r="D348" t="s">
        <v>3822</v>
      </c>
      <c r="E348" t="s">
        <v>3823</v>
      </c>
      <c r="F348">
        <v>3.4999999999999999E-6</v>
      </c>
      <c r="G348" t="s">
        <v>3824</v>
      </c>
      <c r="H348">
        <v>0.5</v>
      </c>
      <c r="I348">
        <v>0.2</v>
      </c>
      <c r="J348" t="s">
        <v>3825</v>
      </c>
      <c r="K348" t="s">
        <v>3826</v>
      </c>
      <c r="L348" t="s">
        <v>3827</v>
      </c>
      <c r="M348" t="s">
        <v>3828</v>
      </c>
      <c r="N348">
        <v>54010.646702514663</v>
      </c>
      <c r="O348">
        <v>54658.774462944843</v>
      </c>
      <c r="P348">
        <v>57227.736862703241</v>
      </c>
      <c r="Q348">
        <v>61805.955811719497</v>
      </c>
      <c r="R348">
        <v>64340</v>
      </c>
      <c r="S348" t="s">
        <v>3829</v>
      </c>
      <c r="T348" t="s">
        <v>3830</v>
      </c>
      <c r="U348" t="s">
        <v>3831</v>
      </c>
      <c r="V348" t="s">
        <v>49</v>
      </c>
      <c r="W348">
        <v>338996155</v>
      </c>
      <c r="X348">
        <v>339500751</v>
      </c>
      <c r="Y348">
        <v>340560751</v>
      </c>
      <c r="Z348">
        <v>341660751</v>
      </c>
      <c r="AA348">
        <v>343660751</v>
      </c>
      <c r="AB348">
        <v>64082905.464255638</v>
      </c>
      <c r="AC348">
        <v>1186.4865425</v>
      </c>
      <c r="AD348">
        <v>64948432.426182874</v>
      </c>
      <c r="AE348">
        <v>1188.2526284999999</v>
      </c>
      <c r="AF348">
        <v>68213323.653974101</v>
      </c>
      <c r="AG348">
        <v>1191.9626284999999</v>
      </c>
      <c r="AH348">
        <v>73908342.476167142</v>
      </c>
      <c r="AI348">
        <v>1195.8126285000001</v>
      </c>
      <c r="AJ348">
        <v>77388964.517690003</v>
      </c>
      <c r="AK348">
        <v>1202.8126285000001</v>
      </c>
    </row>
    <row r="349" spans="1:37" x14ac:dyDescent="0.35">
      <c r="A349" t="s">
        <v>3832</v>
      </c>
      <c r="B349">
        <v>1.94</v>
      </c>
      <c r="C349" t="s">
        <v>1892</v>
      </c>
      <c r="D349" t="s">
        <v>3833</v>
      </c>
      <c r="E349" t="s">
        <v>3834</v>
      </c>
      <c r="F349">
        <v>0.02</v>
      </c>
      <c r="G349" t="s">
        <v>3835</v>
      </c>
      <c r="H349">
        <v>0.05</v>
      </c>
      <c r="I349">
        <v>0.01</v>
      </c>
      <c r="J349" t="s">
        <v>3836</v>
      </c>
      <c r="K349" t="s">
        <v>3837</v>
      </c>
      <c r="L349" t="s">
        <v>3838</v>
      </c>
      <c r="M349" t="s">
        <v>3839</v>
      </c>
      <c r="N349">
        <v>293.80985927696821</v>
      </c>
      <c r="O349">
        <v>297.33557758829181</v>
      </c>
      <c r="P349">
        <v>311.31034973494138</v>
      </c>
      <c r="Q349">
        <v>336.21517771373681</v>
      </c>
      <c r="R349">
        <v>350</v>
      </c>
      <c r="S349" t="s">
        <v>3840</v>
      </c>
      <c r="T349" t="s">
        <v>1811</v>
      </c>
      <c r="U349" t="s">
        <v>3841</v>
      </c>
      <c r="V349" t="s">
        <v>49</v>
      </c>
      <c r="W349">
        <v>338996155</v>
      </c>
      <c r="X349">
        <v>339500751</v>
      </c>
      <c r="Y349">
        <v>340560751</v>
      </c>
      <c r="Z349">
        <v>341660751</v>
      </c>
      <c r="AA349">
        <v>343660751</v>
      </c>
      <c r="AB349">
        <v>1992008251.9196661</v>
      </c>
      <c r="AC349">
        <v>6779923.1000000006</v>
      </c>
      <c r="AD349">
        <v>2018913037.804877</v>
      </c>
      <c r="AE349">
        <v>6790015.0199999996</v>
      </c>
      <c r="AF349">
        <v>2120401729.9960859</v>
      </c>
      <c r="AG349">
        <v>6811215.0199999996</v>
      </c>
      <c r="AH349">
        <v>2297430602.3054762</v>
      </c>
      <c r="AI349">
        <v>6833215.0199999996</v>
      </c>
      <c r="AJ349">
        <v>2405625257</v>
      </c>
      <c r="AK349">
        <v>6873215.0199999996</v>
      </c>
    </row>
    <row r="350" spans="1:37" x14ac:dyDescent="0.35">
      <c r="A350" t="s">
        <v>3842</v>
      </c>
      <c r="B350">
        <v>490</v>
      </c>
      <c r="C350" t="s">
        <v>278</v>
      </c>
      <c r="D350" t="s">
        <v>3843</v>
      </c>
      <c r="E350" t="s">
        <v>3844</v>
      </c>
      <c r="F350">
        <v>1.2999999999999999E-5</v>
      </c>
      <c r="G350" t="s">
        <v>3845</v>
      </c>
      <c r="H350">
        <v>0.4</v>
      </c>
      <c r="I350">
        <v>853040.15</v>
      </c>
      <c r="J350" t="s">
        <v>3846</v>
      </c>
      <c r="K350" t="s">
        <v>3847</v>
      </c>
      <c r="L350" t="s">
        <v>3848</v>
      </c>
      <c r="M350" t="s">
        <v>3849</v>
      </c>
      <c r="N350">
        <v>117659.73818356229</v>
      </c>
      <c r="O350">
        <v>119071.655041765</v>
      </c>
      <c r="P350">
        <v>124668.022828728</v>
      </c>
      <c r="Q350">
        <v>134641.46465502621</v>
      </c>
      <c r="R350">
        <v>140161.76470588229</v>
      </c>
      <c r="S350" t="s">
        <v>3850</v>
      </c>
      <c r="T350" t="s">
        <v>1589</v>
      </c>
      <c r="U350" t="s">
        <v>3851</v>
      </c>
      <c r="V350" t="s">
        <v>49</v>
      </c>
      <c r="W350">
        <v>338996155</v>
      </c>
      <c r="X350">
        <v>339500751</v>
      </c>
      <c r="Y350">
        <v>340560751</v>
      </c>
      <c r="Z350">
        <v>341660751</v>
      </c>
      <c r="AA350">
        <v>343660751</v>
      </c>
      <c r="AB350">
        <v>518520584.95294589</v>
      </c>
      <c r="AC350">
        <v>4406.9500149999994</v>
      </c>
      <c r="AD350">
        <v>525523912.02339822</v>
      </c>
      <c r="AE350">
        <v>4413.509763</v>
      </c>
      <c r="AF350">
        <v>551941461.24307775</v>
      </c>
      <c r="AG350">
        <v>4427.2897629999998</v>
      </c>
      <c r="AH350">
        <v>598022151.08709085</v>
      </c>
      <c r="AI350">
        <v>4441.5897629999999</v>
      </c>
      <c r="AJ350">
        <v>626185265.16401446</v>
      </c>
      <c r="AK350">
        <v>4467.5897629999999</v>
      </c>
    </row>
    <row r="351" spans="1:37" x14ac:dyDescent="0.35">
      <c r="A351" t="s">
        <v>3852</v>
      </c>
      <c r="B351">
        <v>570.96</v>
      </c>
      <c r="C351" t="s">
        <v>3178</v>
      </c>
      <c r="D351" t="s">
        <v>3853</v>
      </c>
      <c r="E351" t="s">
        <v>3854</v>
      </c>
      <c r="F351">
        <v>8.0000000000000007E-5</v>
      </c>
      <c r="G351" t="s">
        <v>3855</v>
      </c>
      <c r="H351">
        <v>30.5</v>
      </c>
      <c r="I351">
        <v>0</v>
      </c>
      <c r="J351" t="s">
        <v>3856</v>
      </c>
      <c r="K351" t="s">
        <v>3857</v>
      </c>
      <c r="L351" t="s">
        <v>3858</v>
      </c>
      <c r="M351" t="s">
        <v>3859</v>
      </c>
      <c r="N351">
        <v>78331.807125091684</v>
      </c>
      <c r="O351">
        <v>79271.788810592785</v>
      </c>
      <c r="P351">
        <v>82997.562884690647</v>
      </c>
      <c r="Q351">
        <v>89637.367915465904</v>
      </c>
      <c r="R351">
        <v>93312.5</v>
      </c>
      <c r="S351" t="s">
        <v>3860</v>
      </c>
      <c r="T351" t="s">
        <v>3861</v>
      </c>
      <c r="U351" t="s">
        <v>3862</v>
      </c>
      <c r="V351" t="s">
        <v>49</v>
      </c>
      <c r="W351">
        <v>338996155</v>
      </c>
      <c r="X351">
        <v>339500751</v>
      </c>
      <c r="Y351">
        <v>340560751</v>
      </c>
      <c r="Z351">
        <v>341660751</v>
      </c>
      <c r="AA351">
        <v>343660751</v>
      </c>
      <c r="AB351">
        <v>2124334514.3686149</v>
      </c>
      <c r="AC351">
        <v>27119.6924</v>
      </c>
      <c r="AD351">
        <v>2153026546.744772</v>
      </c>
      <c r="AE351">
        <v>27160.060079999999</v>
      </c>
      <c r="AF351">
        <v>2261256987.7743979</v>
      </c>
      <c r="AG351">
        <v>27244.860079999999</v>
      </c>
      <c r="AH351">
        <v>2450045635.1729112</v>
      </c>
      <c r="AI351">
        <v>27332.860079999999</v>
      </c>
      <c r="AJ351">
        <v>2565427506.2150002</v>
      </c>
      <c r="AK351">
        <v>27492.860079999999</v>
      </c>
    </row>
    <row r="352" spans="1:37" x14ac:dyDescent="0.35">
      <c r="A352" t="s">
        <v>3863</v>
      </c>
      <c r="B352">
        <v>153.35</v>
      </c>
      <c r="C352" t="s">
        <v>487</v>
      </c>
      <c r="D352" t="s">
        <v>3864</v>
      </c>
      <c r="E352" t="s">
        <v>3865</v>
      </c>
      <c r="F352">
        <v>2.8000000000000001E-2</v>
      </c>
      <c r="G352" t="s">
        <v>3866</v>
      </c>
      <c r="H352">
        <v>5725.3</v>
      </c>
      <c r="I352">
        <v>15.35</v>
      </c>
      <c r="J352" t="s">
        <v>3867</v>
      </c>
      <c r="K352" t="s">
        <v>3868</v>
      </c>
      <c r="L352" t="s">
        <v>3869</v>
      </c>
      <c r="M352" t="s">
        <v>3870</v>
      </c>
      <c r="N352">
        <v>4761.448013576749</v>
      </c>
      <c r="O352">
        <v>4818.5853897396701</v>
      </c>
      <c r="P352">
        <v>5045.0589030574338</v>
      </c>
      <c r="Q352">
        <v>5448.663615302029</v>
      </c>
      <c r="R352">
        <v>5672.0588235294117</v>
      </c>
      <c r="S352" t="s">
        <v>3871</v>
      </c>
      <c r="T352" t="s">
        <v>3872</v>
      </c>
      <c r="U352" t="s">
        <v>3873</v>
      </c>
      <c r="V352" t="s">
        <v>94</v>
      </c>
      <c r="W352">
        <v>265472419.80000001</v>
      </c>
      <c r="X352">
        <v>266439117.80000001</v>
      </c>
      <c r="Y352">
        <v>267499117.80000001</v>
      </c>
      <c r="Z352">
        <v>268599117.80000001</v>
      </c>
      <c r="AA352">
        <v>270179117.80000001</v>
      </c>
      <c r="AB352">
        <v>35392927525.651443</v>
      </c>
      <c r="AC352">
        <v>7433227.7544000009</v>
      </c>
      <c r="AD352">
        <v>35948069928.013786</v>
      </c>
      <c r="AE352">
        <v>7460295.2984000007</v>
      </c>
      <c r="AF352">
        <v>37787366562.873177</v>
      </c>
      <c r="AG352">
        <v>7489975.2984000007</v>
      </c>
      <c r="AH352">
        <v>40978174727.254341</v>
      </c>
      <c r="AI352">
        <v>7520775.2984000007</v>
      </c>
      <c r="AJ352">
        <v>42909211773.424713</v>
      </c>
      <c r="AK352">
        <v>7565015.2984000007</v>
      </c>
    </row>
    <row r="353" spans="1:37" x14ac:dyDescent="0.35">
      <c r="A353" t="s">
        <v>3874</v>
      </c>
      <c r="B353">
        <v>138.69</v>
      </c>
      <c r="C353" t="s">
        <v>1055</v>
      </c>
      <c r="D353" t="s">
        <v>3875</v>
      </c>
      <c r="E353" t="s">
        <v>3876</v>
      </c>
      <c r="F353">
        <v>5.1999999999999998E-3</v>
      </c>
      <c r="G353" t="s">
        <v>3877</v>
      </c>
      <c r="H353">
        <v>0.5</v>
      </c>
      <c r="I353">
        <v>21410000020</v>
      </c>
      <c r="J353" t="s">
        <v>3878</v>
      </c>
      <c r="K353" t="s">
        <v>3879</v>
      </c>
      <c r="L353" t="s">
        <v>3880</v>
      </c>
      <c r="M353" t="s">
        <v>3881</v>
      </c>
      <c r="N353">
        <v>470.62043530614358</v>
      </c>
      <c r="O353">
        <v>476.26788052981732</v>
      </c>
      <c r="P353">
        <v>498.65247091471872</v>
      </c>
      <c r="Q353">
        <v>538.54466858789624</v>
      </c>
      <c r="R353">
        <v>560.625</v>
      </c>
      <c r="S353" t="s">
        <v>3882</v>
      </c>
      <c r="T353" t="s">
        <v>3883</v>
      </c>
      <c r="U353" t="s">
        <v>3884</v>
      </c>
      <c r="V353" t="s">
        <v>49</v>
      </c>
      <c r="W353">
        <v>338996155</v>
      </c>
      <c r="X353">
        <v>339500751</v>
      </c>
      <c r="Y353">
        <v>340560751</v>
      </c>
      <c r="Z353">
        <v>341660751</v>
      </c>
      <c r="AA353">
        <v>343660751</v>
      </c>
      <c r="AB353">
        <v>829600293.77268636</v>
      </c>
      <c r="AC353">
        <v>1762780.0060000001</v>
      </c>
      <c r="AD353">
        <v>840805176.20866656</v>
      </c>
      <c r="AE353">
        <v>1765403.9051999999</v>
      </c>
      <c r="AF353">
        <v>883071591.91015577</v>
      </c>
      <c r="AG353">
        <v>1770915.9051999999</v>
      </c>
      <c r="AH353">
        <v>956797794.76729095</v>
      </c>
      <c r="AI353">
        <v>1776635.9051999999</v>
      </c>
      <c r="AJ353">
        <v>1001857004.3527499</v>
      </c>
      <c r="AK353">
        <v>1787035.9051999999</v>
      </c>
    </row>
    <row r="354" spans="1:37" x14ac:dyDescent="0.35">
      <c r="A354" t="s">
        <v>3885</v>
      </c>
      <c r="B354">
        <v>283.42</v>
      </c>
      <c r="C354" t="s">
        <v>1724</v>
      </c>
      <c r="D354" t="s">
        <v>3886</v>
      </c>
      <c r="E354" t="s">
        <v>3887</v>
      </c>
      <c r="F354">
        <v>4.0000000000000003E-5</v>
      </c>
      <c r="G354" t="s">
        <v>3888</v>
      </c>
      <c r="H354">
        <v>2010.25</v>
      </c>
      <c r="I354">
        <v>0.1</v>
      </c>
      <c r="J354" t="s">
        <v>3889</v>
      </c>
      <c r="K354" t="s">
        <v>3890</v>
      </c>
      <c r="L354" t="s">
        <v>3891</v>
      </c>
      <c r="M354" t="s">
        <v>3892</v>
      </c>
      <c r="N354">
        <v>3612.8926651750271</v>
      </c>
      <c r="O354">
        <v>3656.2473771571272</v>
      </c>
      <c r="P354">
        <v>3828.0910038835118</v>
      </c>
      <c r="Q354">
        <v>4134.338284194193</v>
      </c>
      <c r="R354">
        <v>4303.8461538461543</v>
      </c>
      <c r="S354" t="s">
        <v>3893</v>
      </c>
      <c r="T354" t="s">
        <v>3894</v>
      </c>
      <c r="U354" t="s">
        <v>3895</v>
      </c>
      <c r="V354" t="s">
        <v>49</v>
      </c>
      <c r="W354">
        <v>338996155</v>
      </c>
      <c r="X354">
        <v>339500751</v>
      </c>
      <c r="Y354">
        <v>340560751</v>
      </c>
      <c r="Z354">
        <v>341660751</v>
      </c>
      <c r="AA354">
        <v>343660751</v>
      </c>
      <c r="AB354">
        <v>48990268.876881473</v>
      </c>
      <c r="AC354">
        <v>13559.8462</v>
      </c>
      <c r="AD354">
        <v>49651949.215465002</v>
      </c>
      <c r="AE354">
        <v>13580.03004</v>
      </c>
      <c r="AF354">
        <v>52147901.887156516</v>
      </c>
      <c r="AG354">
        <v>13622.430039999999</v>
      </c>
      <c r="AH354">
        <v>56501644.922633581</v>
      </c>
      <c r="AI354">
        <v>13666.430039999999</v>
      </c>
      <c r="AJ354">
        <v>59162520.056769237</v>
      </c>
      <c r="AK354">
        <v>13746.430039999999</v>
      </c>
    </row>
    <row r="355" spans="1:37" x14ac:dyDescent="0.35">
      <c r="A355" t="s">
        <v>3896</v>
      </c>
      <c r="B355">
        <v>950.02</v>
      </c>
      <c r="C355" t="s">
        <v>3897</v>
      </c>
      <c r="D355" t="s">
        <v>3898</v>
      </c>
      <c r="E355" t="s">
        <v>3899</v>
      </c>
      <c r="F355">
        <v>4.6E-5</v>
      </c>
      <c r="G355" t="s">
        <v>3900</v>
      </c>
      <c r="H355">
        <v>0.4</v>
      </c>
      <c r="I355">
        <v>0.16</v>
      </c>
      <c r="J355" t="s">
        <v>3901</v>
      </c>
      <c r="K355" t="s">
        <v>3902</v>
      </c>
      <c r="L355" t="s">
        <v>3903</v>
      </c>
      <c r="M355" t="s">
        <v>3904</v>
      </c>
      <c r="N355">
        <v>83246.126795140968</v>
      </c>
      <c r="O355">
        <v>84245.080316682666</v>
      </c>
      <c r="P355">
        <v>88204.59909156675</v>
      </c>
      <c r="Q355">
        <v>95260.967018892101</v>
      </c>
      <c r="R355">
        <v>99166.666666666672</v>
      </c>
      <c r="S355" t="s">
        <v>3905</v>
      </c>
      <c r="T355" t="s">
        <v>3906</v>
      </c>
      <c r="U355" t="s">
        <v>3907</v>
      </c>
      <c r="V355" t="s">
        <v>49</v>
      </c>
      <c r="W355">
        <v>338996155</v>
      </c>
      <c r="X355">
        <v>339500751</v>
      </c>
      <c r="Y355">
        <v>340560751</v>
      </c>
      <c r="Z355">
        <v>341660751</v>
      </c>
      <c r="AA355">
        <v>343660751</v>
      </c>
      <c r="AB355">
        <v>1298125377.500982</v>
      </c>
      <c r="AC355">
        <v>15593.823130000001</v>
      </c>
      <c r="AD355">
        <v>1315658329.636178</v>
      </c>
      <c r="AE355">
        <v>15617.034546000001</v>
      </c>
      <c r="AF355">
        <v>1381795127.3807831</v>
      </c>
      <c r="AG355">
        <v>15665.794545999999</v>
      </c>
      <c r="AH355">
        <v>1497158942.5024021</v>
      </c>
      <c r="AI355">
        <v>15716.394546</v>
      </c>
      <c r="AJ355">
        <v>1567665792.478333</v>
      </c>
      <c r="AK355">
        <v>15808.394546</v>
      </c>
    </row>
    <row r="356" spans="1:37" x14ac:dyDescent="0.35">
      <c r="A356" t="s">
        <v>3908</v>
      </c>
      <c r="B356">
        <v>476.68</v>
      </c>
      <c r="C356" t="s">
        <v>208</v>
      </c>
      <c r="D356" t="s">
        <v>3909</v>
      </c>
      <c r="E356" t="s">
        <v>3910</v>
      </c>
      <c r="F356">
        <v>3.1E-2</v>
      </c>
      <c r="G356" t="s">
        <v>3911</v>
      </c>
      <c r="H356">
        <v>0.3</v>
      </c>
      <c r="I356">
        <v>0.01</v>
      </c>
      <c r="J356" t="s">
        <v>3912</v>
      </c>
      <c r="K356" t="s">
        <v>3913</v>
      </c>
      <c r="L356" t="s">
        <v>3914</v>
      </c>
      <c r="M356" t="s">
        <v>3915</v>
      </c>
      <c r="N356">
        <v>1106.1651733936201</v>
      </c>
      <c r="O356">
        <v>1119.4391554743429</v>
      </c>
      <c r="P356">
        <v>1172.0527957816371</v>
      </c>
      <c r="Q356">
        <v>1265.817019444168</v>
      </c>
      <c r="R356">
        <v>1317.7155172413791</v>
      </c>
      <c r="S356" t="s">
        <v>3916</v>
      </c>
      <c r="T356" t="s">
        <v>3917</v>
      </c>
      <c r="U356" t="s">
        <v>3918</v>
      </c>
      <c r="V356" t="s">
        <v>94</v>
      </c>
      <c r="W356">
        <v>265472419.80000001</v>
      </c>
      <c r="X356">
        <v>266439117.80000001</v>
      </c>
      <c r="Y356">
        <v>267499117.80000001</v>
      </c>
      <c r="Z356">
        <v>268599117.80000001</v>
      </c>
      <c r="AA356">
        <v>270179117.80000001</v>
      </c>
      <c r="AB356">
        <v>9103346703.6580143</v>
      </c>
      <c r="AC356">
        <v>8229645.0138000008</v>
      </c>
      <c r="AD356">
        <v>9246133811.4761925</v>
      </c>
      <c r="AE356">
        <v>8259612.6518000001</v>
      </c>
      <c r="AF356">
        <v>9719215755.4849567</v>
      </c>
      <c r="AG356">
        <v>8292472.6518000001</v>
      </c>
      <c r="AH356">
        <v>10539917376.2868</v>
      </c>
      <c r="AI356">
        <v>8326572.6518000001</v>
      </c>
      <c r="AJ356">
        <v>11036595694.749041</v>
      </c>
      <c r="AK356">
        <v>8375552.6518000001</v>
      </c>
    </row>
    <row r="357" spans="1:37" x14ac:dyDescent="0.35">
      <c r="A357" t="s">
        <v>3919</v>
      </c>
      <c r="B357">
        <v>4982.53</v>
      </c>
      <c r="C357" t="s">
        <v>348</v>
      </c>
      <c r="D357" t="s">
        <v>3920</v>
      </c>
      <c r="E357" t="s">
        <v>3921</v>
      </c>
      <c r="F357">
        <v>5.0000000000000001E-4</v>
      </c>
      <c r="G357" t="s">
        <v>3922</v>
      </c>
      <c r="H357">
        <v>0.25</v>
      </c>
      <c r="I357">
        <v>0.05</v>
      </c>
      <c r="J357" t="s">
        <v>3923</v>
      </c>
      <c r="K357" t="s">
        <v>3924</v>
      </c>
      <c r="L357" t="s">
        <v>3925</v>
      </c>
      <c r="M357" t="s">
        <v>3926</v>
      </c>
      <c r="N357">
        <v>128436.8813410747</v>
      </c>
      <c r="O357">
        <v>129978.1239171676</v>
      </c>
      <c r="P357">
        <v>136087.09574127439</v>
      </c>
      <c r="Q357">
        <v>146974.06340057639</v>
      </c>
      <c r="R357">
        <v>153000</v>
      </c>
      <c r="S357" t="s">
        <v>3927</v>
      </c>
      <c r="T357" t="s">
        <v>3928</v>
      </c>
      <c r="U357" t="s">
        <v>3929</v>
      </c>
      <c r="V357" t="s">
        <v>94</v>
      </c>
      <c r="W357">
        <v>265472419.80000001</v>
      </c>
      <c r="X357">
        <v>266439117.80000001</v>
      </c>
      <c r="Y357">
        <v>267499117.80000001</v>
      </c>
      <c r="Z357">
        <v>268599117.80000001</v>
      </c>
      <c r="AA357">
        <v>270179117.80000001</v>
      </c>
      <c r="AB357">
        <v>17048224840.590281</v>
      </c>
      <c r="AC357">
        <v>132736.20989999999</v>
      </c>
      <c r="AD357">
        <v>17315628334.8946</v>
      </c>
      <c r="AE357">
        <v>133219.5589</v>
      </c>
      <c r="AF357">
        <v>18201589027.377529</v>
      </c>
      <c r="AG357">
        <v>133749.5589</v>
      </c>
      <c r="AH357">
        <v>19738551884.438049</v>
      </c>
      <c r="AI357">
        <v>134299.5589</v>
      </c>
      <c r="AJ357">
        <v>20668702511.700001</v>
      </c>
      <c r="AK357">
        <v>135089.5589</v>
      </c>
    </row>
    <row r="358" spans="1:37" x14ac:dyDescent="0.35">
      <c r="A358" t="s">
        <v>3930</v>
      </c>
      <c r="B358">
        <v>71.209999999999994</v>
      </c>
      <c r="C358" t="s">
        <v>3931</v>
      </c>
      <c r="D358" t="s">
        <v>3932</v>
      </c>
      <c r="E358" t="s">
        <v>3933</v>
      </c>
      <c r="F358">
        <v>6.1999999999999998E-3</v>
      </c>
      <c r="G358" t="s">
        <v>3934</v>
      </c>
      <c r="H358">
        <v>75.25</v>
      </c>
      <c r="J358" t="s">
        <v>3935</v>
      </c>
      <c r="K358" t="s">
        <v>3936</v>
      </c>
      <c r="L358" t="s">
        <v>3937</v>
      </c>
      <c r="M358" t="s">
        <v>3938</v>
      </c>
      <c r="N358">
        <v>1129.7688636483419</v>
      </c>
      <c r="O358">
        <v>1143.326090012122</v>
      </c>
      <c r="P358">
        <v>1197.0624162426909</v>
      </c>
      <c r="Q358">
        <v>1292.827409542107</v>
      </c>
      <c r="R358">
        <v>1345.833333333333</v>
      </c>
      <c r="S358" t="s">
        <v>3939</v>
      </c>
      <c r="T358" t="s">
        <v>587</v>
      </c>
      <c r="U358" t="s">
        <v>3940</v>
      </c>
      <c r="V358" t="s">
        <v>3941</v>
      </c>
      <c r="W358">
        <v>138616800</v>
      </c>
      <c r="X358">
        <v>139915020</v>
      </c>
      <c r="Y358">
        <v>139915020</v>
      </c>
      <c r="Z358">
        <v>139915020</v>
      </c>
      <c r="AA358">
        <v>139915020</v>
      </c>
      <c r="AB358">
        <v>970950656.63513052</v>
      </c>
      <c r="AC358">
        <v>859424.15999999992</v>
      </c>
      <c r="AD358">
        <v>991804655.05352044</v>
      </c>
      <c r="AE358">
        <v>867473.12399999995</v>
      </c>
      <c r="AF358">
        <v>1038419473.841036</v>
      </c>
      <c r="AG358">
        <v>867473.12399999995</v>
      </c>
      <c r="AH358">
        <v>1121493031.7483189</v>
      </c>
      <c r="AI358">
        <v>867473.12399999995</v>
      </c>
      <c r="AJ358">
        <v>1167474246.05</v>
      </c>
      <c r="AK358">
        <v>867473.12399999995</v>
      </c>
    </row>
    <row r="359" spans="1:37" x14ac:dyDescent="0.35">
      <c r="A359" t="s">
        <v>3942</v>
      </c>
      <c r="B359">
        <v>21138.9</v>
      </c>
      <c r="C359" t="s">
        <v>3897</v>
      </c>
      <c r="D359" t="s">
        <v>3943</v>
      </c>
      <c r="E359" t="s">
        <v>3944</v>
      </c>
      <c r="F359">
        <v>4.6E-5</v>
      </c>
      <c r="G359" t="s">
        <v>3945</v>
      </c>
      <c r="H359">
        <v>60.3</v>
      </c>
      <c r="I359">
        <v>5015.7</v>
      </c>
      <c r="J359" t="s">
        <v>3946</v>
      </c>
      <c r="K359" t="s">
        <v>3947</v>
      </c>
      <c r="L359" t="s">
        <v>3948</v>
      </c>
      <c r="M359" t="s">
        <v>3949</v>
      </c>
      <c r="N359">
        <v>83246.126795140968</v>
      </c>
      <c r="O359">
        <v>84245.080316682666</v>
      </c>
      <c r="P359">
        <v>88204.59909156675</v>
      </c>
      <c r="Q359">
        <v>95260.967018892101</v>
      </c>
      <c r="R359">
        <v>99166.666666666672</v>
      </c>
      <c r="S359" t="s">
        <v>3950</v>
      </c>
      <c r="T359" t="s">
        <v>3951</v>
      </c>
      <c r="U359" t="s">
        <v>3952</v>
      </c>
      <c r="V359" t="s">
        <v>49</v>
      </c>
      <c r="W359">
        <v>338996155</v>
      </c>
      <c r="X359">
        <v>339500751</v>
      </c>
      <c r="Y359">
        <v>340560751</v>
      </c>
      <c r="Z359">
        <v>341660751</v>
      </c>
      <c r="AA359">
        <v>343660751</v>
      </c>
      <c r="AB359">
        <v>1298125377.500982</v>
      </c>
      <c r="AC359">
        <v>15593.823130000001</v>
      </c>
      <c r="AD359">
        <v>1315658329.636178</v>
      </c>
      <c r="AE359">
        <v>15617.034546000001</v>
      </c>
      <c r="AF359">
        <v>1381795127.3807831</v>
      </c>
      <c r="AG359">
        <v>15665.794545999999</v>
      </c>
      <c r="AH359">
        <v>1497158942.5024021</v>
      </c>
      <c r="AI359">
        <v>15716.394546</v>
      </c>
      <c r="AJ359">
        <v>1567665792.478333</v>
      </c>
      <c r="AK359">
        <v>15808.394546</v>
      </c>
    </row>
    <row r="360" spans="1:37" x14ac:dyDescent="0.35">
      <c r="A360" t="s">
        <v>3953</v>
      </c>
      <c r="B360">
        <v>488.27</v>
      </c>
      <c r="C360" t="s">
        <v>3954</v>
      </c>
      <c r="D360" t="s">
        <v>3955</v>
      </c>
      <c r="E360" t="s">
        <v>3956</v>
      </c>
      <c r="F360">
        <v>4.8999999999999998E-3</v>
      </c>
      <c r="G360" t="s">
        <v>3957</v>
      </c>
      <c r="H360">
        <v>0.2</v>
      </c>
      <c r="I360">
        <v>0.01</v>
      </c>
      <c r="J360" t="s">
        <v>3958</v>
      </c>
      <c r="K360" t="s">
        <v>3959</v>
      </c>
      <c r="L360" t="s">
        <v>3960</v>
      </c>
      <c r="M360" t="s">
        <v>3961</v>
      </c>
      <c r="N360">
        <v>12.59185111187006</v>
      </c>
      <c r="O360">
        <v>12.7429533252125</v>
      </c>
      <c r="P360">
        <v>13.341872131497491</v>
      </c>
      <c r="Q360">
        <v>14.40922190201729</v>
      </c>
      <c r="R360">
        <v>15</v>
      </c>
      <c r="S360" t="s">
        <v>3962</v>
      </c>
      <c r="T360" t="s">
        <v>3963</v>
      </c>
      <c r="U360" t="s">
        <v>3964</v>
      </c>
      <c r="V360" t="s">
        <v>49</v>
      </c>
      <c r="W360">
        <v>338996155</v>
      </c>
      <c r="X360">
        <v>339500751</v>
      </c>
      <c r="Y360">
        <v>340560751</v>
      </c>
      <c r="Z360">
        <v>341660751</v>
      </c>
      <c r="AA360">
        <v>343660751</v>
      </c>
      <c r="AB360">
        <v>20916086.645156492</v>
      </c>
      <c r="AC360">
        <v>1661081.1595000001</v>
      </c>
      <c r="AD360">
        <v>21198586.896951199</v>
      </c>
      <c r="AE360">
        <v>1663553.6799000001</v>
      </c>
      <c r="AF360">
        <v>22264218.164958909</v>
      </c>
      <c r="AG360">
        <v>1668747.6799000001</v>
      </c>
      <c r="AH360">
        <v>24123021.324207488</v>
      </c>
      <c r="AI360">
        <v>1674137.6799000001</v>
      </c>
      <c r="AJ360">
        <v>25259065.1985</v>
      </c>
      <c r="AK360">
        <v>1683937.6799000001</v>
      </c>
    </row>
    <row r="361" spans="1:37" x14ac:dyDescent="0.35">
      <c r="A361" t="s">
        <v>3965</v>
      </c>
      <c r="B361">
        <v>36.6</v>
      </c>
      <c r="C361" t="s">
        <v>1825</v>
      </c>
      <c r="D361" t="s">
        <v>3966</v>
      </c>
      <c r="E361" t="s">
        <v>3967</v>
      </c>
      <c r="F361">
        <v>0.1</v>
      </c>
      <c r="G361" t="s">
        <v>3968</v>
      </c>
      <c r="H361">
        <v>0.3</v>
      </c>
      <c r="J361" t="s">
        <v>3969</v>
      </c>
      <c r="K361" t="s">
        <v>3970</v>
      </c>
      <c r="L361" t="s">
        <v>3971</v>
      </c>
      <c r="M361" t="s">
        <v>3972</v>
      </c>
      <c r="N361">
        <v>4310.6103639635176</v>
      </c>
      <c r="O361">
        <v>4362.3376883310812</v>
      </c>
      <c r="P361">
        <v>4567.3675596826424</v>
      </c>
      <c r="Q361">
        <v>4932.7569644572532</v>
      </c>
      <c r="R361">
        <v>5135</v>
      </c>
      <c r="S361" t="s">
        <v>3973</v>
      </c>
      <c r="T361" t="s">
        <v>3974</v>
      </c>
      <c r="U361" t="s">
        <v>3975</v>
      </c>
      <c r="V361" t="s">
        <v>49</v>
      </c>
      <c r="W361">
        <v>338996155</v>
      </c>
      <c r="X361">
        <v>339500751</v>
      </c>
      <c r="Y361">
        <v>340560751</v>
      </c>
      <c r="Z361">
        <v>341660751</v>
      </c>
      <c r="AA361">
        <v>343660751</v>
      </c>
      <c r="AB361">
        <v>146128033908.67831</v>
      </c>
      <c r="AC361">
        <v>33899615.5</v>
      </c>
      <c r="AD361">
        <v>148101692130.4006</v>
      </c>
      <c r="AE361">
        <v>33950075.100000001</v>
      </c>
      <c r="AF361">
        <v>155546612621.8558</v>
      </c>
      <c r="AG361">
        <v>34056075.100000001</v>
      </c>
      <c r="AH361">
        <v>168532944897.69449</v>
      </c>
      <c r="AI361">
        <v>34166075.100000001</v>
      </c>
      <c r="AJ361">
        <v>176469795638.5</v>
      </c>
      <c r="AK361">
        <v>34366075.100000001</v>
      </c>
    </row>
    <row r="362" spans="1:37" x14ac:dyDescent="0.35">
      <c r="A362" t="s">
        <v>3976</v>
      </c>
      <c r="B362">
        <v>100.03</v>
      </c>
      <c r="C362" t="s">
        <v>290</v>
      </c>
      <c r="D362" t="s">
        <v>3977</v>
      </c>
      <c r="E362" t="s">
        <v>3978</v>
      </c>
      <c r="F362">
        <v>1.6E-2</v>
      </c>
      <c r="G362" t="s">
        <v>3979</v>
      </c>
      <c r="H362">
        <v>0.3</v>
      </c>
      <c r="I362">
        <v>1.02</v>
      </c>
      <c r="J362" t="s">
        <v>3980</v>
      </c>
      <c r="K362" t="s">
        <v>3981</v>
      </c>
      <c r="L362" t="s">
        <v>3982</v>
      </c>
      <c r="M362" t="s">
        <v>3983</v>
      </c>
      <c r="N362">
        <v>582.68173772575199</v>
      </c>
      <c r="O362">
        <v>589.67391857846098</v>
      </c>
      <c r="P362">
        <v>617.38859275164862</v>
      </c>
      <c r="Q362">
        <v>666.77968017178057</v>
      </c>
      <c r="R362">
        <v>694.11764705882354</v>
      </c>
      <c r="S362" t="s">
        <v>3984</v>
      </c>
      <c r="T362" t="s">
        <v>3985</v>
      </c>
      <c r="U362" t="s">
        <v>3986</v>
      </c>
      <c r="V362" t="s">
        <v>49</v>
      </c>
      <c r="W362">
        <v>338996155</v>
      </c>
      <c r="X362">
        <v>339500751</v>
      </c>
      <c r="Y362">
        <v>340560751</v>
      </c>
      <c r="Z362">
        <v>341660751</v>
      </c>
      <c r="AA362">
        <v>343660751</v>
      </c>
      <c r="AB362">
        <v>3160429898.8439741</v>
      </c>
      <c r="AC362">
        <v>5423938.4800000004</v>
      </c>
      <c r="AD362">
        <v>3203115811.240005</v>
      </c>
      <c r="AE362">
        <v>5432012.0159999998</v>
      </c>
      <c r="AF362">
        <v>3364133164.9013538</v>
      </c>
      <c r="AG362">
        <v>5448972.0159999998</v>
      </c>
      <c r="AH362">
        <v>3644999140.4644861</v>
      </c>
      <c r="AI362">
        <v>5466572.0159999998</v>
      </c>
      <c r="AJ362">
        <v>3816655869.9294109</v>
      </c>
      <c r="AK362">
        <v>5498572.0159999998</v>
      </c>
    </row>
    <row r="363" spans="1:37" x14ac:dyDescent="0.35">
      <c r="A363" t="s">
        <v>3987</v>
      </c>
      <c r="B363">
        <v>348.24</v>
      </c>
      <c r="C363" t="s">
        <v>1915</v>
      </c>
      <c r="D363" t="s">
        <v>3988</v>
      </c>
      <c r="E363" t="s">
        <v>3989</v>
      </c>
      <c r="F363">
        <v>3.3332999999999999E-6</v>
      </c>
      <c r="G363" t="s">
        <v>3990</v>
      </c>
      <c r="H363">
        <v>0.2</v>
      </c>
      <c r="I363">
        <v>5.13</v>
      </c>
      <c r="J363" t="s">
        <v>3991</v>
      </c>
      <c r="K363" t="s">
        <v>3992</v>
      </c>
      <c r="L363" t="s">
        <v>3993</v>
      </c>
      <c r="M363" t="s">
        <v>3994</v>
      </c>
      <c r="N363">
        <v>3927.4583229880441</v>
      </c>
      <c r="O363">
        <v>3974.5878228638999</v>
      </c>
      <c r="P363">
        <v>4161.3934505385032</v>
      </c>
      <c r="Q363">
        <v>4494.3049265815825</v>
      </c>
      <c r="R363">
        <v>4678.5714285714284</v>
      </c>
      <c r="S363" t="s">
        <v>3995</v>
      </c>
      <c r="T363" t="s">
        <v>3996</v>
      </c>
      <c r="U363" t="s">
        <v>3997</v>
      </c>
      <c r="V363" t="s">
        <v>49</v>
      </c>
      <c r="W363">
        <v>338996155</v>
      </c>
      <c r="X363">
        <v>339500751</v>
      </c>
      <c r="Y363">
        <v>340560751</v>
      </c>
      <c r="Z363">
        <v>341660751</v>
      </c>
      <c r="AA363">
        <v>343660751</v>
      </c>
      <c r="AB363">
        <v>4437933.1882766364</v>
      </c>
      <c r="AC363">
        <v>1129.9758834615</v>
      </c>
      <c r="AD363">
        <v>4497873.5234074714</v>
      </c>
      <c r="AE363">
        <v>1131.6578533083</v>
      </c>
      <c r="AF363">
        <v>4723977.0221636221</v>
      </c>
      <c r="AG363">
        <v>1135.1911513083001</v>
      </c>
      <c r="AH363">
        <v>5118374.1372096641</v>
      </c>
      <c r="AI363">
        <v>1138.8577813083</v>
      </c>
      <c r="AJ363">
        <v>5359417.6411209749</v>
      </c>
      <c r="AK363">
        <v>1145.5243813083</v>
      </c>
    </row>
    <row r="364" spans="1:37" x14ac:dyDescent="0.35">
      <c r="A364" t="s">
        <v>3998</v>
      </c>
      <c r="B364">
        <v>62.62</v>
      </c>
      <c r="C364" t="s">
        <v>290</v>
      </c>
      <c r="D364" t="s">
        <v>3999</v>
      </c>
      <c r="E364" t="s">
        <v>4000</v>
      </c>
      <c r="F364">
        <v>1.6E-2</v>
      </c>
      <c r="G364" t="s">
        <v>4001</v>
      </c>
      <c r="H364">
        <v>0.2</v>
      </c>
      <c r="I364">
        <v>1011502</v>
      </c>
      <c r="J364" t="s">
        <v>4002</v>
      </c>
      <c r="K364" t="s">
        <v>4003</v>
      </c>
      <c r="L364" t="s">
        <v>4004</v>
      </c>
      <c r="M364" t="s">
        <v>4005</v>
      </c>
      <c r="N364">
        <v>582.68173772575199</v>
      </c>
      <c r="O364">
        <v>589.67391857846098</v>
      </c>
      <c r="P364">
        <v>617.38859275164862</v>
      </c>
      <c r="Q364">
        <v>666.77968017178057</v>
      </c>
      <c r="R364">
        <v>694.11764705882354</v>
      </c>
      <c r="S364" t="s">
        <v>4006</v>
      </c>
      <c r="T364" t="s">
        <v>4007</v>
      </c>
      <c r="U364" t="s">
        <v>4008</v>
      </c>
      <c r="V364" t="s">
        <v>49</v>
      </c>
      <c r="W364">
        <v>338996155</v>
      </c>
      <c r="X364">
        <v>339500751</v>
      </c>
      <c r="Y364">
        <v>340560751</v>
      </c>
      <c r="Z364">
        <v>341660751</v>
      </c>
      <c r="AA364">
        <v>343660751</v>
      </c>
      <c r="AB364">
        <v>3160429898.8439741</v>
      </c>
      <c r="AC364">
        <v>5423938.4800000004</v>
      </c>
      <c r="AD364">
        <v>3203115811.240005</v>
      </c>
      <c r="AE364">
        <v>5432012.0159999998</v>
      </c>
      <c r="AF364">
        <v>3364133164.9013538</v>
      </c>
      <c r="AG364">
        <v>5448972.0159999998</v>
      </c>
      <c r="AH364">
        <v>3644999140.4644861</v>
      </c>
      <c r="AI364">
        <v>5466572.0159999998</v>
      </c>
      <c r="AJ364">
        <v>3816655869.9294109</v>
      </c>
      <c r="AK364">
        <v>5498572.0159999998</v>
      </c>
    </row>
    <row r="365" spans="1:37" x14ac:dyDescent="0.35">
      <c r="A365" t="s">
        <v>4009</v>
      </c>
      <c r="B365">
        <v>804.02</v>
      </c>
      <c r="C365" t="s">
        <v>2939</v>
      </c>
      <c r="D365" t="s">
        <v>4010</v>
      </c>
      <c r="E365" t="s">
        <v>4011</v>
      </c>
      <c r="F365">
        <v>1.4999999999999999E-2</v>
      </c>
      <c r="G365" t="s">
        <v>4012</v>
      </c>
      <c r="H365">
        <v>0.2</v>
      </c>
      <c r="I365">
        <v>10.15</v>
      </c>
      <c r="J365" t="s">
        <v>4013</v>
      </c>
      <c r="K365" t="s">
        <v>4014</v>
      </c>
      <c r="L365" t="s">
        <v>4015</v>
      </c>
      <c r="M365" t="s">
        <v>4016</v>
      </c>
      <c r="N365">
        <v>4775.5761253907194</v>
      </c>
      <c r="O365">
        <v>4832.8830388954084</v>
      </c>
      <c r="P365">
        <v>5060.0285417234927</v>
      </c>
      <c r="Q365">
        <v>5464.8308250613727</v>
      </c>
      <c r="R365">
        <v>5688.8888888888887</v>
      </c>
      <c r="S365" t="s">
        <v>4017</v>
      </c>
      <c r="T365" t="s">
        <v>4018</v>
      </c>
      <c r="U365" t="s">
        <v>4019</v>
      </c>
      <c r="V365" t="s">
        <v>49</v>
      </c>
      <c r="W365">
        <v>338996155</v>
      </c>
      <c r="X365">
        <v>339500751</v>
      </c>
      <c r="Y365">
        <v>340560751</v>
      </c>
      <c r="Z365">
        <v>341660751</v>
      </c>
      <c r="AA365">
        <v>343660751</v>
      </c>
      <c r="AB365">
        <v>24283529166.258781</v>
      </c>
      <c r="AC365">
        <v>5084942.3250000002</v>
      </c>
      <c r="AD365">
        <v>24611511318.0023</v>
      </c>
      <c r="AE365">
        <v>5092511.2649999997</v>
      </c>
      <c r="AF365">
        <v>25848706803.76181</v>
      </c>
      <c r="AG365">
        <v>5108411.2649999997</v>
      </c>
      <c r="AH365">
        <v>28006773056.67627</v>
      </c>
      <c r="AI365">
        <v>5124911.2649999997</v>
      </c>
      <c r="AJ365">
        <v>29325717418.66666</v>
      </c>
      <c r="AK365">
        <v>5154911.2649999997</v>
      </c>
    </row>
    <row r="366" spans="1:37" x14ac:dyDescent="0.35">
      <c r="A366" t="s">
        <v>4020</v>
      </c>
      <c r="B366">
        <v>61.91</v>
      </c>
      <c r="C366" t="s">
        <v>83</v>
      </c>
      <c r="D366" t="s">
        <v>4021</v>
      </c>
      <c r="E366" t="s">
        <v>4022</v>
      </c>
      <c r="F366">
        <v>4.5999999999999999E-2</v>
      </c>
      <c r="G366" t="s">
        <v>4023</v>
      </c>
      <c r="H366">
        <v>0.1</v>
      </c>
      <c r="I366">
        <v>0.12</v>
      </c>
      <c r="J366" t="s">
        <v>4024</v>
      </c>
      <c r="K366" t="s">
        <v>4025</v>
      </c>
      <c r="L366" t="s">
        <v>4026</v>
      </c>
      <c r="M366" t="s">
        <v>4027</v>
      </c>
      <c r="N366">
        <v>963.93530786561541</v>
      </c>
      <c r="O366">
        <v>975.50253156000281</v>
      </c>
      <c r="P366">
        <v>1021.351150543323</v>
      </c>
      <c r="Q366">
        <v>1103.059242586789</v>
      </c>
      <c r="R366">
        <v>1148.2846715328469</v>
      </c>
      <c r="S366" t="s">
        <v>4028</v>
      </c>
      <c r="T366" t="s">
        <v>4029</v>
      </c>
      <c r="U366" t="s">
        <v>4030</v>
      </c>
      <c r="V366" t="s">
        <v>94</v>
      </c>
      <c r="W366">
        <v>265472419.80000001</v>
      </c>
      <c r="X366">
        <v>266439117.80000001</v>
      </c>
      <c r="Y366">
        <v>267499117.80000001</v>
      </c>
      <c r="Z366">
        <v>268599117.80000001</v>
      </c>
      <c r="AA366">
        <v>270179117.80000001</v>
      </c>
      <c r="AB366">
        <v>11771318980.64817</v>
      </c>
      <c r="AC366">
        <v>12211731.310799999</v>
      </c>
      <c r="AD366">
        <v>11955953560.343639</v>
      </c>
      <c r="AE366">
        <v>12256199.4188</v>
      </c>
      <c r="AF366">
        <v>12567684459.780279</v>
      </c>
      <c r="AG366">
        <v>12304959.4188</v>
      </c>
      <c r="AH366">
        <v>13628914014.237591</v>
      </c>
      <c r="AI366">
        <v>12355559.4188</v>
      </c>
      <c r="AJ366">
        <v>14271156818.748341</v>
      </c>
      <c r="AK366">
        <v>12428239.4188</v>
      </c>
    </row>
    <row r="367" spans="1:37" x14ac:dyDescent="0.35">
      <c r="A367" t="s">
        <v>4031</v>
      </c>
      <c r="B367">
        <v>137.47</v>
      </c>
      <c r="C367" t="s">
        <v>83</v>
      </c>
      <c r="D367" t="s">
        <v>188</v>
      </c>
      <c r="E367" t="s">
        <v>2085</v>
      </c>
      <c r="F367">
        <v>4.5999999999999999E-2</v>
      </c>
      <c r="G367" t="s">
        <v>4032</v>
      </c>
      <c r="H367">
        <v>10.3</v>
      </c>
      <c r="I367">
        <v>0.15</v>
      </c>
      <c r="J367" t="s">
        <v>4033</v>
      </c>
      <c r="K367" t="s">
        <v>4034</v>
      </c>
      <c r="L367" t="s">
        <v>4035</v>
      </c>
      <c r="M367" t="s">
        <v>4036</v>
      </c>
      <c r="N367">
        <v>963.93530786561541</v>
      </c>
      <c r="O367">
        <v>975.50253156000281</v>
      </c>
      <c r="P367">
        <v>1021.351150543323</v>
      </c>
      <c r="Q367">
        <v>1103.059242586789</v>
      </c>
      <c r="R367">
        <v>1148.2846715328469</v>
      </c>
      <c r="S367" t="s">
        <v>4037</v>
      </c>
      <c r="T367" t="s">
        <v>4038</v>
      </c>
      <c r="U367" t="s">
        <v>691</v>
      </c>
      <c r="V367" t="s">
        <v>94</v>
      </c>
      <c r="W367">
        <v>265472419.80000001</v>
      </c>
      <c r="X367">
        <v>266439117.80000001</v>
      </c>
      <c r="Y367">
        <v>267499117.80000001</v>
      </c>
      <c r="Z367">
        <v>268599117.80000001</v>
      </c>
      <c r="AA367">
        <v>270179117.80000001</v>
      </c>
      <c r="AB367">
        <v>11771318980.64817</v>
      </c>
      <c r="AC367">
        <v>12211731.310799999</v>
      </c>
      <c r="AD367">
        <v>11955953560.343639</v>
      </c>
      <c r="AE367">
        <v>12256199.4188</v>
      </c>
      <c r="AF367">
        <v>12567684459.780279</v>
      </c>
      <c r="AG367">
        <v>12304959.4188</v>
      </c>
      <c r="AH367">
        <v>13628914014.237591</v>
      </c>
      <c r="AI367">
        <v>12355559.4188</v>
      </c>
      <c r="AJ367">
        <v>14271156818.748341</v>
      </c>
      <c r="AK367">
        <v>12428239.4188</v>
      </c>
    </row>
    <row r="368" spans="1:37" x14ac:dyDescent="0.35">
      <c r="A368" t="s">
        <v>4039</v>
      </c>
      <c r="B368">
        <v>318.16000000000003</v>
      </c>
      <c r="C368" t="s">
        <v>83</v>
      </c>
      <c r="D368" t="s">
        <v>2218</v>
      </c>
      <c r="E368" t="s">
        <v>4040</v>
      </c>
      <c r="F368">
        <v>4.5999999999999999E-2</v>
      </c>
      <c r="G368" t="s">
        <v>4041</v>
      </c>
      <c r="H368">
        <v>0.15</v>
      </c>
      <c r="I368">
        <v>0.02</v>
      </c>
      <c r="J368" t="s">
        <v>4042</v>
      </c>
      <c r="K368" t="s">
        <v>4043</v>
      </c>
      <c r="L368" t="s">
        <v>4044</v>
      </c>
      <c r="M368" t="s">
        <v>4045</v>
      </c>
      <c r="N368">
        <v>963.93530786561541</v>
      </c>
      <c r="O368">
        <v>975.50253156000281</v>
      </c>
      <c r="P368">
        <v>1021.351150543323</v>
      </c>
      <c r="Q368">
        <v>1103.059242586789</v>
      </c>
      <c r="R368">
        <v>1148.2846715328469</v>
      </c>
      <c r="S368" t="s">
        <v>4046</v>
      </c>
      <c r="T368" t="s">
        <v>4047</v>
      </c>
      <c r="U368" t="s">
        <v>4048</v>
      </c>
      <c r="V368" t="s">
        <v>94</v>
      </c>
      <c r="W368">
        <v>265472419.80000001</v>
      </c>
      <c r="X368">
        <v>266439117.80000001</v>
      </c>
      <c r="Y368">
        <v>267499117.80000001</v>
      </c>
      <c r="Z368">
        <v>268599117.80000001</v>
      </c>
      <c r="AA368">
        <v>270179117.80000001</v>
      </c>
      <c r="AB368">
        <v>11771318980.64817</v>
      </c>
      <c r="AC368">
        <v>12211731.310799999</v>
      </c>
      <c r="AD368">
        <v>11955953560.343639</v>
      </c>
      <c r="AE368">
        <v>12256199.4188</v>
      </c>
      <c r="AF368">
        <v>12567684459.780279</v>
      </c>
      <c r="AG368">
        <v>12304959.4188</v>
      </c>
      <c r="AH368">
        <v>13628914014.237591</v>
      </c>
      <c r="AI368">
        <v>12355559.4188</v>
      </c>
      <c r="AJ368">
        <v>14271156818.748341</v>
      </c>
      <c r="AK368">
        <v>12428239.4188</v>
      </c>
    </row>
    <row r="369" spans="1:37" x14ac:dyDescent="0.35">
      <c r="A369" t="s">
        <v>4049</v>
      </c>
      <c r="B369">
        <v>1608.04</v>
      </c>
      <c r="C369" t="s">
        <v>1724</v>
      </c>
      <c r="D369" t="s">
        <v>4050</v>
      </c>
      <c r="E369" t="s">
        <v>4051</v>
      </c>
      <c r="F369">
        <v>4.0000000000000003E-5</v>
      </c>
      <c r="G369" t="s">
        <v>4052</v>
      </c>
      <c r="H369">
        <v>0.1</v>
      </c>
      <c r="I369">
        <v>0.01</v>
      </c>
      <c r="J369" t="s">
        <v>4053</v>
      </c>
      <c r="K369" t="s">
        <v>4054</v>
      </c>
      <c r="L369" t="s">
        <v>4055</v>
      </c>
      <c r="M369" t="s">
        <v>4056</v>
      </c>
      <c r="N369">
        <v>3612.8926651750271</v>
      </c>
      <c r="O369">
        <v>3656.2473771571272</v>
      </c>
      <c r="P369">
        <v>3828.0910038835118</v>
      </c>
      <c r="Q369">
        <v>4134.338284194193</v>
      </c>
      <c r="R369">
        <v>4303.8461538461543</v>
      </c>
      <c r="S369" t="s">
        <v>4057</v>
      </c>
      <c r="T369" t="s">
        <v>3996</v>
      </c>
      <c r="U369" t="s">
        <v>4058</v>
      </c>
      <c r="V369" t="s">
        <v>49</v>
      </c>
      <c r="W369">
        <v>338996155</v>
      </c>
      <c r="X369">
        <v>339500751</v>
      </c>
      <c r="Y369">
        <v>340560751</v>
      </c>
      <c r="Z369">
        <v>341660751</v>
      </c>
      <c r="AA369">
        <v>343660751</v>
      </c>
      <c r="AB369">
        <v>48990268.876881473</v>
      </c>
      <c r="AC369">
        <v>13559.8462</v>
      </c>
      <c r="AD369">
        <v>49651949.215465002</v>
      </c>
      <c r="AE369">
        <v>13580.03004</v>
      </c>
      <c r="AF369">
        <v>52147901.887156516</v>
      </c>
      <c r="AG369">
        <v>13622.430039999999</v>
      </c>
      <c r="AH369">
        <v>56501644.922633581</v>
      </c>
      <c r="AI369">
        <v>13666.430039999999</v>
      </c>
      <c r="AJ369">
        <v>59162520.056769237</v>
      </c>
      <c r="AK369">
        <v>13746.430039999999</v>
      </c>
    </row>
    <row r="370" spans="1:37" x14ac:dyDescent="0.35">
      <c r="A370" t="s">
        <v>4059</v>
      </c>
      <c r="B370">
        <v>804.02</v>
      </c>
      <c r="C370" t="s">
        <v>1724</v>
      </c>
      <c r="D370" t="s">
        <v>4060</v>
      </c>
      <c r="E370" t="s">
        <v>4061</v>
      </c>
      <c r="F370">
        <v>4.0000000000000003E-5</v>
      </c>
      <c r="G370" t="s">
        <v>4062</v>
      </c>
      <c r="H370">
        <v>0.1</v>
      </c>
      <c r="I370">
        <v>0.01</v>
      </c>
      <c r="J370" t="s">
        <v>4063</v>
      </c>
      <c r="K370" t="s">
        <v>4064</v>
      </c>
      <c r="L370" t="s">
        <v>4065</v>
      </c>
      <c r="M370" t="s">
        <v>4066</v>
      </c>
      <c r="N370">
        <v>3612.8926651750271</v>
      </c>
      <c r="O370">
        <v>3656.2473771571272</v>
      </c>
      <c r="P370">
        <v>3828.0910038835118</v>
      </c>
      <c r="Q370">
        <v>4134.338284194193</v>
      </c>
      <c r="R370">
        <v>4303.8461538461543</v>
      </c>
      <c r="S370" t="s">
        <v>4067</v>
      </c>
      <c r="T370" t="s">
        <v>4068</v>
      </c>
      <c r="U370" t="s">
        <v>4069</v>
      </c>
      <c r="V370" t="s">
        <v>49</v>
      </c>
      <c r="W370">
        <v>338996155</v>
      </c>
      <c r="X370">
        <v>339500751</v>
      </c>
      <c r="Y370">
        <v>340560751</v>
      </c>
      <c r="Z370">
        <v>341660751</v>
      </c>
      <c r="AA370">
        <v>343660751</v>
      </c>
      <c r="AB370">
        <v>48990268.876881473</v>
      </c>
      <c r="AC370">
        <v>13559.8462</v>
      </c>
      <c r="AD370">
        <v>49651949.215465002</v>
      </c>
      <c r="AE370">
        <v>13580.03004</v>
      </c>
      <c r="AF370">
        <v>52147901.887156516</v>
      </c>
      <c r="AG370">
        <v>13622.430039999999</v>
      </c>
      <c r="AH370">
        <v>56501644.922633581</v>
      </c>
      <c r="AI370">
        <v>13666.430039999999</v>
      </c>
      <c r="AJ370">
        <v>59162520.056769237</v>
      </c>
      <c r="AK370">
        <v>13746.430039999999</v>
      </c>
    </row>
    <row r="371" spans="1:37" x14ac:dyDescent="0.35">
      <c r="A371" t="s">
        <v>4070</v>
      </c>
      <c r="B371">
        <v>105.45</v>
      </c>
      <c r="C371" t="s">
        <v>208</v>
      </c>
      <c r="D371" t="s">
        <v>4071</v>
      </c>
      <c r="E371" t="s">
        <v>4072</v>
      </c>
      <c r="F371">
        <v>3.1E-2</v>
      </c>
      <c r="G371" t="s">
        <v>4073</v>
      </c>
      <c r="H371">
        <v>50.6</v>
      </c>
      <c r="I371">
        <v>0.12</v>
      </c>
      <c r="J371" t="s">
        <v>4074</v>
      </c>
      <c r="K371" t="s">
        <v>4075</v>
      </c>
      <c r="L371" t="s">
        <v>4076</v>
      </c>
      <c r="M371" t="s">
        <v>4077</v>
      </c>
      <c r="N371">
        <v>1106.1651733936201</v>
      </c>
      <c r="O371">
        <v>1119.4391554743429</v>
      </c>
      <c r="P371">
        <v>1172.0527957816371</v>
      </c>
      <c r="Q371">
        <v>1265.817019444168</v>
      </c>
      <c r="R371">
        <v>1317.7155172413791</v>
      </c>
      <c r="S371" t="s">
        <v>4078</v>
      </c>
      <c r="T371" t="s">
        <v>4079</v>
      </c>
      <c r="U371" t="s">
        <v>218</v>
      </c>
      <c r="V371" t="s">
        <v>94</v>
      </c>
      <c r="W371">
        <v>265472419.80000001</v>
      </c>
      <c r="X371">
        <v>266439117.80000001</v>
      </c>
      <c r="Y371">
        <v>267499117.80000001</v>
      </c>
      <c r="Z371">
        <v>268599117.80000001</v>
      </c>
      <c r="AA371">
        <v>270179117.80000001</v>
      </c>
      <c r="AB371">
        <v>9103346703.6580143</v>
      </c>
      <c r="AC371">
        <v>8229645.0138000008</v>
      </c>
      <c r="AD371">
        <v>9246133811.4761925</v>
      </c>
      <c r="AE371">
        <v>8259612.6518000001</v>
      </c>
      <c r="AF371">
        <v>9719215755.4849567</v>
      </c>
      <c r="AG371">
        <v>8292472.6518000001</v>
      </c>
      <c r="AH371">
        <v>10539917376.2868</v>
      </c>
      <c r="AI371">
        <v>8326572.6518000001</v>
      </c>
      <c r="AJ371">
        <v>11036595694.749041</v>
      </c>
      <c r="AK371">
        <v>8375552.6518000001</v>
      </c>
    </row>
    <row r="372" spans="1:37" x14ac:dyDescent="0.35">
      <c r="A372" t="s">
        <v>4080</v>
      </c>
      <c r="B372">
        <v>168.66</v>
      </c>
      <c r="C372" t="s">
        <v>4081</v>
      </c>
      <c r="D372" t="s">
        <v>4082</v>
      </c>
      <c r="E372" t="s">
        <v>4083</v>
      </c>
      <c r="F372">
        <v>0.06</v>
      </c>
      <c r="G372" t="s">
        <v>4084</v>
      </c>
      <c r="H372">
        <v>5.0999999999999996</v>
      </c>
      <c r="I372">
        <v>1.2</v>
      </c>
      <c r="J372" t="s">
        <v>4085</v>
      </c>
      <c r="K372" t="s">
        <v>4086</v>
      </c>
      <c r="L372" t="s">
        <v>4087</v>
      </c>
      <c r="M372" t="s">
        <v>4088</v>
      </c>
      <c r="N372">
        <v>447.71026175538009</v>
      </c>
      <c r="O372">
        <v>453.08278489644471</v>
      </c>
      <c r="P372">
        <v>474.37767578657753</v>
      </c>
      <c r="Q372">
        <v>512.32788984950378</v>
      </c>
      <c r="R372">
        <v>533.33333333333337</v>
      </c>
      <c r="S372" t="s">
        <v>4089</v>
      </c>
      <c r="T372" t="s">
        <v>4090</v>
      </c>
      <c r="U372" t="s">
        <v>4091</v>
      </c>
      <c r="V372" t="s">
        <v>49</v>
      </c>
      <c r="W372">
        <v>338996155</v>
      </c>
      <c r="X372">
        <v>339500751</v>
      </c>
      <c r="Y372">
        <v>340560751</v>
      </c>
      <c r="Z372">
        <v>341660751</v>
      </c>
      <c r="AA372">
        <v>343660751</v>
      </c>
      <c r="AB372">
        <v>9106323437.347044</v>
      </c>
      <c r="AC372">
        <v>20339769.300000001</v>
      </c>
      <c r="AD372">
        <v>9229316744.250864</v>
      </c>
      <c r="AE372">
        <v>20370045.059999999</v>
      </c>
      <c r="AF372">
        <v>9693265051.4106808</v>
      </c>
      <c r="AG372">
        <v>20433645.059999999</v>
      </c>
      <c r="AH372">
        <v>10502539896.253599</v>
      </c>
      <c r="AI372">
        <v>20499645.059999999</v>
      </c>
      <c r="AJ372">
        <v>10997144032</v>
      </c>
      <c r="AK372">
        <v>20619645.059999999</v>
      </c>
    </row>
    <row r="373" spans="1:37" x14ac:dyDescent="0.35">
      <c r="A373" t="s">
        <v>4092</v>
      </c>
      <c r="B373">
        <v>3.61</v>
      </c>
      <c r="C373" t="s">
        <v>863</v>
      </c>
      <c r="D373" t="s">
        <v>4093</v>
      </c>
      <c r="E373" t="s">
        <v>4094</v>
      </c>
      <c r="F373">
        <v>0.1</v>
      </c>
      <c r="G373" t="s">
        <v>4095</v>
      </c>
      <c r="H373">
        <v>0.3</v>
      </c>
      <c r="I373">
        <v>0</v>
      </c>
      <c r="J373" t="s">
        <v>4096</v>
      </c>
      <c r="K373" t="s">
        <v>4097</v>
      </c>
      <c r="L373" t="s">
        <v>4098</v>
      </c>
      <c r="M373" t="s">
        <v>4099</v>
      </c>
      <c r="N373">
        <v>278.56709214154648</v>
      </c>
      <c r="O373">
        <v>281.90989724724511</v>
      </c>
      <c r="P373">
        <v>295.1596624178656</v>
      </c>
      <c r="Q373">
        <v>318.77243541129491</v>
      </c>
      <c r="R373">
        <v>331.84210526315792</v>
      </c>
      <c r="S373" t="s">
        <v>4100</v>
      </c>
      <c r="T373" t="s">
        <v>4101</v>
      </c>
      <c r="U373" t="s">
        <v>4102</v>
      </c>
      <c r="V373" t="s">
        <v>49</v>
      </c>
      <c r="W373">
        <v>338996155</v>
      </c>
      <c r="X373">
        <v>339500751</v>
      </c>
      <c r="Y373">
        <v>340560751</v>
      </c>
      <c r="Z373">
        <v>341660751</v>
      </c>
      <c r="AA373">
        <v>343660751</v>
      </c>
      <c r="AB373">
        <v>9443317314.5515003</v>
      </c>
      <c r="AC373">
        <v>33899615.5</v>
      </c>
      <c r="AD373">
        <v>9570862182.9772549</v>
      </c>
      <c r="AE373">
        <v>33950075.100000001</v>
      </c>
      <c r="AF373">
        <v>10051979629.79348</v>
      </c>
      <c r="AG373">
        <v>34056075.100000001</v>
      </c>
      <c r="AH373">
        <v>10891202968.072201</v>
      </c>
      <c r="AI373">
        <v>34166075.100000001</v>
      </c>
      <c r="AJ373">
        <v>11404110710.81579</v>
      </c>
      <c r="AK373">
        <v>34366075.100000001</v>
      </c>
    </row>
    <row r="374" spans="1:37" x14ac:dyDescent="0.35">
      <c r="A374" t="s">
        <v>4103</v>
      </c>
      <c r="B374">
        <v>0.28000000000000003</v>
      </c>
      <c r="C374" t="s">
        <v>863</v>
      </c>
      <c r="D374" t="s">
        <v>4104</v>
      </c>
      <c r="E374" t="s">
        <v>4105</v>
      </c>
      <c r="F374">
        <v>0.1</v>
      </c>
      <c r="G374" t="s">
        <v>4106</v>
      </c>
      <c r="H374">
        <v>0.3</v>
      </c>
      <c r="I374">
        <v>0.01</v>
      </c>
      <c r="J374" t="s">
        <v>4107</v>
      </c>
      <c r="K374" t="s">
        <v>4108</v>
      </c>
      <c r="L374" t="s">
        <v>4109</v>
      </c>
      <c r="M374" t="s">
        <v>4110</v>
      </c>
      <c r="N374">
        <v>278.56709214154648</v>
      </c>
      <c r="O374">
        <v>281.90989724724511</v>
      </c>
      <c r="P374">
        <v>295.1596624178656</v>
      </c>
      <c r="Q374">
        <v>318.77243541129491</v>
      </c>
      <c r="R374">
        <v>331.84210526315792</v>
      </c>
      <c r="S374" t="s">
        <v>4111</v>
      </c>
      <c r="T374" t="s">
        <v>4112</v>
      </c>
      <c r="U374" t="s">
        <v>4113</v>
      </c>
      <c r="V374" t="s">
        <v>49</v>
      </c>
      <c r="W374">
        <v>338996155</v>
      </c>
      <c r="X374">
        <v>339500751</v>
      </c>
      <c r="Y374">
        <v>340560751</v>
      </c>
      <c r="Z374">
        <v>341660751</v>
      </c>
      <c r="AA374">
        <v>343660751</v>
      </c>
      <c r="AB374">
        <v>9443317314.5515003</v>
      </c>
      <c r="AC374">
        <v>33899615.5</v>
      </c>
      <c r="AD374">
        <v>9570862182.9772549</v>
      </c>
      <c r="AE374">
        <v>33950075.100000001</v>
      </c>
      <c r="AF374">
        <v>10051979629.79348</v>
      </c>
      <c r="AG374">
        <v>34056075.100000001</v>
      </c>
      <c r="AH374">
        <v>10891202968.072201</v>
      </c>
      <c r="AI374">
        <v>34166075.100000001</v>
      </c>
      <c r="AJ374">
        <v>11404110710.81579</v>
      </c>
      <c r="AK374">
        <v>34366075.100000001</v>
      </c>
    </row>
    <row r="375" spans="1:37" x14ac:dyDescent="0.35">
      <c r="A375" t="s">
        <v>4114</v>
      </c>
      <c r="B375">
        <v>269.58999999999997</v>
      </c>
      <c r="C375" t="s">
        <v>2634</v>
      </c>
      <c r="D375" t="s">
        <v>4115</v>
      </c>
      <c r="E375" t="s">
        <v>4116</v>
      </c>
      <c r="F375">
        <v>6.5000000000000003E-9</v>
      </c>
      <c r="G375" t="s">
        <v>4117</v>
      </c>
      <c r="H375">
        <v>1</v>
      </c>
      <c r="I375">
        <v>0.99</v>
      </c>
      <c r="J375" t="s">
        <v>4118</v>
      </c>
      <c r="K375" t="s">
        <v>4119</v>
      </c>
      <c r="L375" t="s">
        <v>4120</v>
      </c>
      <c r="M375" t="s">
        <v>4121</v>
      </c>
      <c r="N375">
        <v>2560.3430594135798</v>
      </c>
      <c r="O375">
        <v>2591.067176126543</v>
      </c>
      <c r="P375">
        <v>2712.8473334044902</v>
      </c>
      <c r="Q375">
        <v>2929.8751200768488</v>
      </c>
      <c r="R375">
        <v>3050</v>
      </c>
      <c r="S375" t="s">
        <v>4122</v>
      </c>
      <c r="T375" t="s">
        <v>4123</v>
      </c>
      <c r="U375" t="s">
        <v>4124</v>
      </c>
      <c r="V375" t="s">
        <v>49</v>
      </c>
      <c r="W375">
        <v>338996155</v>
      </c>
      <c r="X375">
        <v>339500751</v>
      </c>
      <c r="Y375">
        <v>340560751</v>
      </c>
      <c r="Z375">
        <v>341660751</v>
      </c>
      <c r="AA375">
        <v>343660751</v>
      </c>
      <c r="AB375">
        <v>5641.6519420439108</v>
      </c>
      <c r="AC375">
        <v>2.2034750074999998</v>
      </c>
      <c r="AD375">
        <v>5717.8501392116686</v>
      </c>
      <c r="AE375">
        <v>2.2067548815000002</v>
      </c>
      <c r="AF375">
        <v>6005.2806138817732</v>
      </c>
      <c r="AG375">
        <v>2.2136448815000001</v>
      </c>
      <c r="AH375">
        <v>6506.651670100865</v>
      </c>
      <c r="AI375">
        <v>2.2207948814999998</v>
      </c>
      <c r="AJ375">
        <v>6813.0743885749998</v>
      </c>
      <c r="AK375">
        <v>2.2337948815000002</v>
      </c>
    </row>
    <row r="376" spans="1:37" x14ac:dyDescent="0.35">
      <c r="A376" t="s">
        <v>4125</v>
      </c>
      <c r="B376">
        <v>215.97</v>
      </c>
      <c r="C376" t="s">
        <v>1019</v>
      </c>
      <c r="D376" t="s">
        <v>4126</v>
      </c>
      <c r="E376" t="s">
        <v>4127</v>
      </c>
      <c r="F376">
        <v>0.28999999999999998</v>
      </c>
      <c r="G376" t="s">
        <v>4128</v>
      </c>
      <c r="H376">
        <v>0.2</v>
      </c>
      <c r="I376">
        <v>0</v>
      </c>
      <c r="J376" t="s">
        <v>4129</v>
      </c>
      <c r="K376" t="s">
        <v>4130</v>
      </c>
      <c r="L376" t="s">
        <v>4131</v>
      </c>
      <c r="M376" t="s">
        <v>4132</v>
      </c>
      <c r="N376">
        <v>349.3072771403954</v>
      </c>
      <c r="O376">
        <v>353.49896446608022</v>
      </c>
      <c r="P376">
        <v>370.11341579598587</v>
      </c>
      <c r="Q376">
        <v>399.72248905966478</v>
      </c>
      <c r="R376">
        <v>416.11111111111109</v>
      </c>
      <c r="S376" t="s">
        <v>4133</v>
      </c>
      <c r="T376" t="s">
        <v>1157</v>
      </c>
      <c r="U376" t="s">
        <v>4134</v>
      </c>
      <c r="V376" t="s">
        <v>1029</v>
      </c>
      <c r="W376">
        <v>139921842</v>
      </c>
      <c r="X376">
        <v>139603232</v>
      </c>
      <c r="Y376">
        <v>140663232</v>
      </c>
      <c r="Z376">
        <v>141763232</v>
      </c>
      <c r="AA376">
        <v>143763232</v>
      </c>
      <c r="AB376">
        <v>14173958116.0317</v>
      </c>
      <c r="AC376">
        <v>40577334.18</v>
      </c>
      <c r="AD376">
        <v>14311383404.954201</v>
      </c>
      <c r="AE376">
        <v>40484937.279999986</v>
      </c>
      <c r="AF376">
        <v>15097791289.002741</v>
      </c>
      <c r="AG376">
        <v>40792337.279999986</v>
      </c>
      <c r="AH376">
        <v>16433126066.13299</v>
      </c>
      <c r="AI376">
        <v>41111337.279999986</v>
      </c>
      <c r="AJ376">
        <v>17348228679.288891</v>
      </c>
      <c r="AK376">
        <v>41691337.279999986</v>
      </c>
    </row>
    <row r="377" spans="1:37" x14ac:dyDescent="0.35">
      <c r="A377" t="s">
        <v>4135</v>
      </c>
      <c r="B377">
        <v>36.58</v>
      </c>
      <c r="C377" t="s">
        <v>208</v>
      </c>
      <c r="D377" t="s">
        <v>4136</v>
      </c>
      <c r="E377" t="s">
        <v>4137</v>
      </c>
      <c r="F377">
        <v>3.1E-2</v>
      </c>
      <c r="G377" t="s">
        <v>4138</v>
      </c>
      <c r="H377">
        <v>0.2</v>
      </c>
      <c r="I377">
        <v>0.02</v>
      </c>
      <c r="J377" t="s">
        <v>4139</v>
      </c>
      <c r="K377" t="s">
        <v>4140</v>
      </c>
      <c r="L377" t="s">
        <v>4141</v>
      </c>
      <c r="M377" t="s">
        <v>4142</v>
      </c>
      <c r="N377">
        <v>1106.1651733936201</v>
      </c>
      <c r="O377">
        <v>1119.4391554743429</v>
      </c>
      <c r="P377">
        <v>1172.0527957816371</v>
      </c>
      <c r="Q377">
        <v>1265.817019444168</v>
      </c>
      <c r="R377">
        <v>1317.7155172413791</v>
      </c>
      <c r="S377" t="s">
        <v>4143</v>
      </c>
      <c r="T377" t="s">
        <v>4144</v>
      </c>
      <c r="U377" t="s">
        <v>4145</v>
      </c>
      <c r="V377" t="s">
        <v>94</v>
      </c>
      <c r="W377">
        <v>265472419.80000001</v>
      </c>
      <c r="X377">
        <v>266439117.80000001</v>
      </c>
      <c r="Y377">
        <v>267499117.80000001</v>
      </c>
      <c r="Z377">
        <v>268599117.80000001</v>
      </c>
      <c r="AA377">
        <v>270179117.80000001</v>
      </c>
      <c r="AB377">
        <v>9103346703.6580143</v>
      </c>
      <c r="AC377">
        <v>8229645.0138000008</v>
      </c>
      <c r="AD377">
        <v>9246133811.4761925</v>
      </c>
      <c r="AE377">
        <v>8259612.6518000001</v>
      </c>
      <c r="AF377">
        <v>9719215755.4849567</v>
      </c>
      <c r="AG377">
        <v>8292472.6518000001</v>
      </c>
      <c r="AH377">
        <v>10539917376.2868</v>
      </c>
      <c r="AI377">
        <v>8326572.6518000001</v>
      </c>
      <c r="AJ377">
        <v>11036595694.749041</v>
      </c>
      <c r="AK377">
        <v>8375552.6518000001</v>
      </c>
    </row>
    <row r="378" spans="1:37" x14ac:dyDescent="0.35">
      <c r="A378" t="s">
        <v>4146</v>
      </c>
      <c r="B378">
        <v>672.55</v>
      </c>
      <c r="C378" t="s">
        <v>1172</v>
      </c>
      <c r="D378" t="s">
        <v>4147</v>
      </c>
      <c r="E378" t="s">
        <v>4148</v>
      </c>
      <c r="F378">
        <v>0.02</v>
      </c>
      <c r="G378" t="s">
        <v>4149</v>
      </c>
      <c r="H378">
        <v>0.3</v>
      </c>
      <c r="I378">
        <v>0.01</v>
      </c>
      <c r="J378" t="s">
        <v>4150</v>
      </c>
      <c r="K378" t="s">
        <v>4151</v>
      </c>
      <c r="L378" t="s">
        <v>4152</v>
      </c>
      <c r="M378" t="s">
        <v>4153</v>
      </c>
      <c r="N378">
        <v>5009.5815501930119</v>
      </c>
      <c r="O378">
        <v>5069.696528795328</v>
      </c>
      <c r="P378">
        <v>5307.9722656487083</v>
      </c>
      <c r="Q378">
        <v>5732.6100469006051</v>
      </c>
      <c r="R378">
        <v>5967.6470588235297</v>
      </c>
      <c r="S378" t="s">
        <v>4154</v>
      </c>
      <c r="T378" t="s">
        <v>4155</v>
      </c>
      <c r="U378" t="s">
        <v>4156</v>
      </c>
      <c r="V378" t="s">
        <v>94</v>
      </c>
      <c r="W378">
        <v>265472419.80000001</v>
      </c>
      <c r="X378">
        <v>266439117.80000001</v>
      </c>
      <c r="Y378">
        <v>267499117.80000001</v>
      </c>
      <c r="Z378">
        <v>268599117.80000001</v>
      </c>
      <c r="AA378">
        <v>270179117.80000001</v>
      </c>
      <c r="AB378">
        <v>26598114726.303478</v>
      </c>
      <c r="AC378">
        <v>5309448.3960000006</v>
      </c>
      <c r="AD378">
        <v>27015309412.918991</v>
      </c>
      <c r="AE378">
        <v>5328782.3560000006</v>
      </c>
      <c r="AF378">
        <v>28397557967.357941</v>
      </c>
      <c r="AG378">
        <v>5349982.3560000006</v>
      </c>
      <c r="AH378">
        <v>30795480025.778389</v>
      </c>
      <c r="AI378">
        <v>5371982.3560000006</v>
      </c>
      <c r="AJ378">
        <v>32246672353.894119</v>
      </c>
      <c r="AK378">
        <v>5403582.3560000006</v>
      </c>
    </row>
    <row r="379" spans="1:37" x14ac:dyDescent="0.35">
      <c r="A379" t="s">
        <v>4157</v>
      </c>
      <c r="B379">
        <v>351.41</v>
      </c>
      <c r="C379" t="s">
        <v>2972</v>
      </c>
      <c r="D379" t="s">
        <v>4158</v>
      </c>
      <c r="E379" t="s">
        <v>4159</v>
      </c>
      <c r="F379">
        <v>3.2000000000000002E-3</v>
      </c>
      <c r="G379" t="s">
        <v>4160</v>
      </c>
      <c r="H379">
        <v>0.3</v>
      </c>
      <c r="J379" t="s">
        <v>4161</v>
      </c>
      <c r="K379" t="s">
        <v>4162</v>
      </c>
      <c r="L379" t="s">
        <v>4163</v>
      </c>
      <c r="M379" t="s">
        <v>4164</v>
      </c>
      <c r="N379">
        <v>4617.0120743523566</v>
      </c>
      <c r="O379">
        <v>4672.4162192445847</v>
      </c>
      <c r="P379">
        <v>4892.0197815490801</v>
      </c>
      <c r="Q379">
        <v>5283.3813640730068</v>
      </c>
      <c r="R379">
        <v>5500</v>
      </c>
      <c r="S379" t="s">
        <v>4165</v>
      </c>
      <c r="T379" t="s">
        <v>4166</v>
      </c>
      <c r="U379" t="s">
        <v>4167</v>
      </c>
      <c r="V379" t="s">
        <v>94</v>
      </c>
      <c r="W379">
        <v>265472419.80000001</v>
      </c>
      <c r="X379">
        <v>266439117.80000001</v>
      </c>
      <c r="Y379">
        <v>267499117.80000001</v>
      </c>
      <c r="Z379">
        <v>268599117.80000001</v>
      </c>
      <c r="AA379">
        <v>270179117.80000001</v>
      </c>
      <c r="AB379">
        <v>3922205976.3972411</v>
      </c>
      <c r="AC379">
        <v>849511.74336000008</v>
      </c>
      <c r="AD379">
        <v>3983726257.4398041</v>
      </c>
      <c r="AE379">
        <v>852605.17696000007</v>
      </c>
      <c r="AF379">
        <v>4187555122.6384888</v>
      </c>
      <c r="AG379">
        <v>855997.17696000007</v>
      </c>
      <c r="AH379">
        <v>4541157034.8511047</v>
      </c>
      <c r="AI379">
        <v>859517.17696000007</v>
      </c>
      <c r="AJ379">
        <v>4755152473.2800007</v>
      </c>
      <c r="AK379">
        <v>864573.17696000007</v>
      </c>
    </row>
    <row r="380" spans="1:37" x14ac:dyDescent="0.35">
      <c r="A380" t="s">
        <v>4168</v>
      </c>
      <c r="B380">
        <v>125.63</v>
      </c>
      <c r="C380" t="s">
        <v>1055</v>
      </c>
      <c r="D380" t="s">
        <v>4169</v>
      </c>
      <c r="E380" t="s">
        <v>4170</v>
      </c>
      <c r="F380">
        <v>5.1999999999999998E-3</v>
      </c>
      <c r="G380" t="s">
        <v>4171</v>
      </c>
      <c r="H380">
        <v>0.2</v>
      </c>
      <c r="I380">
        <v>0.15</v>
      </c>
      <c r="J380" t="s">
        <v>4172</v>
      </c>
      <c r="K380" t="s">
        <v>4173</v>
      </c>
      <c r="L380" t="s">
        <v>4174</v>
      </c>
      <c r="M380" t="s">
        <v>4175</v>
      </c>
      <c r="N380">
        <v>470.62043530614358</v>
      </c>
      <c r="O380">
        <v>476.26788052981732</v>
      </c>
      <c r="P380">
        <v>498.65247091471872</v>
      </c>
      <c r="Q380">
        <v>538.54466858789624</v>
      </c>
      <c r="R380">
        <v>560.625</v>
      </c>
      <c r="S380" t="s">
        <v>4176</v>
      </c>
      <c r="T380" t="s">
        <v>4177</v>
      </c>
      <c r="U380" t="s">
        <v>4178</v>
      </c>
      <c r="V380" t="s">
        <v>49</v>
      </c>
      <c r="W380">
        <v>338996155</v>
      </c>
      <c r="X380">
        <v>339500751</v>
      </c>
      <c r="Y380">
        <v>340560751</v>
      </c>
      <c r="Z380">
        <v>341660751</v>
      </c>
      <c r="AA380">
        <v>343660751</v>
      </c>
      <c r="AB380">
        <v>829600293.77268636</v>
      </c>
      <c r="AC380">
        <v>1762780.0060000001</v>
      </c>
      <c r="AD380">
        <v>840805176.20866656</v>
      </c>
      <c r="AE380">
        <v>1765403.9051999999</v>
      </c>
      <c r="AF380">
        <v>883071591.91015577</v>
      </c>
      <c r="AG380">
        <v>1770915.9051999999</v>
      </c>
      <c r="AH380">
        <v>956797794.76729095</v>
      </c>
      <c r="AI380">
        <v>1776635.9051999999</v>
      </c>
      <c r="AJ380">
        <v>1001857004.3527499</v>
      </c>
      <c r="AK380">
        <v>1787035.9051999999</v>
      </c>
    </row>
    <row r="381" spans="1:37" x14ac:dyDescent="0.35">
      <c r="A381" t="s">
        <v>4179</v>
      </c>
      <c r="B381">
        <v>524.36</v>
      </c>
      <c r="C381" t="s">
        <v>886</v>
      </c>
      <c r="D381" t="s">
        <v>4180</v>
      </c>
      <c r="E381" t="s">
        <v>4181</v>
      </c>
      <c r="F381">
        <v>4.5999999999999999E-2</v>
      </c>
      <c r="G381" t="s">
        <v>4182</v>
      </c>
      <c r="H381">
        <v>0.3</v>
      </c>
      <c r="I381">
        <v>5.0999999999999996</v>
      </c>
      <c r="J381" t="s">
        <v>4183</v>
      </c>
      <c r="K381" t="s">
        <v>4184</v>
      </c>
      <c r="L381" t="s">
        <v>4185</v>
      </c>
      <c r="M381" t="s">
        <v>4186</v>
      </c>
      <c r="N381">
        <v>963.93530786561541</v>
      </c>
      <c r="O381">
        <v>975.50253156000281</v>
      </c>
      <c r="P381">
        <v>1021.351150543323</v>
      </c>
      <c r="Q381">
        <v>1103.059242586789</v>
      </c>
      <c r="R381">
        <v>1148.2846715328469</v>
      </c>
      <c r="S381" t="s">
        <v>4187</v>
      </c>
      <c r="T381" t="s">
        <v>4188</v>
      </c>
      <c r="U381" t="s">
        <v>3820</v>
      </c>
      <c r="V381" t="s">
        <v>94</v>
      </c>
      <c r="W381">
        <v>265472419.80000001</v>
      </c>
      <c r="X381">
        <v>266439117.80000001</v>
      </c>
      <c r="Y381">
        <v>267499117.80000001</v>
      </c>
      <c r="Z381">
        <v>268599117.80000001</v>
      </c>
      <c r="AA381">
        <v>270179117.80000001</v>
      </c>
      <c r="AB381">
        <v>11771318980.64817</v>
      </c>
      <c r="AC381">
        <v>12211731.310799999</v>
      </c>
      <c r="AD381">
        <v>11955953560.343639</v>
      </c>
      <c r="AE381">
        <v>12256199.4188</v>
      </c>
      <c r="AF381">
        <v>12567684459.780279</v>
      </c>
      <c r="AG381">
        <v>12304959.4188</v>
      </c>
      <c r="AH381">
        <v>13628914014.237591</v>
      </c>
      <c r="AI381">
        <v>12355559.4188</v>
      </c>
      <c r="AJ381">
        <v>14271156818.748341</v>
      </c>
      <c r="AK381">
        <v>12428239.4188</v>
      </c>
    </row>
    <row r="382" spans="1:37" x14ac:dyDescent="0.35">
      <c r="A382" t="s">
        <v>4189</v>
      </c>
      <c r="B382">
        <v>14321.61</v>
      </c>
      <c r="C382" t="s">
        <v>278</v>
      </c>
      <c r="D382" t="s">
        <v>4190</v>
      </c>
      <c r="E382" t="s">
        <v>4191</v>
      </c>
      <c r="F382">
        <v>1.2999999999999999E-5</v>
      </c>
      <c r="G382" t="s">
        <v>4192</v>
      </c>
      <c r="H382">
        <v>0.3</v>
      </c>
      <c r="I382">
        <v>57030.15</v>
      </c>
      <c r="J382" t="s">
        <v>4193</v>
      </c>
      <c r="K382" t="s">
        <v>4194</v>
      </c>
      <c r="L382" t="s">
        <v>4195</v>
      </c>
      <c r="M382" t="s">
        <v>4196</v>
      </c>
      <c r="N382">
        <v>117659.73818356229</v>
      </c>
      <c r="O382">
        <v>119071.655041765</v>
      </c>
      <c r="P382">
        <v>124668.022828728</v>
      </c>
      <c r="Q382">
        <v>134641.46465502621</v>
      </c>
      <c r="R382">
        <v>140161.76470588229</v>
      </c>
      <c r="S382" t="s">
        <v>4197</v>
      </c>
      <c r="T382" t="s">
        <v>4198</v>
      </c>
      <c r="U382" t="s">
        <v>4199</v>
      </c>
      <c r="V382" t="s">
        <v>49</v>
      </c>
      <c r="W382">
        <v>338996155</v>
      </c>
      <c r="X382">
        <v>339500751</v>
      </c>
      <c r="Y382">
        <v>340560751</v>
      </c>
      <c r="Z382">
        <v>341660751</v>
      </c>
      <c r="AA382">
        <v>343660751</v>
      </c>
      <c r="AB382">
        <v>518520584.95294589</v>
      </c>
      <c r="AC382">
        <v>4406.9500149999994</v>
      </c>
      <c r="AD382">
        <v>525523912.02339822</v>
      </c>
      <c r="AE382">
        <v>4413.509763</v>
      </c>
      <c r="AF382">
        <v>551941461.24307775</v>
      </c>
      <c r="AG382">
        <v>4427.2897629999998</v>
      </c>
      <c r="AH382">
        <v>598022151.08709085</v>
      </c>
      <c r="AI382">
        <v>4441.5897629999999</v>
      </c>
      <c r="AJ382">
        <v>626185265.16401446</v>
      </c>
      <c r="AK382">
        <v>4467.5897629999999</v>
      </c>
    </row>
    <row r="383" spans="1:37" x14ac:dyDescent="0.35">
      <c r="A383" t="s">
        <v>4200</v>
      </c>
      <c r="B383">
        <v>60.75</v>
      </c>
      <c r="C383" t="s">
        <v>566</v>
      </c>
      <c r="D383" t="s">
        <v>4201</v>
      </c>
      <c r="E383" t="s">
        <v>4202</v>
      </c>
      <c r="F383">
        <v>2.2499999999999999E-4</v>
      </c>
      <c r="G383" t="s">
        <v>4203</v>
      </c>
      <c r="H383">
        <v>0.43</v>
      </c>
      <c r="I383">
        <v>592.15</v>
      </c>
      <c r="J383" t="s">
        <v>4204</v>
      </c>
      <c r="K383" t="s">
        <v>4205</v>
      </c>
      <c r="L383" t="s">
        <v>4206</v>
      </c>
      <c r="M383" t="s">
        <v>4207</v>
      </c>
      <c r="N383">
        <v>98098.151586384061</v>
      </c>
      <c r="O383">
        <v>99275.329405420678</v>
      </c>
      <c r="P383">
        <v>103941.2698874754</v>
      </c>
      <c r="Q383">
        <v>112256.5714784735</v>
      </c>
      <c r="R383">
        <v>116859.0909090909</v>
      </c>
      <c r="S383" t="s">
        <v>4208</v>
      </c>
      <c r="T383" t="s">
        <v>4209</v>
      </c>
      <c r="U383" t="s">
        <v>4210</v>
      </c>
      <c r="V383" t="s">
        <v>94</v>
      </c>
      <c r="W383">
        <v>265472419.80000001</v>
      </c>
      <c r="X383">
        <v>266439117.80000001</v>
      </c>
      <c r="Y383">
        <v>267499117.80000001</v>
      </c>
      <c r="Z383">
        <v>268599117.80000001</v>
      </c>
      <c r="AA383">
        <v>270179117.80000001</v>
      </c>
      <c r="AB383">
        <v>5859529577.8975325</v>
      </c>
      <c r="AC383">
        <v>59731.294455000003</v>
      </c>
      <c r="AD383">
        <v>5951437016.8690548</v>
      </c>
      <c r="AE383">
        <v>59948.801505000003</v>
      </c>
      <c r="AF383">
        <v>6255944549.5300617</v>
      </c>
      <c r="AG383">
        <v>60187.301505000003</v>
      </c>
      <c r="AH383">
        <v>6784203614.9333897</v>
      </c>
      <c r="AI383">
        <v>60434.801505000003</v>
      </c>
      <c r="AJ383">
        <v>7103899369.9638395</v>
      </c>
      <c r="AK383">
        <v>60790.301505000003</v>
      </c>
    </row>
    <row r="384" spans="1:37" x14ac:dyDescent="0.35">
      <c r="A384" t="s">
        <v>4211</v>
      </c>
      <c r="B384">
        <v>6073.8</v>
      </c>
      <c r="C384" t="s">
        <v>566</v>
      </c>
      <c r="D384" t="s">
        <v>4212</v>
      </c>
      <c r="E384" t="s">
        <v>4213</v>
      </c>
      <c r="F384">
        <v>2.2499999999999999E-4</v>
      </c>
      <c r="G384" t="s">
        <v>4214</v>
      </c>
      <c r="H384">
        <v>0.3</v>
      </c>
      <c r="I384">
        <v>0.2</v>
      </c>
      <c r="J384" t="s">
        <v>4215</v>
      </c>
      <c r="K384" t="s">
        <v>4216</v>
      </c>
      <c r="L384" t="s">
        <v>4217</v>
      </c>
      <c r="M384" t="s">
        <v>4218</v>
      </c>
      <c r="N384">
        <v>98098.151586384061</v>
      </c>
      <c r="O384">
        <v>99275.329405420678</v>
      </c>
      <c r="P384">
        <v>103941.2698874754</v>
      </c>
      <c r="Q384">
        <v>112256.5714784735</v>
      </c>
      <c r="R384">
        <v>116859.0909090909</v>
      </c>
      <c r="S384" t="s">
        <v>4219</v>
      </c>
      <c r="T384" t="s">
        <v>4220</v>
      </c>
      <c r="U384" t="s">
        <v>4221</v>
      </c>
      <c r="V384" t="s">
        <v>94</v>
      </c>
      <c r="W384">
        <v>265472419.80000001</v>
      </c>
      <c r="X384">
        <v>266439117.80000001</v>
      </c>
      <c r="Y384">
        <v>267499117.80000001</v>
      </c>
      <c r="Z384">
        <v>268599117.80000001</v>
      </c>
      <c r="AA384">
        <v>270179117.80000001</v>
      </c>
      <c r="AB384">
        <v>5859529577.8975325</v>
      </c>
      <c r="AC384">
        <v>59731.294455000003</v>
      </c>
      <c r="AD384">
        <v>5951437016.8690548</v>
      </c>
      <c r="AE384">
        <v>59948.801505000003</v>
      </c>
      <c r="AF384">
        <v>6255944549.5300617</v>
      </c>
      <c r="AG384">
        <v>60187.301505000003</v>
      </c>
      <c r="AH384">
        <v>6784203614.9333897</v>
      </c>
      <c r="AI384">
        <v>60434.801505000003</v>
      </c>
      <c r="AJ384">
        <v>7103899369.9638395</v>
      </c>
      <c r="AK384">
        <v>60790.301505000003</v>
      </c>
    </row>
    <row r="385" spans="1:37" x14ac:dyDescent="0.35">
      <c r="A385" t="s">
        <v>4222</v>
      </c>
      <c r="B385">
        <v>3312.83</v>
      </c>
      <c r="C385" t="s">
        <v>453</v>
      </c>
      <c r="D385" t="s">
        <v>4223</v>
      </c>
      <c r="E385" t="s">
        <v>4224</v>
      </c>
      <c r="F385">
        <v>3.0000000000000001E-3</v>
      </c>
      <c r="G385" t="s">
        <v>4225</v>
      </c>
      <c r="H385">
        <v>0.5</v>
      </c>
      <c r="J385" t="s">
        <v>4226</v>
      </c>
      <c r="K385" t="s">
        <v>4227</v>
      </c>
      <c r="L385" t="s">
        <v>4228</v>
      </c>
      <c r="M385" t="s">
        <v>4229</v>
      </c>
      <c r="N385">
        <v>39574.389208734487</v>
      </c>
      <c r="O385">
        <v>40049.281879239301</v>
      </c>
      <c r="P385">
        <v>41931.598127563542</v>
      </c>
      <c r="Q385">
        <v>45286.125977768628</v>
      </c>
      <c r="R385">
        <v>47142.857142857138</v>
      </c>
      <c r="S385" t="s">
        <v>4230</v>
      </c>
      <c r="T385" t="s">
        <v>4231</v>
      </c>
      <c r="U385" t="s">
        <v>4232</v>
      </c>
      <c r="V385" t="s">
        <v>94</v>
      </c>
      <c r="W385">
        <v>265472419.80000001</v>
      </c>
      <c r="X385">
        <v>266439117.80000001</v>
      </c>
      <c r="Y385">
        <v>267499117.80000001</v>
      </c>
      <c r="Z385">
        <v>268599117.80000001</v>
      </c>
      <c r="AA385">
        <v>270179117.80000001</v>
      </c>
      <c r="AB385">
        <v>31517726596.049259</v>
      </c>
      <c r="AC385">
        <v>796417.2594000001</v>
      </c>
      <c r="AD385">
        <v>32012085997.284142</v>
      </c>
      <c r="AE385">
        <v>799317.35340000002</v>
      </c>
      <c r="AF385">
        <v>33649996521.202141</v>
      </c>
      <c r="AG385">
        <v>802497.35340000002</v>
      </c>
      <c r="AH385">
        <v>36491440458.624947</v>
      </c>
      <c r="AI385">
        <v>805797.35340000002</v>
      </c>
      <c r="AJ385">
        <v>38211046660.285713</v>
      </c>
      <c r="AK385">
        <v>810537.35340000002</v>
      </c>
    </row>
    <row r="386" spans="1:37" x14ac:dyDescent="0.35">
      <c r="A386" t="s">
        <v>4233</v>
      </c>
      <c r="B386">
        <v>4500.01</v>
      </c>
      <c r="C386" t="s">
        <v>278</v>
      </c>
      <c r="D386" t="s">
        <v>4234</v>
      </c>
      <c r="E386" t="s">
        <v>4235</v>
      </c>
      <c r="F386">
        <v>1.2999999999999999E-5</v>
      </c>
      <c r="G386" t="s">
        <v>4236</v>
      </c>
      <c r="H386">
        <v>0.25</v>
      </c>
      <c r="I386">
        <v>1059050.6000000001</v>
      </c>
      <c r="J386" t="s">
        <v>4237</v>
      </c>
      <c r="K386" t="s">
        <v>4238</v>
      </c>
      <c r="L386" t="s">
        <v>4239</v>
      </c>
      <c r="M386" t="s">
        <v>4240</v>
      </c>
      <c r="N386">
        <v>117659.73818356229</v>
      </c>
      <c r="O386">
        <v>119071.655041765</v>
      </c>
      <c r="P386">
        <v>124668.022828728</v>
      </c>
      <c r="Q386">
        <v>134641.46465502621</v>
      </c>
      <c r="R386">
        <v>140161.76470588229</v>
      </c>
      <c r="S386" t="s">
        <v>4241</v>
      </c>
      <c r="T386" t="s">
        <v>1945</v>
      </c>
      <c r="U386" t="s">
        <v>4242</v>
      </c>
      <c r="V386" t="s">
        <v>49</v>
      </c>
      <c r="W386">
        <v>338996155</v>
      </c>
      <c r="X386">
        <v>339500751</v>
      </c>
      <c r="Y386">
        <v>340560751</v>
      </c>
      <c r="Z386">
        <v>341660751</v>
      </c>
      <c r="AA386">
        <v>343660751</v>
      </c>
      <c r="AB386">
        <v>518520584.95294589</v>
      </c>
      <c r="AC386">
        <v>4406.9500149999994</v>
      </c>
      <c r="AD386">
        <v>525523912.02339822</v>
      </c>
      <c r="AE386">
        <v>4413.509763</v>
      </c>
      <c r="AF386">
        <v>551941461.24307775</v>
      </c>
      <c r="AG386">
        <v>4427.2897629999998</v>
      </c>
      <c r="AH386">
        <v>598022151.08709085</v>
      </c>
      <c r="AI386">
        <v>4441.5897629999999</v>
      </c>
      <c r="AJ386">
        <v>626185265.16401446</v>
      </c>
      <c r="AK386">
        <v>4467.5897629999999</v>
      </c>
    </row>
    <row r="387" spans="1:37" x14ac:dyDescent="0.35">
      <c r="A387" t="s">
        <v>4243</v>
      </c>
      <c r="B387">
        <v>3312.83</v>
      </c>
      <c r="C387" t="s">
        <v>453</v>
      </c>
      <c r="D387" t="s">
        <v>4244</v>
      </c>
      <c r="E387" t="s">
        <v>4245</v>
      </c>
      <c r="F387">
        <v>3.0000000000000001E-3</v>
      </c>
      <c r="G387" t="s">
        <v>4246</v>
      </c>
      <c r="H387">
        <v>0.25</v>
      </c>
      <c r="I387">
        <v>0.2</v>
      </c>
      <c r="J387" t="s">
        <v>4247</v>
      </c>
      <c r="K387" t="s">
        <v>4248</v>
      </c>
      <c r="L387" t="s">
        <v>4249</v>
      </c>
      <c r="M387" t="s">
        <v>3828</v>
      </c>
      <c r="N387">
        <v>39574.389208734487</v>
      </c>
      <c r="O387">
        <v>40049.281879239301</v>
      </c>
      <c r="P387">
        <v>41931.598127563542</v>
      </c>
      <c r="Q387">
        <v>45286.125977768628</v>
      </c>
      <c r="R387">
        <v>47142.857142857138</v>
      </c>
      <c r="S387" t="s">
        <v>621</v>
      </c>
      <c r="T387" t="s">
        <v>4250</v>
      </c>
      <c r="U387" t="s">
        <v>4251</v>
      </c>
      <c r="V387" t="s">
        <v>94</v>
      </c>
      <c r="W387">
        <v>265472419.80000001</v>
      </c>
      <c r="X387">
        <v>266439117.80000001</v>
      </c>
      <c r="Y387">
        <v>267499117.80000001</v>
      </c>
      <c r="Z387">
        <v>268599117.80000001</v>
      </c>
      <c r="AA387">
        <v>270179117.80000001</v>
      </c>
      <c r="AB387">
        <v>31517726596.049259</v>
      </c>
      <c r="AC387">
        <v>796417.2594000001</v>
      </c>
      <c r="AD387">
        <v>32012085997.284142</v>
      </c>
      <c r="AE387">
        <v>799317.35340000002</v>
      </c>
      <c r="AF387">
        <v>33649996521.202141</v>
      </c>
      <c r="AG387">
        <v>802497.35340000002</v>
      </c>
      <c r="AH387">
        <v>36491440458.624947</v>
      </c>
      <c r="AI387">
        <v>805797.35340000002</v>
      </c>
      <c r="AJ387">
        <v>38211046660.285713</v>
      </c>
      <c r="AK387">
        <v>810537.35340000002</v>
      </c>
    </row>
    <row r="388" spans="1:37" x14ac:dyDescent="0.35">
      <c r="A388" t="s">
        <v>4252</v>
      </c>
      <c r="B388">
        <v>81.25</v>
      </c>
      <c r="C388" t="s">
        <v>4253</v>
      </c>
      <c r="D388" t="s">
        <v>4254</v>
      </c>
      <c r="E388" t="s">
        <v>4255</v>
      </c>
      <c r="F388">
        <v>0.25</v>
      </c>
      <c r="G388" t="s">
        <v>4256</v>
      </c>
      <c r="H388">
        <v>0.25</v>
      </c>
      <c r="I388">
        <v>0.05</v>
      </c>
      <c r="J388" t="s">
        <v>4257</v>
      </c>
      <c r="K388" t="s">
        <v>4258</v>
      </c>
      <c r="L388" t="s">
        <v>4259</v>
      </c>
      <c r="M388" t="s">
        <v>4260</v>
      </c>
      <c r="N388">
        <v>6104.049729468441</v>
      </c>
      <c r="O388">
        <v>6177.2983262220623</v>
      </c>
      <c r="P388">
        <v>6467.6313475544976</v>
      </c>
      <c r="Q388">
        <v>6985.0418553588588</v>
      </c>
      <c r="R388">
        <v>7271.4285714285716</v>
      </c>
      <c r="S388" t="s">
        <v>4261</v>
      </c>
      <c r="T388" t="s">
        <v>4262</v>
      </c>
      <c r="U388" t="s">
        <v>4263</v>
      </c>
      <c r="V388" t="s">
        <v>4264</v>
      </c>
      <c r="W388">
        <v>256761605</v>
      </c>
      <c r="X388">
        <v>257719695</v>
      </c>
      <c r="Y388">
        <v>258779695</v>
      </c>
      <c r="Z388">
        <v>259879695</v>
      </c>
      <c r="AA388">
        <v>261179695</v>
      </c>
      <c r="AB388">
        <v>391821401384.5332</v>
      </c>
      <c r="AC388">
        <v>64190401.25</v>
      </c>
      <c r="AD388">
        <v>398002860139.49011</v>
      </c>
      <c r="AE388">
        <v>64429923.75</v>
      </c>
      <c r="AF388">
        <v>418422916873.14801</v>
      </c>
      <c r="AG388">
        <v>64694923.75</v>
      </c>
      <c r="AH388">
        <v>453817636733.22357</v>
      </c>
      <c r="AI388">
        <v>64969923.75</v>
      </c>
      <c r="AJ388">
        <v>474787374125</v>
      </c>
      <c r="AK388">
        <v>65294923.75</v>
      </c>
    </row>
    <row r="389" spans="1:37" x14ac:dyDescent="0.35">
      <c r="A389" t="s">
        <v>4265</v>
      </c>
      <c r="B389">
        <v>58</v>
      </c>
      <c r="C389" t="s">
        <v>83</v>
      </c>
      <c r="D389" t="s">
        <v>4266</v>
      </c>
      <c r="E389" t="s">
        <v>4267</v>
      </c>
      <c r="F389">
        <v>4.5999999999999999E-2</v>
      </c>
      <c r="G389" t="s">
        <v>4268</v>
      </c>
      <c r="H389">
        <v>10.3</v>
      </c>
      <c r="I389">
        <v>0.01</v>
      </c>
      <c r="J389" t="s">
        <v>4269</v>
      </c>
      <c r="K389" t="s">
        <v>4270</v>
      </c>
      <c r="L389" t="s">
        <v>4271</v>
      </c>
      <c r="M389" t="s">
        <v>4272</v>
      </c>
      <c r="N389">
        <v>963.93530786561541</v>
      </c>
      <c r="O389">
        <v>975.50253156000281</v>
      </c>
      <c r="P389">
        <v>1021.351150543323</v>
      </c>
      <c r="Q389">
        <v>1103.059242586789</v>
      </c>
      <c r="R389">
        <v>1148.2846715328469</v>
      </c>
      <c r="S389" t="s">
        <v>4273</v>
      </c>
      <c r="T389" t="s">
        <v>4274</v>
      </c>
      <c r="U389" t="s">
        <v>115</v>
      </c>
      <c r="V389" t="s">
        <v>94</v>
      </c>
      <c r="W389">
        <v>265472419.80000001</v>
      </c>
      <c r="X389">
        <v>266439117.80000001</v>
      </c>
      <c r="Y389">
        <v>267499117.80000001</v>
      </c>
      <c r="Z389">
        <v>268599117.80000001</v>
      </c>
      <c r="AA389">
        <v>270179117.80000001</v>
      </c>
      <c r="AB389">
        <v>11771318980.64817</v>
      </c>
      <c r="AC389">
        <v>12211731.310799999</v>
      </c>
      <c r="AD389">
        <v>11955953560.343639</v>
      </c>
      <c r="AE389">
        <v>12256199.4188</v>
      </c>
      <c r="AF389">
        <v>12567684459.780279</v>
      </c>
      <c r="AG389">
        <v>12304959.4188</v>
      </c>
      <c r="AH389">
        <v>13628914014.237591</v>
      </c>
      <c r="AI389">
        <v>12355559.4188</v>
      </c>
      <c r="AJ389">
        <v>14271156818.748341</v>
      </c>
      <c r="AK389">
        <v>12428239.4188</v>
      </c>
    </row>
    <row r="390" spans="1:37" x14ac:dyDescent="0.35">
      <c r="A390" t="s">
        <v>4275</v>
      </c>
      <c r="B390">
        <v>58</v>
      </c>
      <c r="C390" t="s">
        <v>83</v>
      </c>
      <c r="D390" t="s">
        <v>4276</v>
      </c>
      <c r="E390" t="s">
        <v>4277</v>
      </c>
      <c r="F390">
        <v>4.5999999999999999E-2</v>
      </c>
      <c r="G390" t="s">
        <v>4278</v>
      </c>
      <c r="H390">
        <v>0.3</v>
      </c>
      <c r="I390">
        <v>0.02</v>
      </c>
      <c r="J390" t="s">
        <v>4279</v>
      </c>
      <c r="K390" t="s">
        <v>4280</v>
      </c>
      <c r="L390" t="s">
        <v>4281</v>
      </c>
      <c r="M390" t="s">
        <v>4282</v>
      </c>
      <c r="N390">
        <v>963.93530786561541</v>
      </c>
      <c r="O390">
        <v>975.50253156000281</v>
      </c>
      <c r="P390">
        <v>1021.351150543323</v>
      </c>
      <c r="Q390">
        <v>1103.059242586789</v>
      </c>
      <c r="R390">
        <v>1148.2846715328469</v>
      </c>
      <c r="S390" t="s">
        <v>4283</v>
      </c>
      <c r="T390" t="s">
        <v>4284</v>
      </c>
      <c r="U390" t="s">
        <v>104</v>
      </c>
      <c r="V390" t="s">
        <v>94</v>
      </c>
      <c r="W390">
        <v>265472419.80000001</v>
      </c>
      <c r="X390">
        <v>266439117.80000001</v>
      </c>
      <c r="Y390">
        <v>267499117.80000001</v>
      </c>
      <c r="Z390">
        <v>268599117.80000001</v>
      </c>
      <c r="AA390">
        <v>270179117.80000001</v>
      </c>
      <c r="AB390">
        <v>11771318980.64817</v>
      </c>
      <c r="AC390">
        <v>12211731.310799999</v>
      </c>
      <c r="AD390">
        <v>11955953560.343639</v>
      </c>
      <c r="AE390">
        <v>12256199.4188</v>
      </c>
      <c r="AF390">
        <v>12567684459.780279</v>
      </c>
      <c r="AG390">
        <v>12304959.4188</v>
      </c>
      <c r="AH390">
        <v>13628914014.237591</v>
      </c>
      <c r="AI390">
        <v>12355559.4188</v>
      </c>
      <c r="AJ390">
        <v>14271156818.748341</v>
      </c>
      <c r="AK390">
        <v>12428239.4188</v>
      </c>
    </row>
    <row r="391" spans="1:37" x14ac:dyDescent="0.35">
      <c r="A391" t="s">
        <v>4285</v>
      </c>
      <c r="B391">
        <v>57.01</v>
      </c>
      <c r="C391" t="s">
        <v>83</v>
      </c>
      <c r="D391" t="s">
        <v>2145</v>
      </c>
      <c r="E391" t="s">
        <v>4286</v>
      </c>
      <c r="F391">
        <v>4.5999999999999999E-2</v>
      </c>
      <c r="G391" t="s">
        <v>4287</v>
      </c>
      <c r="H391">
        <v>0.3</v>
      </c>
      <c r="I391">
        <v>0.05</v>
      </c>
      <c r="J391" t="s">
        <v>4288</v>
      </c>
      <c r="K391" t="s">
        <v>4289</v>
      </c>
      <c r="L391" t="s">
        <v>4290</v>
      </c>
      <c r="M391" t="s">
        <v>4291</v>
      </c>
      <c r="N391">
        <v>963.93530786561541</v>
      </c>
      <c r="O391">
        <v>975.50253156000281</v>
      </c>
      <c r="P391">
        <v>1021.351150543323</v>
      </c>
      <c r="Q391">
        <v>1103.059242586789</v>
      </c>
      <c r="R391">
        <v>1148.2846715328469</v>
      </c>
      <c r="S391" t="s">
        <v>4292</v>
      </c>
      <c r="T391" t="s">
        <v>4293</v>
      </c>
      <c r="U391" t="s">
        <v>4294</v>
      </c>
      <c r="V391" t="s">
        <v>94</v>
      </c>
      <c r="W391">
        <v>265472419.80000001</v>
      </c>
      <c r="X391">
        <v>266439117.80000001</v>
      </c>
      <c r="Y391">
        <v>267499117.80000001</v>
      </c>
      <c r="Z391">
        <v>268599117.80000001</v>
      </c>
      <c r="AA391">
        <v>270179117.80000001</v>
      </c>
      <c r="AB391">
        <v>11771318980.64817</v>
      </c>
      <c r="AC391">
        <v>12211731.310799999</v>
      </c>
      <c r="AD391">
        <v>11955953560.343639</v>
      </c>
      <c r="AE391">
        <v>12256199.4188</v>
      </c>
      <c r="AF391">
        <v>12567684459.780279</v>
      </c>
      <c r="AG391">
        <v>12304959.4188</v>
      </c>
      <c r="AH391">
        <v>13628914014.237591</v>
      </c>
      <c r="AI391">
        <v>12355559.4188</v>
      </c>
      <c r="AJ391">
        <v>14271156818.748341</v>
      </c>
      <c r="AK391">
        <v>12428239.4188</v>
      </c>
    </row>
    <row r="392" spans="1:37" x14ac:dyDescent="0.35">
      <c r="A392" t="s">
        <v>4295</v>
      </c>
      <c r="B392">
        <v>84</v>
      </c>
      <c r="C392" t="s">
        <v>83</v>
      </c>
      <c r="D392" t="s">
        <v>4296</v>
      </c>
      <c r="E392" t="s">
        <v>4297</v>
      </c>
      <c r="F392">
        <v>4.5999999999999999E-2</v>
      </c>
      <c r="G392" t="s">
        <v>4298</v>
      </c>
      <c r="H392">
        <v>0.15</v>
      </c>
      <c r="I392">
        <v>0.01</v>
      </c>
      <c r="J392" t="s">
        <v>4299</v>
      </c>
      <c r="K392" t="s">
        <v>4300</v>
      </c>
      <c r="L392" t="s">
        <v>4301</v>
      </c>
      <c r="M392" t="s">
        <v>4302</v>
      </c>
      <c r="N392">
        <v>963.93530786561541</v>
      </c>
      <c r="O392">
        <v>975.50253156000281</v>
      </c>
      <c r="P392">
        <v>1021.351150543323</v>
      </c>
      <c r="Q392">
        <v>1103.059242586789</v>
      </c>
      <c r="R392">
        <v>1148.2846715328469</v>
      </c>
      <c r="S392" t="s">
        <v>4303</v>
      </c>
      <c r="T392" t="s">
        <v>4304</v>
      </c>
      <c r="U392" t="s">
        <v>115</v>
      </c>
      <c r="V392" t="s">
        <v>94</v>
      </c>
      <c r="W392">
        <v>265472419.80000001</v>
      </c>
      <c r="X392">
        <v>266439117.80000001</v>
      </c>
      <c r="Y392">
        <v>267499117.80000001</v>
      </c>
      <c r="Z392">
        <v>268599117.80000001</v>
      </c>
      <c r="AA392">
        <v>270179117.80000001</v>
      </c>
      <c r="AB392">
        <v>11771318980.64817</v>
      </c>
      <c r="AC392">
        <v>12211731.310799999</v>
      </c>
      <c r="AD392">
        <v>11955953560.343639</v>
      </c>
      <c r="AE392">
        <v>12256199.4188</v>
      </c>
      <c r="AF392">
        <v>12567684459.780279</v>
      </c>
      <c r="AG392">
        <v>12304959.4188</v>
      </c>
      <c r="AH392">
        <v>13628914014.237591</v>
      </c>
      <c r="AI392">
        <v>12355559.4188</v>
      </c>
      <c r="AJ392">
        <v>14271156818.748341</v>
      </c>
      <c r="AK392">
        <v>12428239.4188</v>
      </c>
    </row>
    <row r="393" spans="1:37" x14ac:dyDescent="0.35">
      <c r="A393" t="s">
        <v>4305</v>
      </c>
      <c r="B393">
        <v>57.25</v>
      </c>
      <c r="C393" t="s">
        <v>83</v>
      </c>
      <c r="D393" t="s">
        <v>735</v>
      </c>
      <c r="E393" t="s">
        <v>4306</v>
      </c>
      <c r="F393">
        <v>4.5999999999999999E-2</v>
      </c>
      <c r="G393" t="s">
        <v>4307</v>
      </c>
      <c r="H393">
        <v>0.25</v>
      </c>
      <c r="I393">
        <v>0.03</v>
      </c>
      <c r="J393" t="s">
        <v>4308</v>
      </c>
      <c r="K393" t="s">
        <v>4309</v>
      </c>
      <c r="L393" t="s">
        <v>4310</v>
      </c>
      <c r="M393" t="s">
        <v>4311</v>
      </c>
      <c r="N393">
        <v>963.93530786561541</v>
      </c>
      <c r="O393">
        <v>975.50253156000281</v>
      </c>
      <c r="P393">
        <v>1021.351150543323</v>
      </c>
      <c r="Q393">
        <v>1103.059242586789</v>
      </c>
      <c r="R393">
        <v>1148.2846715328469</v>
      </c>
      <c r="S393" t="s">
        <v>4312</v>
      </c>
      <c r="T393" t="s">
        <v>4313</v>
      </c>
      <c r="U393" t="s">
        <v>2238</v>
      </c>
      <c r="V393" t="s">
        <v>94</v>
      </c>
      <c r="W393">
        <v>265472419.80000001</v>
      </c>
      <c r="X393">
        <v>266439117.80000001</v>
      </c>
      <c r="Y393">
        <v>267499117.80000001</v>
      </c>
      <c r="Z393">
        <v>268599117.80000001</v>
      </c>
      <c r="AA393">
        <v>270179117.80000001</v>
      </c>
      <c r="AB393">
        <v>11771318980.64817</v>
      </c>
      <c r="AC393">
        <v>12211731.310799999</v>
      </c>
      <c r="AD393">
        <v>11955953560.343639</v>
      </c>
      <c r="AE393">
        <v>12256199.4188</v>
      </c>
      <c r="AF393">
        <v>12567684459.780279</v>
      </c>
      <c r="AG393">
        <v>12304959.4188</v>
      </c>
      <c r="AH393">
        <v>13628914014.237591</v>
      </c>
      <c r="AI393">
        <v>12355559.4188</v>
      </c>
      <c r="AJ393">
        <v>14271156818.748341</v>
      </c>
      <c r="AK393">
        <v>12428239.4188</v>
      </c>
    </row>
    <row r="394" spans="1:37" x14ac:dyDescent="0.35">
      <c r="A394" t="s">
        <v>4314</v>
      </c>
      <c r="B394">
        <v>59.01</v>
      </c>
      <c r="C394" t="s">
        <v>83</v>
      </c>
      <c r="D394" t="s">
        <v>4315</v>
      </c>
      <c r="E394" t="s">
        <v>4316</v>
      </c>
      <c r="F394">
        <v>4.5999999999999999E-2</v>
      </c>
      <c r="G394" t="s">
        <v>4317</v>
      </c>
      <c r="H394">
        <v>0.2</v>
      </c>
      <c r="I394">
        <v>0.25</v>
      </c>
      <c r="J394" t="s">
        <v>4318</v>
      </c>
      <c r="K394" t="s">
        <v>4319</v>
      </c>
      <c r="L394" t="s">
        <v>4320</v>
      </c>
      <c r="M394" t="s">
        <v>4321</v>
      </c>
      <c r="N394">
        <v>963.93530786561541</v>
      </c>
      <c r="O394">
        <v>975.50253156000281</v>
      </c>
      <c r="P394">
        <v>1021.351150543323</v>
      </c>
      <c r="Q394">
        <v>1103.059242586789</v>
      </c>
      <c r="R394">
        <v>1148.2846715328469</v>
      </c>
      <c r="S394" t="s">
        <v>4322</v>
      </c>
      <c r="T394" t="s">
        <v>4323</v>
      </c>
      <c r="U394" t="s">
        <v>4324</v>
      </c>
      <c r="V394" t="s">
        <v>94</v>
      </c>
      <c r="W394">
        <v>265472419.80000001</v>
      </c>
      <c r="X394">
        <v>266439117.80000001</v>
      </c>
      <c r="Y394">
        <v>267499117.80000001</v>
      </c>
      <c r="Z394">
        <v>268599117.80000001</v>
      </c>
      <c r="AA394">
        <v>270179117.80000001</v>
      </c>
      <c r="AB394">
        <v>11771318980.64817</v>
      </c>
      <c r="AC394">
        <v>12211731.310799999</v>
      </c>
      <c r="AD394">
        <v>11955953560.343639</v>
      </c>
      <c r="AE394">
        <v>12256199.4188</v>
      </c>
      <c r="AF394">
        <v>12567684459.780279</v>
      </c>
      <c r="AG394">
        <v>12304959.4188</v>
      </c>
      <c r="AH394">
        <v>13628914014.237591</v>
      </c>
      <c r="AI394">
        <v>12355559.4188</v>
      </c>
      <c r="AJ394">
        <v>14271156818.748341</v>
      </c>
      <c r="AK394">
        <v>12428239.4188</v>
      </c>
    </row>
    <row r="395" spans="1:37" x14ac:dyDescent="0.35">
      <c r="A395" t="s">
        <v>4325</v>
      </c>
      <c r="B395">
        <v>58</v>
      </c>
      <c r="C395" t="s">
        <v>83</v>
      </c>
      <c r="D395" t="s">
        <v>4326</v>
      </c>
      <c r="E395" t="s">
        <v>4327</v>
      </c>
      <c r="F395">
        <v>4.5999999999999999E-2</v>
      </c>
      <c r="G395" t="s">
        <v>4328</v>
      </c>
      <c r="H395">
        <v>10.15</v>
      </c>
      <c r="I395">
        <v>0.12</v>
      </c>
      <c r="J395" t="s">
        <v>4329</v>
      </c>
      <c r="K395" t="s">
        <v>4330</v>
      </c>
      <c r="L395" t="s">
        <v>4331</v>
      </c>
      <c r="M395" t="s">
        <v>4332</v>
      </c>
      <c r="N395">
        <v>963.93530786561541</v>
      </c>
      <c r="O395">
        <v>975.50253156000281</v>
      </c>
      <c r="P395">
        <v>1021.351150543323</v>
      </c>
      <c r="Q395">
        <v>1103.059242586789</v>
      </c>
      <c r="R395">
        <v>1148.2846715328469</v>
      </c>
      <c r="S395" t="s">
        <v>4333</v>
      </c>
      <c r="T395" t="s">
        <v>4334</v>
      </c>
      <c r="U395" t="s">
        <v>115</v>
      </c>
      <c r="V395" t="s">
        <v>94</v>
      </c>
      <c r="W395">
        <v>265472419.80000001</v>
      </c>
      <c r="X395">
        <v>266439117.80000001</v>
      </c>
      <c r="Y395">
        <v>267499117.80000001</v>
      </c>
      <c r="Z395">
        <v>268599117.80000001</v>
      </c>
      <c r="AA395">
        <v>270179117.80000001</v>
      </c>
      <c r="AB395">
        <v>11771318980.64817</v>
      </c>
      <c r="AC395">
        <v>12211731.310799999</v>
      </c>
      <c r="AD395">
        <v>11955953560.343639</v>
      </c>
      <c r="AE395">
        <v>12256199.4188</v>
      </c>
      <c r="AF395">
        <v>12567684459.780279</v>
      </c>
      <c r="AG395">
        <v>12304959.4188</v>
      </c>
      <c r="AH395">
        <v>13628914014.237591</v>
      </c>
      <c r="AI395">
        <v>12355559.4188</v>
      </c>
      <c r="AJ395">
        <v>14271156818.748341</v>
      </c>
      <c r="AK395">
        <v>12428239.4188</v>
      </c>
    </row>
    <row r="396" spans="1:37" x14ac:dyDescent="0.35">
      <c r="A396" t="s">
        <v>4335</v>
      </c>
      <c r="B396">
        <v>123.01</v>
      </c>
      <c r="C396" t="s">
        <v>83</v>
      </c>
      <c r="D396" t="s">
        <v>2197</v>
      </c>
      <c r="E396" t="s">
        <v>2095</v>
      </c>
      <c r="F396">
        <v>4.5999999999999999E-2</v>
      </c>
      <c r="G396" t="s">
        <v>4336</v>
      </c>
      <c r="H396">
        <v>0.3</v>
      </c>
      <c r="I396">
        <v>0.12</v>
      </c>
      <c r="J396" t="s">
        <v>4337</v>
      </c>
      <c r="K396" t="s">
        <v>4338</v>
      </c>
      <c r="L396" t="s">
        <v>4339</v>
      </c>
      <c r="M396" t="s">
        <v>4340</v>
      </c>
      <c r="N396">
        <v>963.93530786561541</v>
      </c>
      <c r="O396">
        <v>975.50253156000281</v>
      </c>
      <c r="P396">
        <v>1021.351150543323</v>
      </c>
      <c r="Q396">
        <v>1103.059242586789</v>
      </c>
      <c r="R396">
        <v>1148.2846715328469</v>
      </c>
      <c r="S396" t="s">
        <v>4341</v>
      </c>
      <c r="T396" t="s">
        <v>4342</v>
      </c>
      <c r="U396" t="s">
        <v>104</v>
      </c>
      <c r="V396" t="s">
        <v>94</v>
      </c>
      <c r="W396">
        <v>265472419.80000001</v>
      </c>
      <c r="X396">
        <v>266439117.80000001</v>
      </c>
      <c r="Y396">
        <v>267499117.80000001</v>
      </c>
      <c r="Z396">
        <v>268599117.80000001</v>
      </c>
      <c r="AA396">
        <v>270179117.80000001</v>
      </c>
      <c r="AB396">
        <v>11771318980.64817</v>
      </c>
      <c r="AC396">
        <v>12211731.310799999</v>
      </c>
      <c r="AD396">
        <v>11955953560.343639</v>
      </c>
      <c r="AE396">
        <v>12256199.4188</v>
      </c>
      <c r="AF396">
        <v>12567684459.780279</v>
      </c>
      <c r="AG396">
        <v>12304959.4188</v>
      </c>
      <c r="AH396">
        <v>13628914014.237591</v>
      </c>
      <c r="AI396">
        <v>12355559.4188</v>
      </c>
      <c r="AJ396">
        <v>14271156818.748341</v>
      </c>
      <c r="AK396">
        <v>12428239.4188</v>
      </c>
    </row>
    <row r="397" spans="1:37" x14ac:dyDescent="0.35">
      <c r="A397" t="s">
        <v>4343</v>
      </c>
      <c r="B397">
        <v>58</v>
      </c>
      <c r="C397" t="s">
        <v>83</v>
      </c>
      <c r="D397" t="s">
        <v>4344</v>
      </c>
      <c r="E397" t="s">
        <v>4345</v>
      </c>
      <c r="F397">
        <v>4.5999999999999999E-2</v>
      </c>
      <c r="G397" t="s">
        <v>4346</v>
      </c>
      <c r="H397">
        <v>0.3</v>
      </c>
      <c r="I397">
        <v>30.5</v>
      </c>
      <c r="J397" t="s">
        <v>4347</v>
      </c>
      <c r="K397" t="s">
        <v>4348</v>
      </c>
      <c r="L397" t="s">
        <v>4349</v>
      </c>
      <c r="M397" t="s">
        <v>4350</v>
      </c>
      <c r="N397">
        <v>963.93530786561541</v>
      </c>
      <c r="O397">
        <v>975.50253156000281</v>
      </c>
      <c r="P397">
        <v>1021.351150543323</v>
      </c>
      <c r="Q397">
        <v>1103.059242586789</v>
      </c>
      <c r="R397">
        <v>1148.2846715328469</v>
      </c>
      <c r="S397" t="s">
        <v>4351</v>
      </c>
      <c r="T397" t="s">
        <v>4352</v>
      </c>
      <c r="U397" t="s">
        <v>4353</v>
      </c>
      <c r="V397" t="s">
        <v>94</v>
      </c>
      <c r="W397">
        <v>265472419.80000001</v>
      </c>
      <c r="X397">
        <v>266439117.80000001</v>
      </c>
      <c r="Y397">
        <v>267499117.80000001</v>
      </c>
      <c r="Z397">
        <v>268599117.80000001</v>
      </c>
      <c r="AA397">
        <v>270179117.80000001</v>
      </c>
      <c r="AB397">
        <v>11771318980.64817</v>
      </c>
      <c r="AC397">
        <v>12211731.310799999</v>
      </c>
      <c r="AD397">
        <v>11955953560.343639</v>
      </c>
      <c r="AE397">
        <v>12256199.4188</v>
      </c>
      <c r="AF397">
        <v>12567684459.780279</v>
      </c>
      <c r="AG397">
        <v>12304959.4188</v>
      </c>
      <c r="AH397">
        <v>13628914014.237591</v>
      </c>
      <c r="AI397">
        <v>12355559.4188</v>
      </c>
      <c r="AJ397">
        <v>14271156818.748341</v>
      </c>
      <c r="AK397">
        <v>12428239.4188</v>
      </c>
    </row>
    <row r="398" spans="1:37" x14ac:dyDescent="0.35">
      <c r="A398" t="s">
        <v>4354</v>
      </c>
      <c r="B398">
        <v>61.01</v>
      </c>
      <c r="C398" t="s">
        <v>83</v>
      </c>
      <c r="D398" t="s">
        <v>4355</v>
      </c>
      <c r="E398" t="s">
        <v>4356</v>
      </c>
      <c r="F398">
        <v>4.5999999999999999E-2</v>
      </c>
      <c r="G398" t="s">
        <v>4357</v>
      </c>
      <c r="H398">
        <v>0.15</v>
      </c>
      <c r="I398">
        <v>0.02</v>
      </c>
      <c r="J398" t="s">
        <v>4358</v>
      </c>
      <c r="K398" t="s">
        <v>4359</v>
      </c>
      <c r="L398" t="s">
        <v>4360</v>
      </c>
      <c r="M398" t="s">
        <v>4361</v>
      </c>
      <c r="N398">
        <v>963.93530786561541</v>
      </c>
      <c r="O398">
        <v>975.50253156000281</v>
      </c>
      <c r="P398">
        <v>1021.351150543323</v>
      </c>
      <c r="Q398">
        <v>1103.059242586789</v>
      </c>
      <c r="R398">
        <v>1148.2846715328469</v>
      </c>
      <c r="S398" t="s">
        <v>4362</v>
      </c>
      <c r="T398" t="s">
        <v>4363</v>
      </c>
      <c r="U398" t="s">
        <v>797</v>
      </c>
      <c r="V398" t="s">
        <v>94</v>
      </c>
      <c r="W398">
        <v>265472419.80000001</v>
      </c>
      <c r="X398">
        <v>266439117.80000001</v>
      </c>
      <c r="Y398">
        <v>267499117.80000001</v>
      </c>
      <c r="Z398">
        <v>268599117.80000001</v>
      </c>
      <c r="AA398">
        <v>270179117.80000001</v>
      </c>
      <c r="AB398">
        <v>11771318980.64817</v>
      </c>
      <c r="AC398">
        <v>12211731.310799999</v>
      </c>
      <c r="AD398">
        <v>11955953560.343639</v>
      </c>
      <c r="AE398">
        <v>12256199.4188</v>
      </c>
      <c r="AF398">
        <v>12567684459.780279</v>
      </c>
      <c r="AG398">
        <v>12304959.4188</v>
      </c>
      <c r="AH398">
        <v>13628914014.237591</v>
      </c>
      <c r="AI398">
        <v>12355559.4188</v>
      </c>
      <c r="AJ398">
        <v>14271156818.748341</v>
      </c>
      <c r="AK398">
        <v>12428239.4188</v>
      </c>
    </row>
    <row r="399" spans="1:37" x14ac:dyDescent="0.35">
      <c r="A399" t="s">
        <v>4364</v>
      </c>
      <c r="B399">
        <v>85.01</v>
      </c>
      <c r="C399" t="s">
        <v>83</v>
      </c>
      <c r="D399" t="s">
        <v>4365</v>
      </c>
      <c r="E399" t="s">
        <v>4366</v>
      </c>
      <c r="F399">
        <v>4.5999999999999999E-2</v>
      </c>
      <c r="G399" t="s">
        <v>4367</v>
      </c>
      <c r="H399">
        <v>10.15</v>
      </c>
      <c r="I399">
        <v>30.5</v>
      </c>
      <c r="J399" t="s">
        <v>4368</v>
      </c>
      <c r="K399" t="s">
        <v>4369</v>
      </c>
      <c r="L399" t="s">
        <v>4370</v>
      </c>
      <c r="M399" t="s">
        <v>4371</v>
      </c>
      <c r="N399">
        <v>963.93530786561541</v>
      </c>
      <c r="O399">
        <v>975.50253156000281</v>
      </c>
      <c r="P399">
        <v>1021.351150543323</v>
      </c>
      <c r="Q399">
        <v>1103.059242586789</v>
      </c>
      <c r="R399">
        <v>1148.2846715328469</v>
      </c>
      <c r="S399" t="s">
        <v>4372</v>
      </c>
      <c r="T399" t="s">
        <v>4373</v>
      </c>
      <c r="U399" t="s">
        <v>4374</v>
      </c>
      <c r="V399" t="s">
        <v>94</v>
      </c>
      <c r="W399">
        <v>265472419.80000001</v>
      </c>
      <c r="X399">
        <v>266439117.80000001</v>
      </c>
      <c r="Y399">
        <v>267499117.80000001</v>
      </c>
      <c r="Z399">
        <v>268599117.80000001</v>
      </c>
      <c r="AA399">
        <v>270179117.80000001</v>
      </c>
      <c r="AB399">
        <v>11771318980.64817</v>
      </c>
      <c r="AC399">
        <v>12211731.310799999</v>
      </c>
      <c r="AD399">
        <v>11955953560.343639</v>
      </c>
      <c r="AE399">
        <v>12256199.4188</v>
      </c>
      <c r="AF399">
        <v>12567684459.780279</v>
      </c>
      <c r="AG399">
        <v>12304959.4188</v>
      </c>
      <c r="AH399">
        <v>13628914014.237591</v>
      </c>
      <c r="AI399">
        <v>12355559.4188</v>
      </c>
      <c r="AJ399">
        <v>14271156818.748341</v>
      </c>
      <c r="AK399">
        <v>12428239.4188</v>
      </c>
    </row>
    <row r="400" spans="1:37" x14ac:dyDescent="0.35">
      <c r="A400" t="s">
        <v>4375</v>
      </c>
      <c r="B400">
        <v>89.01</v>
      </c>
      <c r="C400" t="s">
        <v>83</v>
      </c>
      <c r="D400" t="s">
        <v>4376</v>
      </c>
      <c r="E400" t="s">
        <v>4377</v>
      </c>
      <c r="F400">
        <v>4.5999999999999999E-2</v>
      </c>
      <c r="G400" t="s">
        <v>4378</v>
      </c>
      <c r="H400">
        <v>0.2</v>
      </c>
      <c r="J400" t="s">
        <v>4379</v>
      </c>
      <c r="K400" t="s">
        <v>4380</v>
      </c>
      <c r="L400" t="s">
        <v>4381</v>
      </c>
      <c r="M400" t="s">
        <v>4382</v>
      </c>
      <c r="N400">
        <v>963.93530786561541</v>
      </c>
      <c r="O400">
        <v>975.50253156000281</v>
      </c>
      <c r="P400">
        <v>1021.351150543323</v>
      </c>
      <c r="Q400">
        <v>1103.059242586789</v>
      </c>
      <c r="R400">
        <v>1148.2846715328469</v>
      </c>
      <c r="S400" t="s">
        <v>4383</v>
      </c>
      <c r="T400" t="s">
        <v>4384</v>
      </c>
      <c r="U400" t="s">
        <v>115</v>
      </c>
      <c r="V400" t="s">
        <v>94</v>
      </c>
      <c r="W400">
        <v>265472419.80000001</v>
      </c>
      <c r="X400">
        <v>266439117.80000001</v>
      </c>
      <c r="Y400">
        <v>267499117.80000001</v>
      </c>
      <c r="Z400">
        <v>268599117.80000001</v>
      </c>
      <c r="AA400">
        <v>270179117.80000001</v>
      </c>
      <c r="AB400">
        <v>11771318980.64817</v>
      </c>
      <c r="AC400">
        <v>12211731.310799999</v>
      </c>
      <c r="AD400">
        <v>11955953560.343639</v>
      </c>
      <c r="AE400">
        <v>12256199.4188</v>
      </c>
      <c r="AF400">
        <v>12567684459.780279</v>
      </c>
      <c r="AG400">
        <v>12304959.4188</v>
      </c>
      <c r="AH400">
        <v>13628914014.237591</v>
      </c>
      <c r="AI400">
        <v>12355559.4188</v>
      </c>
      <c r="AJ400">
        <v>14271156818.748341</v>
      </c>
      <c r="AK400">
        <v>12428239.4188</v>
      </c>
    </row>
    <row r="401" spans="1:37" x14ac:dyDescent="0.35">
      <c r="A401" t="s">
        <v>4385</v>
      </c>
      <c r="B401">
        <v>12.42</v>
      </c>
      <c r="C401" t="s">
        <v>487</v>
      </c>
      <c r="D401" t="s">
        <v>4386</v>
      </c>
      <c r="E401" t="s">
        <v>4387</v>
      </c>
      <c r="F401">
        <v>2.8000000000000001E-2</v>
      </c>
      <c r="G401" t="s">
        <v>4388</v>
      </c>
      <c r="H401">
        <v>60.8</v>
      </c>
      <c r="I401">
        <v>510.15</v>
      </c>
      <c r="J401" t="s">
        <v>4389</v>
      </c>
      <c r="K401" t="s">
        <v>4390</v>
      </c>
      <c r="L401" t="s">
        <v>4391</v>
      </c>
      <c r="M401" t="s">
        <v>4392</v>
      </c>
      <c r="N401">
        <v>4761.448013576749</v>
      </c>
      <c r="O401">
        <v>4818.5853897396701</v>
      </c>
      <c r="P401">
        <v>5045.0589030574338</v>
      </c>
      <c r="Q401">
        <v>5448.663615302029</v>
      </c>
      <c r="R401">
        <v>5672.0588235294117</v>
      </c>
      <c r="S401" t="s">
        <v>4393</v>
      </c>
      <c r="T401" t="s">
        <v>4394</v>
      </c>
      <c r="U401" t="s">
        <v>1304</v>
      </c>
      <c r="V401" t="s">
        <v>94</v>
      </c>
      <c r="W401">
        <v>265472419.80000001</v>
      </c>
      <c r="X401">
        <v>266439117.80000001</v>
      </c>
      <c r="Y401">
        <v>267499117.80000001</v>
      </c>
      <c r="Z401">
        <v>268599117.80000001</v>
      </c>
      <c r="AA401">
        <v>270179117.80000001</v>
      </c>
      <c r="AB401">
        <v>35392927525.651443</v>
      </c>
      <c r="AC401">
        <v>7433227.7544000009</v>
      </c>
      <c r="AD401">
        <v>35948069928.013786</v>
      </c>
      <c r="AE401">
        <v>7460295.2984000007</v>
      </c>
      <c r="AF401">
        <v>37787366562.873177</v>
      </c>
      <c r="AG401">
        <v>7489975.2984000007</v>
      </c>
      <c r="AH401">
        <v>40978174727.254341</v>
      </c>
      <c r="AI401">
        <v>7520775.2984000007</v>
      </c>
      <c r="AJ401">
        <v>42909211773.424713</v>
      </c>
      <c r="AK401">
        <v>7565015.2984000007</v>
      </c>
    </row>
    <row r="402" spans="1:37" x14ac:dyDescent="0.35">
      <c r="A402" t="s">
        <v>4395</v>
      </c>
      <c r="B402">
        <v>16.48</v>
      </c>
      <c r="C402" t="s">
        <v>487</v>
      </c>
      <c r="D402" t="s">
        <v>4396</v>
      </c>
      <c r="E402" t="s">
        <v>4397</v>
      </c>
      <c r="F402">
        <v>2.8000000000000001E-2</v>
      </c>
      <c r="G402" t="s">
        <v>4398</v>
      </c>
      <c r="H402">
        <v>0.3</v>
      </c>
      <c r="I402">
        <v>0.08</v>
      </c>
      <c r="J402" t="s">
        <v>4399</v>
      </c>
      <c r="K402" t="s">
        <v>4400</v>
      </c>
      <c r="L402" t="s">
        <v>4401</v>
      </c>
      <c r="M402" t="s">
        <v>4402</v>
      </c>
      <c r="N402">
        <v>4761.448013576749</v>
      </c>
      <c r="O402">
        <v>4818.5853897396701</v>
      </c>
      <c r="P402">
        <v>5045.0589030574338</v>
      </c>
      <c r="Q402">
        <v>5448.663615302029</v>
      </c>
      <c r="R402">
        <v>5672.0588235294117</v>
      </c>
      <c r="S402" t="s">
        <v>4403</v>
      </c>
      <c r="T402" t="s">
        <v>4404</v>
      </c>
      <c r="U402" t="s">
        <v>1304</v>
      </c>
      <c r="V402" t="s">
        <v>94</v>
      </c>
      <c r="W402">
        <v>265472419.80000001</v>
      </c>
      <c r="X402">
        <v>266439117.80000001</v>
      </c>
      <c r="Y402">
        <v>267499117.80000001</v>
      </c>
      <c r="Z402">
        <v>268599117.80000001</v>
      </c>
      <c r="AA402">
        <v>270179117.80000001</v>
      </c>
      <c r="AB402">
        <v>35392927525.651443</v>
      </c>
      <c r="AC402">
        <v>7433227.7544000009</v>
      </c>
      <c r="AD402">
        <v>35948069928.013786</v>
      </c>
      <c r="AE402">
        <v>7460295.2984000007</v>
      </c>
      <c r="AF402">
        <v>37787366562.873177</v>
      </c>
      <c r="AG402">
        <v>7489975.2984000007</v>
      </c>
      <c r="AH402">
        <v>40978174727.254341</v>
      </c>
      <c r="AI402">
        <v>7520775.2984000007</v>
      </c>
      <c r="AJ402">
        <v>42909211773.424713</v>
      </c>
      <c r="AK402">
        <v>7565015.2984000007</v>
      </c>
    </row>
    <row r="403" spans="1:37" x14ac:dyDescent="0.35">
      <c r="A403" t="s">
        <v>4405</v>
      </c>
      <c r="B403">
        <v>144.99</v>
      </c>
      <c r="C403" t="s">
        <v>4253</v>
      </c>
      <c r="D403" t="s">
        <v>4406</v>
      </c>
      <c r="E403" t="s">
        <v>4407</v>
      </c>
      <c r="F403">
        <v>0.25</v>
      </c>
      <c r="G403" t="s">
        <v>4408</v>
      </c>
      <c r="H403">
        <v>0.15</v>
      </c>
      <c r="J403" t="s">
        <v>4409</v>
      </c>
      <c r="K403" t="s">
        <v>4410</v>
      </c>
      <c r="L403" t="s">
        <v>4411</v>
      </c>
      <c r="M403" t="s">
        <v>4412</v>
      </c>
      <c r="N403">
        <v>6104.049729468441</v>
      </c>
      <c r="O403">
        <v>6177.2983262220623</v>
      </c>
      <c r="P403">
        <v>6467.6313475544976</v>
      </c>
      <c r="Q403">
        <v>6985.0418553588588</v>
      </c>
      <c r="R403">
        <v>7271.4285714285716</v>
      </c>
      <c r="S403" t="s">
        <v>4413</v>
      </c>
      <c r="T403" t="s">
        <v>4414</v>
      </c>
      <c r="U403" t="s">
        <v>4415</v>
      </c>
      <c r="V403" t="s">
        <v>4264</v>
      </c>
      <c r="W403">
        <v>256761605</v>
      </c>
      <c r="X403">
        <v>257719695</v>
      </c>
      <c r="Y403">
        <v>258779695</v>
      </c>
      <c r="Z403">
        <v>259879695</v>
      </c>
      <c r="AA403">
        <v>261179695</v>
      </c>
      <c r="AB403">
        <v>391821401384.5332</v>
      </c>
      <c r="AC403">
        <v>64190401.25</v>
      </c>
      <c r="AD403">
        <v>398002860139.49011</v>
      </c>
      <c r="AE403">
        <v>64429923.75</v>
      </c>
      <c r="AF403">
        <v>418422916873.14801</v>
      </c>
      <c r="AG403">
        <v>64694923.75</v>
      </c>
      <c r="AH403">
        <v>453817636733.22357</v>
      </c>
      <c r="AI403">
        <v>64969923.75</v>
      </c>
      <c r="AJ403">
        <v>474787374125</v>
      </c>
      <c r="AK403">
        <v>65294923.75</v>
      </c>
    </row>
    <row r="404" spans="1:37" x14ac:dyDescent="0.35">
      <c r="A404" t="s">
        <v>4416</v>
      </c>
      <c r="B404">
        <v>110.99</v>
      </c>
      <c r="C404" t="s">
        <v>4253</v>
      </c>
      <c r="D404" t="s">
        <v>4417</v>
      </c>
      <c r="E404" t="s">
        <v>4418</v>
      </c>
      <c r="F404">
        <v>0.25</v>
      </c>
      <c r="G404" t="s">
        <v>4419</v>
      </c>
      <c r="H404">
        <v>0.2</v>
      </c>
      <c r="I404">
        <v>0.25</v>
      </c>
      <c r="J404" t="s">
        <v>4420</v>
      </c>
      <c r="K404" t="s">
        <v>4421</v>
      </c>
      <c r="L404" t="s">
        <v>4422</v>
      </c>
      <c r="M404" t="s">
        <v>4423</v>
      </c>
      <c r="N404">
        <v>6104.049729468441</v>
      </c>
      <c r="O404">
        <v>6177.2983262220623</v>
      </c>
      <c r="P404">
        <v>6467.6313475544976</v>
      </c>
      <c r="Q404">
        <v>6985.0418553588588</v>
      </c>
      <c r="R404">
        <v>7271.4285714285716</v>
      </c>
      <c r="S404" t="s">
        <v>4424</v>
      </c>
      <c r="T404" t="s">
        <v>4425</v>
      </c>
      <c r="U404" t="s">
        <v>4426</v>
      </c>
      <c r="V404" t="s">
        <v>4264</v>
      </c>
      <c r="W404">
        <v>256761605</v>
      </c>
      <c r="X404">
        <v>257719695</v>
      </c>
      <c r="Y404">
        <v>258779695</v>
      </c>
      <c r="Z404">
        <v>259879695</v>
      </c>
      <c r="AA404">
        <v>261179695</v>
      </c>
      <c r="AB404">
        <v>391821401384.5332</v>
      </c>
      <c r="AC404">
        <v>64190401.25</v>
      </c>
      <c r="AD404">
        <v>398002860139.49011</v>
      </c>
      <c r="AE404">
        <v>64429923.75</v>
      </c>
      <c r="AF404">
        <v>418422916873.14801</v>
      </c>
      <c r="AG404">
        <v>64694923.75</v>
      </c>
      <c r="AH404">
        <v>453817636733.22357</v>
      </c>
      <c r="AI404">
        <v>64969923.75</v>
      </c>
      <c r="AJ404">
        <v>474787374125</v>
      </c>
      <c r="AK404">
        <v>65294923.75</v>
      </c>
    </row>
    <row r="405" spans="1:37" x14ac:dyDescent="0.35">
      <c r="A405" t="s">
        <v>4427</v>
      </c>
      <c r="B405">
        <v>34.340000000000003</v>
      </c>
      <c r="C405" t="s">
        <v>1402</v>
      </c>
      <c r="D405" t="s">
        <v>4428</v>
      </c>
      <c r="E405" t="s">
        <v>4429</v>
      </c>
      <c r="F405">
        <v>0.3</v>
      </c>
      <c r="G405" t="s">
        <v>4430</v>
      </c>
      <c r="H405">
        <v>0.2</v>
      </c>
      <c r="I405">
        <v>0</v>
      </c>
      <c r="J405" t="s">
        <v>4431</v>
      </c>
      <c r="K405" t="s">
        <v>4432</v>
      </c>
      <c r="L405" t="s">
        <v>4433</v>
      </c>
      <c r="M405" t="s">
        <v>4434</v>
      </c>
      <c r="N405">
        <v>245.54109668146631</v>
      </c>
      <c r="O405">
        <v>248.48758984164391</v>
      </c>
      <c r="P405">
        <v>260.16650656420109</v>
      </c>
      <c r="Q405">
        <v>280.97982708933722</v>
      </c>
      <c r="R405">
        <v>292.5</v>
      </c>
      <c r="S405" t="s">
        <v>4435</v>
      </c>
      <c r="T405" t="s">
        <v>4436</v>
      </c>
      <c r="U405" t="s">
        <v>4437</v>
      </c>
      <c r="V405" t="s">
        <v>49</v>
      </c>
      <c r="W405">
        <v>338996155</v>
      </c>
      <c r="X405">
        <v>339500751</v>
      </c>
      <c r="Y405">
        <v>340560751</v>
      </c>
      <c r="Z405">
        <v>341660751</v>
      </c>
      <c r="AA405">
        <v>343660751</v>
      </c>
      <c r="AB405">
        <v>24971246300.85009</v>
      </c>
      <c r="AC405">
        <v>101698846.5</v>
      </c>
      <c r="AD405">
        <v>25308517009.62542</v>
      </c>
      <c r="AE405">
        <v>101850225.3</v>
      </c>
      <c r="AF405">
        <v>26580750258.165218</v>
      </c>
      <c r="AG405">
        <v>102168225.3</v>
      </c>
      <c r="AH405">
        <v>28799933621.757931</v>
      </c>
      <c r="AI405">
        <v>102498225.3</v>
      </c>
      <c r="AJ405">
        <v>30156230900.25</v>
      </c>
      <c r="AK405">
        <v>103098225.3</v>
      </c>
    </row>
    <row r="406" spans="1:37" x14ac:dyDescent="0.35">
      <c r="A406" t="s">
        <v>4438</v>
      </c>
      <c r="B406">
        <v>456.68</v>
      </c>
      <c r="C406" t="s">
        <v>1356</v>
      </c>
      <c r="D406" t="s">
        <v>4439</v>
      </c>
      <c r="E406" t="s">
        <v>4440</v>
      </c>
      <c r="F406">
        <v>1.5E-3</v>
      </c>
      <c r="G406" t="s">
        <v>4441</v>
      </c>
      <c r="H406">
        <v>30.5</v>
      </c>
      <c r="I406">
        <v>40.6</v>
      </c>
      <c r="J406" t="s">
        <v>4442</v>
      </c>
      <c r="K406" t="s">
        <v>4443</v>
      </c>
      <c r="L406" t="s">
        <v>4444</v>
      </c>
      <c r="M406" t="s">
        <v>4445</v>
      </c>
      <c r="N406">
        <v>49587.908902459727</v>
      </c>
      <c r="O406">
        <v>50182.963809289249</v>
      </c>
      <c r="P406">
        <v>52541.563108325841</v>
      </c>
      <c r="Q406">
        <v>56744.88815699191</v>
      </c>
      <c r="R406">
        <v>59071.428571428572</v>
      </c>
      <c r="S406" t="s">
        <v>4446</v>
      </c>
      <c r="T406" t="s">
        <v>4447</v>
      </c>
      <c r="U406" t="s">
        <v>4448</v>
      </c>
      <c r="V406" t="s">
        <v>49</v>
      </c>
      <c r="W406">
        <v>338996155</v>
      </c>
      <c r="X406">
        <v>339500751</v>
      </c>
      <c r="Y406">
        <v>340560751</v>
      </c>
      <c r="Z406">
        <v>341660751</v>
      </c>
      <c r="AA406">
        <v>343660751</v>
      </c>
      <c r="AB406">
        <v>25215165678.636181</v>
      </c>
      <c r="AC406">
        <v>508494.23249999998</v>
      </c>
      <c r="AD406">
        <v>25555730850.989281</v>
      </c>
      <c r="AE406">
        <v>509251.12650000001</v>
      </c>
      <c r="AF406">
        <v>26840391286.328018</v>
      </c>
      <c r="AG406">
        <v>510841.12650000001</v>
      </c>
      <c r="AH406">
        <v>29081251654.693291</v>
      </c>
      <c r="AI406">
        <v>512491.12650000001</v>
      </c>
      <c r="AJ406">
        <v>30450797258.25</v>
      </c>
      <c r="AK406">
        <v>515491.12650000001</v>
      </c>
    </row>
    <row r="407" spans="1:37" x14ac:dyDescent="0.35">
      <c r="A407" t="s">
        <v>4449</v>
      </c>
      <c r="B407">
        <v>310.83999999999997</v>
      </c>
      <c r="C407" t="s">
        <v>1356</v>
      </c>
      <c r="D407" t="s">
        <v>4450</v>
      </c>
      <c r="E407" t="s">
        <v>4451</v>
      </c>
      <c r="F407">
        <v>1.5E-3</v>
      </c>
      <c r="G407" t="s">
        <v>4452</v>
      </c>
      <c r="H407">
        <v>30.6</v>
      </c>
      <c r="I407">
        <v>30.5</v>
      </c>
      <c r="J407" t="s">
        <v>4453</v>
      </c>
      <c r="K407" t="s">
        <v>4454</v>
      </c>
      <c r="L407" t="s">
        <v>4455</v>
      </c>
      <c r="M407" t="s">
        <v>4456</v>
      </c>
      <c r="N407">
        <v>49587.908902459727</v>
      </c>
      <c r="O407">
        <v>50182.963809289249</v>
      </c>
      <c r="P407">
        <v>52541.563108325841</v>
      </c>
      <c r="Q407">
        <v>56744.88815699191</v>
      </c>
      <c r="R407">
        <v>59071.428571428572</v>
      </c>
      <c r="S407" t="s">
        <v>4457</v>
      </c>
      <c r="T407" t="s">
        <v>4458</v>
      </c>
      <c r="U407" t="s">
        <v>4459</v>
      </c>
      <c r="V407" t="s">
        <v>49</v>
      </c>
      <c r="W407">
        <v>338996155</v>
      </c>
      <c r="X407">
        <v>339500751</v>
      </c>
      <c r="Y407">
        <v>340560751</v>
      </c>
      <c r="Z407">
        <v>341660751</v>
      </c>
      <c r="AA407">
        <v>343660751</v>
      </c>
      <c r="AB407">
        <v>25215165678.636181</v>
      </c>
      <c r="AC407">
        <v>508494.23249999998</v>
      </c>
      <c r="AD407">
        <v>25555730850.989281</v>
      </c>
      <c r="AE407">
        <v>509251.12650000001</v>
      </c>
      <c r="AF407">
        <v>26840391286.328018</v>
      </c>
      <c r="AG407">
        <v>510841.12650000001</v>
      </c>
      <c r="AH407">
        <v>29081251654.693291</v>
      </c>
      <c r="AI407">
        <v>512491.12650000001</v>
      </c>
      <c r="AJ407">
        <v>30450797258.25</v>
      </c>
      <c r="AK407">
        <v>515491.12650000001</v>
      </c>
    </row>
    <row r="408" spans="1:37" x14ac:dyDescent="0.35">
      <c r="A408" t="s">
        <v>4460</v>
      </c>
      <c r="B408">
        <v>142.66</v>
      </c>
      <c r="C408" t="s">
        <v>313</v>
      </c>
      <c r="D408" t="s">
        <v>4461</v>
      </c>
      <c r="E408" t="s">
        <v>4462</v>
      </c>
      <c r="F408">
        <v>0.05</v>
      </c>
      <c r="G408" t="s">
        <v>4463</v>
      </c>
      <c r="H408">
        <v>0.25</v>
      </c>
      <c r="I408">
        <v>0.1</v>
      </c>
      <c r="J408" t="s">
        <v>4464</v>
      </c>
      <c r="K408" t="s">
        <v>4465</v>
      </c>
      <c r="L408" t="s">
        <v>4466</v>
      </c>
      <c r="M408" t="s">
        <v>4467</v>
      </c>
      <c r="N408">
        <v>2615.6406066244381</v>
      </c>
      <c r="O408">
        <v>2647.0282939039312</v>
      </c>
      <c r="P408">
        <v>2771.4386237174158</v>
      </c>
      <c r="Q408">
        <v>2993.153713614809</v>
      </c>
      <c r="R408">
        <v>3115.8730158730159</v>
      </c>
      <c r="S408" t="s">
        <v>4468</v>
      </c>
      <c r="T408" t="s">
        <v>4469</v>
      </c>
      <c r="U408" t="s">
        <v>4470</v>
      </c>
      <c r="V408" t="s">
        <v>49</v>
      </c>
      <c r="W408">
        <v>338996155</v>
      </c>
      <c r="X408">
        <v>339500751</v>
      </c>
      <c r="Y408">
        <v>340560751</v>
      </c>
      <c r="Z408">
        <v>341660751</v>
      </c>
      <c r="AA408">
        <v>343660751</v>
      </c>
      <c r="AB408">
        <v>44334605425.377602</v>
      </c>
      <c r="AC408">
        <v>16949807.75</v>
      </c>
      <c r="AD408">
        <v>44933404684.931664</v>
      </c>
      <c r="AE408">
        <v>16975037.550000001</v>
      </c>
      <c r="AF408">
        <v>47192160952.180481</v>
      </c>
      <c r="AG408">
        <v>17028037.550000001</v>
      </c>
      <c r="AH408">
        <v>51132157282.603729</v>
      </c>
      <c r="AI408">
        <v>17083037.550000001</v>
      </c>
      <c r="AJ408">
        <v>53540163032.777786</v>
      </c>
      <c r="AK408">
        <v>17183037.550000001</v>
      </c>
    </row>
    <row r="409" spans="1:37" x14ac:dyDescent="0.35">
      <c r="A409" t="s">
        <v>4471</v>
      </c>
      <c r="B409">
        <v>659.07</v>
      </c>
      <c r="C409" t="s">
        <v>1724</v>
      </c>
      <c r="D409" t="s">
        <v>4472</v>
      </c>
      <c r="E409" t="s">
        <v>4473</v>
      </c>
      <c r="F409">
        <v>4.0000000000000003E-5</v>
      </c>
      <c r="G409" t="s">
        <v>4474</v>
      </c>
      <c r="H409">
        <v>0.2</v>
      </c>
      <c r="I409">
        <v>51520.5</v>
      </c>
      <c r="J409" t="s">
        <v>4475</v>
      </c>
      <c r="K409" t="s">
        <v>4476</v>
      </c>
      <c r="L409" t="s">
        <v>4477</v>
      </c>
      <c r="M409" t="s">
        <v>4478</v>
      </c>
      <c r="N409">
        <v>3612.8926651750271</v>
      </c>
      <c r="O409">
        <v>3656.2473771571272</v>
      </c>
      <c r="P409">
        <v>3828.0910038835118</v>
      </c>
      <c r="Q409">
        <v>4134.338284194193</v>
      </c>
      <c r="R409">
        <v>4303.8461538461543</v>
      </c>
      <c r="S409" t="s">
        <v>4479</v>
      </c>
      <c r="T409" t="s">
        <v>4480</v>
      </c>
      <c r="U409" t="s">
        <v>4481</v>
      </c>
      <c r="V409" t="s">
        <v>49</v>
      </c>
      <c r="W409">
        <v>338996155</v>
      </c>
      <c r="X409">
        <v>339500751</v>
      </c>
      <c r="Y409">
        <v>340560751</v>
      </c>
      <c r="Z409">
        <v>341660751</v>
      </c>
      <c r="AA409">
        <v>343660751</v>
      </c>
      <c r="AB409">
        <v>48990268.876881473</v>
      </c>
      <c r="AC409">
        <v>13559.8462</v>
      </c>
      <c r="AD409">
        <v>49651949.215465002</v>
      </c>
      <c r="AE409">
        <v>13580.03004</v>
      </c>
      <c r="AF409">
        <v>52147901.887156516</v>
      </c>
      <c r="AG409">
        <v>13622.430039999999</v>
      </c>
      <c r="AH409">
        <v>56501644.922633581</v>
      </c>
      <c r="AI409">
        <v>13666.430039999999</v>
      </c>
      <c r="AJ409">
        <v>59162520.056769237</v>
      </c>
      <c r="AK409">
        <v>13746.430039999999</v>
      </c>
    </row>
    <row r="410" spans="1:37" x14ac:dyDescent="0.35">
      <c r="A410" t="s">
        <v>4482</v>
      </c>
      <c r="B410">
        <v>917.86</v>
      </c>
      <c r="C410" t="s">
        <v>4483</v>
      </c>
      <c r="D410" t="s">
        <v>4484</v>
      </c>
      <c r="E410" t="s">
        <v>4485</v>
      </c>
      <c r="F410">
        <v>2.2499999999999999E-2</v>
      </c>
      <c r="G410" t="s">
        <v>4486</v>
      </c>
      <c r="H410">
        <v>0.2</v>
      </c>
      <c r="I410">
        <v>251.55</v>
      </c>
      <c r="J410" t="s">
        <v>4487</v>
      </c>
      <c r="K410" t="s">
        <v>4488</v>
      </c>
      <c r="L410" t="s">
        <v>4489</v>
      </c>
      <c r="M410" t="s">
        <v>4490</v>
      </c>
      <c r="N410">
        <v>3277.3790255061808</v>
      </c>
      <c r="O410">
        <v>3316.7075738122549</v>
      </c>
      <c r="P410">
        <v>3472.5928297814312</v>
      </c>
      <c r="Q410">
        <v>3750.400256163945</v>
      </c>
      <c r="R410">
        <v>3904.166666666667</v>
      </c>
      <c r="S410" t="s">
        <v>4491</v>
      </c>
      <c r="T410" t="s">
        <v>4492</v>
      </c>
      <c r="U410" t="s">
        <v>4493</v>
      </c>
      <c r="V410" t="s">
        <v>49</v>
      </c>
      <c r="W410">
        <v>338996155</v>
      </c>
      <c r="X410">
        <v>339500751</v>
      </c>
      <c r="Y410">
        <v>340560751</v>
      </c>
      <c r="Z410">
        <v>341660751</v>
      </c>
      <c r="AA410">
        <v>343660751</v>
      </c>
      <c r="AB410">
        <v>24997924982.795448</v>
      </c>
      <c r="AC410">
        <v>7627413.4874999998</v>
      </c>
      <c r="AD410">
        <v>25335556023.52459</v>
      </c>
      <c r="AE410">
        <v>7638766.8975</v>
      </c>
      <c r="AF410">
        <v>26609148495.620529</v>
      </c>
      <c r="AG410">
        <v>7662616.8975</v>
      </c>
      <c r="AH410">
        <v>28830702781.610229</v>
      </c>
      <c r="AI410">
        <v>7687366.8975</v>
      </c>
      <c r="AJ410">
        <v>30188449095.65625</v>
      </c>
      <c r="AK410">
        <v>7732366.8975</v>
      </c>
    </row>
    <row r="411" spans="1:37" x14ac:dyDescent="0.35">
      <c r="A411" t="s">
        <v>4494</v>
      </c>
      <c r="B411">
        <v>953.99</v>
      </c>
      <c r="C411" t="s">
        <v>4483</v>
      </c>
      <c r="D411" t="s">
        <v>4495</v>
      </c>
      <c r="E411" t="s">
        <v>4496</v>
      </c>
      <c r="F411">
        <v>2.2499999999999999E-2</v>
      </c>
      <c r="G411" t="s">
        <v>4497</v>
      </c>
      <c r="H411">
        <v>0.2</v>
      </c>
      <c r="I411">
        <v>0.01</v>
      </c>
      <c r="J411" t="s">
        <v>4498</v>
      </c>
      <c r="K411" t="s">
        <v>4499</v>
      </c>
      <c r="L411" t="s">
        <v>4500</v>
      </c>
      <c r="M411" t="s">
        <v>4501</v>
      </c>
      <c r="N411">
        <v>3277.3790255061808</v>
      </c>
      <c r="O411">
        <v>3316.7075738122549</v>
      </c>
      <c r="P411">
        <v>3472.5928297814312</v>
      </c>
      <c r="Q411">
        <v>3750.400256163945</v>
      </c>
      <c r="R411">
        <v>3904.166666666667</v>
      </c>
      <c r="S411" t="s">
        <v>4502</v>
      </c>
      <c r="T411" t="s">
        <v>4503</v>
      </c>
      <c r="U411" t="s">
        <v>4504</v>
      </c>
      <c r="V411" t="s">
        <v>49</v>
      </c>
      <c r="W411">
        <v>338996155</v>
      </c>
      <c r="X411">
        <v>339500751</v>
      </c>
      <c r="Y411">
        <v>340560751</v>
      </c>
      <c r="Z411">
        <v>341660751</v>
      </c>
      <c r="AA411">
        <v>343660751</v>
      </c>
      <c r="AB411">
        <v>24997924982.795448</v>
      </c>
      <c r="AC411">
        <v>7627413.4874999998</v>
      </c>
      <c r="AD411">
        <v>25335556023.52459</v>
      </c>
      <c r="AE411">
        <v>7638766.8975</v>
      </c>
      <c r="AF411">
        <v>26609148495.620529</v>
      </c>
      <c r="AG411">
        <v>7662616.8975</v>
      </c>
      <c r="AH411">
        <v>28830702781.610229</v>
      </c>
      <c r="AI411">
        <v>7687366.8975</v>
      </c>
      <c r="AJ411">
        <v>30188449095.65625</v>
      </c>
      <c r="AK411">
        <v>7732366.8975</v>
      </c>
    </row>
    <row r="412" spans="1:37" x14ac:dyDescent="0.35">
      <c r="A412" t="s">
        <v>4505</v>
      </c>
      <c r="B412">
        <v>390.22</v>
      </c>
      <c r="C412" t="s">
        <v>4483</v>
      </c>
      <c r="D412" t="s">
        <v>4506</v>
      </c>
      <c r="E412" t="s">
        <v>4507</v>
      </c>
      <c r="F412">
        <v>2.2499999999999999E-2</v>
      </c>
      <c r="G412" t="s">
        <v>4508</v>
      </c>
      <c r="H412">
        <v>0.15</v>
      </c>
      <c r="I412">
        <v>0.01</v>
      </c>
      <c r="J412" t="s">
        <v>4509</v>
      </c>
      <c r="K412" t="s">
        <v>4510</v>
      </c>
      <c r="L412" t="s">
        <v>4511</v>
      </c>
      <c r="M412" t="s">
        <v>4512</v>
      </c>
      <c r="N412">
        <v>3277.3790255061808</v>
      </c>
      <c r="O412">
        <v>3316.7075738122549</v>
      </c>
      <c r="P412">
        <v>3472.5928297814312</v>
      </c>
      <c r="Q412">
        <v>3750.400256163945</v>
      </c>
      <c r="R412">
        <v>3904.166666666667</v>
      </c>
      <c r="S412" t="s">
        <v>4513</v>
      </c>
      <c r="T412" t="s">
        <v>4514</v>
      </c>
      <c r="U412" t="s">
        <v>4515</v>
      </c>
      <c r="V412" t="s">
        <v>49</v>
      </c>
      <c r="W412">
        <v>338996155</v>
      </c>
      <c r="X412">
        <v>339500751</v>
      </c>
      <c r="Y412">
        <v>340560751</v>
      </c>
      <c r="Z412">
        <v>341660751</v>
      </c>
      <c r="AA412">
        <v>343660751</v>
      </c>
      <c r="AB412">
        <v>24997924982.795448</v>
      </c>
      <c r="AC412">
        <v>7627413.4874999998</v>
      </c>
      <c r="AD412">
        <v>25335556023.52459</v>
      </c>
      <c r="AE412">
        <v>7638766.8975</v>
      </c>
      <c r="AF412">
        <v>26609148495.620529</v>
      </c>
      <c r="AG412">
        <v>7662616.8975</v>
      </c>
      <c r="AH412">
        <v>28830702781.610229</v>
      </c>
      <c r="AI412">
        <v>7687366.8975</v>
      </c>
      <c r="AJ412">
        <v>30188449095.65625</v>
      </c>
      <c r="AK412">
        <v>7732366.8975</v>
      </c>
    </row>
    <row r="413" spans="1:37" x14ac:dyDescent="0.35">
      <c r="A413" t="s">
        <v>4516</v>
      </c>
      <c r="B413">
        <v>116.12</v>
      </c>
      <c r="C413" t="s">
        <v>4483</v>
      </c>
      <c r="D413" t="s">
        <v>4517</v>
      </c>
      <c r="E413" t="s">
        <v>4518</v>
      </c>
      <c r="F413">
        <v>2.2499999999999999E-2</v>
      </c>
      <c r="G413" t="s">
        <v>4519</v>
      </c>
      <c r="H413">
        <v>0.1</v>
      </c>
      <c r="I413">
        <v>0.01</v>
      </c>
      <c r="J413" t="s">
        <v>4520</v>
      </c>
      <c r="K413" t="s">
        <v>4521</v>
      </c>
      <c r="L413" t="s">
        <v>4522</v>
      </c>
      <c r="M413" t="s">
        <v>4523</v>
      </c>
      <c r="N413">
        <v>3277.3790255061808</v>
      </c>
      <c r="O413">
        <v>3316.7075738122549</v>
      </c>
      <c r="P413">
        <v>3472.5928297814312</v>
      </c>
      <c r="Q413">
        <v>3750.400256163945</v>
      </c>
      <c r="R413">
        <v>3904.166666666667</v>
      </c>
      <c r="S413" t="s">
        <v>4524</v>
      </c>
      <c r="T413" t="s">
        <v>4525</v>
      </c>
      <c r="U413" t="s">
        <v>4526</v>
      </c>
      <c r="V413" t="s">
        <v>49</v>
      </c>
      <c r="W413">
        <v>338996155</v>
      </c>
      <c r="X413">
        <v>339500751</v>
      </c>
      <c r="Y413">
        <v>340560751</v>
      </c>
      <c r="Z413">
        <v>341660751</v>
      </c>
      <c r="AA413">
        <v>343660751</v>
      </c>
      <c r="AB413">
        <v>24997924982.795448</v>
      </c>
      <c r="AC413">
        <v>7627413.4874999998</v>
      </c>
      <c r="AD413">
        <v>25335556023.52459</v>
      </c>
      <c r="AE413">
        <v>7638766.8975</v>
      </c>
      <c r="AF413">
        <v>26609148495.620529</v>
      </c>
      <c r="AG413">
        <v>7662616.8975</v>
      </c>
      <c r="AH413">
        <v>28830702781.610229</v>
      </c>
      <c r="AI413">
        <v>7687366.8975</v>
      </c>
      <c r="AJ413">
        <v>30188449095.65625</v>
      </c>
      <c r="AK413">
        <v>7732366.8975</v>
      </c>
    </row>
    <row r="414" spans="1:37" x14ac:dyDescent="0.35">
      <c r="A414" t="s">
        <v>4527</v>
      </c>
      <c r="B414">
        <v>53.87</v>
      </c>
      <c r="C414" t="s">
        <v>1402</v>
      </c>
      <c r="D414" t="s">
        <v>4528</v>
      </c>
      <c r="E414" t="s">
        <v>4529</v>
      </c>
      <c r="F414">
        <v>0.3</v>
      </c>
      <c r="G414" t="s">
        <v>4530</v>
      </c>
      <c r="H414">
        <v>0.2</v>
      </c>
      <c r="I414">
        <v>0</v>
      </c>
      <c r="J414" t="s">
        <v>4531</v>
      </c>
      <c r="K414" t="s">
        <v>4532</v>
      </c>
      <c r="L414" t="s">
        <v>4533</v>
      </c>
      <c r="M414" t="s">
        <v>4534</v>
      </c>
      <c r="N414">
        <v>245.54109668146631</v>
      </c>
      <c r="O414">
        <v>248.48758984164391</v>
      </c>
      <c r="P414">
        <v>260.16650656420109</v>
      </c>
      <c r="Q414">
        <v>280.97982708933722</v>
      </c>
      <c r="R414">
        <v>292.5</v>
      </c>
      <c r="S414" t="s">
        <v>4535</v>
      </c>
      <c r="T414" t="s">
        <v>4536</v>
      </c>
      <c r="U414" t="s">
        <v>4437</v>
      </c>
      <c r="V414" t="s">
        <v>49</v>
      </c>
      <c r="W414">
        <v>338996155</v>
      </c>
      <c r="X414">
        <v>339500751</v>
      </c>
      <c r="Y414">
        <v>340560751</v>
      </c>
      <c r="Z414">
        <v>341660751</v>
      </c>
      <c r="AA414">
        <v>343660751</v>
      </c>
      <c r="AB414">
        <v>24971246300.85009</v>
      </c>
      <c r="AC414">
        <v>101698846.5</v>
      </c>
      <c r="AD414">
        <v>25308517009.62542</v>
      </c>
      <c r="AE414">
        <v>101850225.3</v>
      </c>
      <c r="AF414">
        <v>26580750258.165218</v>
      </c>
      <c r="AG414">
        <v>102168225.3</v>
      </c>
      <c r="AH414">
        <v>28799933621.757931</v>
      </c>
      <c r="AI414">
        <v>102498225.3</v>
      </c>
      <c r="AJ414">
        <v>30156230900.25</v>
      </c>
      <c r="AK414">
        <v>103098225.3</v>
      </c>
    </row>
    <row r="415" spans="1:37" x14ac:dyDescent="0.35">
      <c r="A415" t="s">
        <v>4537</v>
      </c>
      <c r="B415">
        <v>389.4</v>
      </c>
      <c r="C415" t="s">
        <v>4538</v>
      </c>
      <c r="D415" t="s">
        <v>4539</v>
      </c>
      <c r="E415" t="s">
        <v>4540</v>
      </c>
      <c r="F415">
        <v>2.6299999999999999E-5</v>
      </c>
      <c r="G415" t="s">
        <v>4541</v>
      </c>
      <c r="H415">
        <v>0.2</v>
      </c>
      <c r="I415">
        <v>0.05</v>
      </c>
      <c r="J415" t="s">
        <v>4542</v>
      </c>
      <c r="K415" t="s">
        <v>4543</v>
      </c>
      <c r="L415" t="s">
        <v>4544</v>
      </c>
      <c r="M415" t="s">
        <v>4545</v>
      </c>
      <c r="N415">
        <v>1049.3209259891721</v>
      </c>
      <c r="O415">
        <v>1061.9127771010419</v>
      </c>
      <c r="P415">
        <v>1111.8226776247909</v>
      </c>
      <c r="Q415">
        <v>1200.7684918347741</v>
      </c>
      <c r="R415">
        <v>1250</v>
      </c>
      <c r="S415" t="s">
        <v>4546</v>
      </c>
      <c r="T415" t="s">
        <v>4547</v>
      </c>
      <c r="U415" t="s">
        <v>4548</v>
      </c>
      <c r="V415" t="s">
        <v>49</v>
      </c>
      <c r="W415">
        <v>338996155</v>
      </c>
      <c r="X415">
        <v>339500751</v>
      </c>
      <c r="Y415">
        <v>340560751</v>
      </c>
      <c r="Z415">
        <v>341660751</v>
      </c>
      <c r="AA415">
        <v>343660751</v>
      </c>
      <c r="AB415">
        <v>9355324.4688370004</v>
      </c>
      <c r="AC415">
        <v>8915.5988765000002</v>
      </c>
      <c r="AD415">
        <v>9481680.8739764728</v>
      </c>
      <c r="AE415">
        <v>8928.8697512999988</v>
      </c>
      <c r="AF415">
        <v>9958315.2676601894</v>
      </c>
      <c r="AG415">
        <v>8956.7477512999994</v>
      </c>
      <c r="AH415">
        <v>10789718.72154179</v>
      </c>
      <c r="AI415">
        <v>8985.6777512999997</v>
      </c>
      <c r="AJ415">
        <v>11297847.189125</v>
      </c>
      <c r="AK415">
        <v>9038.2777513000001</v>
      </c>
    </row>
    <row r="416" spans="1:37" x14ac:dyDescent="0.35">
      <c r="A416" t="s">
        <v>4549</v>
      </c>
      <c r="B416">
        <v>1402.91</v>
      </c>
      <c r="C416" t="s">
        <v>1092</v>
      </c>
      <c r="D416" t="s">
        <v>4550</v>
      </c>
      <c r="E416" t="s">
        <v>4551</v>
      </c>
      <c r="F416">
        <v>2.9999999999999997E-4</v>
      </c>
      <c r="G416" t="s">
        <v>4552</v>
      </c>
      <c r="H416">
        <v>1</v>
      </c>
      <c r="I416">
        <v>403025.25</v>
      </c>
      <c r="J416" t="s">
        <v>4553</v>
      </c>
      <c r="K416" t="s">
        <v>4554</v>
      </c>
      <c r="L416" t="s">
        <v>4555</v>
      </c>
      <c r="M416" t="s">
        <v>4556</v>
      </c>
      <c r="N416">
        <v>213551.79873773921</v>
      </c>
      <c r="O416">
        <v>216114.42032259211</v>
      </c>
      <c r="P416">
        <v>226271.79807775389</v>
      </c>
      <c r="Q416">
        <v>244373.5419239742</v>
      </c>
      <c r="R416">
        <v>254392.8571428571</v>
      </c>
      <c r="S416" t="s">
        <v>4557</v>
      </c>
      <c r="T416" t="s">
        <v>4558</v>
      </c>
      <c r="U416" t="s">
        <v>4559</v>
      </c>
      <c r="V416" t="s">
        <v>49</v>
      </c>
      <c r="W416">
        <v>338996155</v>
      </c>
      <c r="X416">
        <v>339500751</v>
      </c>
      <c r="Y416">
        <v>340560751</v>
      </c>
      <c r="Z416">
        <v>341660751</v>
      </c>
      <c r="AA416">
        <v>343660751</v>
      </c>
      <c r="AB416">
        <v>21717971599.628231</v>
      </c>
      <c r="AC416">
        <v>101698.8465</v>
      </c>
      <c r="AD416">
        <v>22011302400.434898</v>
      </c>
      <c r="AE416">
        <v>101850.22530000001</v>
      </c>
      <c r="AF416">
        <v>23117788045.04406</v>
      </c>
      <c r="AG416">
        <v>102168.22530000001</v>
      </c>
      <c r="AH416">
        <v>25047854357.482498</v>
      </c>
      <c r="AI416">
        <v>102498.22530000001</v>
      </c>
      <c r="AJ416">
        <v>26227452100.424992</v>
      </c>
      <c r="AK416">
        <v>103098.22530000001</v>
      </c>
    </row>
    <row r="417" spans="1:37" x14ac:dyDescent="0.35">
      <c r="A417" t="s">
        <v>4560</v>
      </c>
      <c r="B417">
        <v>289.94</v>
      </c>
      <c r="C417" t="s">
        <v>4561</v>
      </c>
      <c r="D417" t="s">
        <v>4562</v>
      </c>
      <c r="E417" t="s">
        <v>4563</v>
      </c>
      <c r="F417">
        <v>3.9999999999999998E-6</v>
      </c>
      <c r="G417" t="s">
        <v>4564</v>
      </c>
      <c r="H417">
        <v>0.3</v>
      </c>
      <c r="I417">
        <v>5.2</v>
      </c>
      <c r="J417" t="s">
        <v>4565</v>
      </c>
      <c r="K417" t="s">
        <v>4566</v>
      </c>
      <c r="L417" t="s">
        <v>4567</v>
      </c>
      <c r="M417" t="s">
        <v>4568</v>
      </c>
      <c r="N417">
        <v>58761.97185539364</v>
      </c>
      <c r="O417">
        <v>59467.115517658363</v>
      </c>
      <c r="P417">
        <v>62262.069946988297</v>
      </c>
      <c r="Q417">
        <v>67243.03554274737</v>
      </c>
      <c r="R417">
        <v>70000</v>
      </c>
      <c r="S417" t="s">
        <v>4569</v>
      </c>
      <c r="T417" t="s">
        <v>4570</v>
      </c>
      <c r="U417" t="s">
        <v>4571</v>
      </c>
      <c r="V417" t="s">
        <v>49</v>
      </c>
      <c r="W417">
        <v>338996155</v>
      </c>
      <c r="X417">
        <v>339500751</v>
      </c>
      <c r="Y417">
        <v>340560751</v>
      </c>
      <c r="Z417">
        <v>341660751</v>
      </c>
      <c r="AA417">
        <v>343660751</v>
      </c>
      <c r="AB417">
        <v>79680330.076786637</v>
      </c>
      <c r="AC417">
        <v>1355.9846199999999</v>
      </c>
      <c r="AD417">
        <v>80756521.512195066</v>
      </c>
      <c r="AE417">
        <v>1358.0030039999999</v>
      </c>
      <c r="AF417">
        <v>84816069.199843466</v>
      </c>
      <c r="AG417">
        <v>1362.2430039999999</v>
      </c>
      <c r="AH417">
        <v>91897224.09221904</v>
      </c>
      <c r="AI417">
        <v>1366.643004</v>
      </c>
      <c r="AJ417">
        <v>96225010.279999986</v>
      </c>
      <c r="AK417">
        <v>1374.643004</v>
      </c>
    </row>
    <row r="418" spans="1:37" x14ac:dyDescent="0.35">
      <c r="A418" t="s">
        <v>4572</v>
      </c>
      <c r="B418">
        <v>2019.26</v>
      </c>
      <c r="C418" t="s">
        <v>4573</v>
      </c>
      <c r="D418" t="s">
        <v>4574</v>
      </c>
      <c r="E418" t="s">
        <v>4575</v>
      </c>
      <c r="F418">
        <v>5.0000000000000001E-4</v>
      </c>
      <c r="G418" t="s">
        <v>4576</v>
      </c>
      <c r="H418">
        <v>0.1</v>
      </c>
      <c r="I418">
        <v>0.01</v>
      </c>
      <c r="J418" t="s">
        <v>4577</v>
      </c>
      <c r="K418" t="s">
        <v>4578</v>
      </c>
      <c r="L418" t="s">
        <v>4579</v>
      </c>
      <c r="M418" t="s">
        <v>4580</v>
      </c>
      <c r="N418">
        <v>50367.404447480258</v>
      </c>
      <c r="O418">
        <v>50971.813300850023</v>
      </c>
      <c r="P418">
        <v>53367.488525989967</v>
      </c>
      <c r="Q418">
        <v>57636.88760806917</v>
      </c>
      <c r="R418">
        <v>60000</v>
      </c>
      <c r="S418" t="s">
        <v>4581</v>
      </c>
      <c r="T418" t="s">
        <v>4582</v>
      </c>
      <c r="U418" t="s">
        <v>4583</v>
      </c>
      <c r="V418" t="s">
        <v>647</v>
      </c>
      <c r="W418">
        <v>7638338</v>
      </c>
      <c r="X418">
        <v>7532198.4000000004</v>
      </c>
      <c r="Y418">
        <v>7532198.4000000004</v>
      </c>
      <c r="Z418">
        <v>7532198.4000000004</v>
      </c>
      <c r="AA418">
        <v>7532198.4000000004</v>
      </c>
      <c r="AB418">
        <v>192361629.67627871</v>
      </c>
      <c r="AC418">
        <v>3819.1689999999999</v>
      </c>
      <c r="AD418">
        <v>191964905.2948806</v>
      </c>
      <c r="AE418">
        <v>3766.0992000000001</v>
      </c>
      <c r="AF418">
        <v>200987255.84373999</v>
      </c>
      <c r="AG418">
        <v>3766.0992000000001</v>
      </c>
      <c r="AH418">
        <v>217066236.31123921</v>
      </c>
      <c r="AI418">
        <v>3766.0992000000001</v>
      </c>
      <c r="AJ418">
        <v>225965952</v>
      </c>
      <c r="AK418">
        <v>3766.0992000000001</v>
      </c>
    </row>
    <row r="419" spans="1:37" x14ac:dyDescent="0.35">
      <c r="A419" t="s">
        <v>4584</v>
      </c>
      <c r="B419">
        <v>1867.34</v>
      </c>
      <c r="C419" t="s">
        <v>2578</v>
      </c>
      <c r="D419" t="s">
        <v>4585</v>
      </c>
      <c r="E419" t="s">
        <v>4586</v>
      </c>
      <c r="F419">
        <v>6.46E-6</v>
      </c>
      <c r="G419" t="s">
        <v>4587</v>
      </c>
      <c r="H419">
        <v>0.9</v>
      </c>
      <c r="I419">
        <v>0.2</v>
      </c>
      <c r="J419" t="s">
        <v>4588</v>
      </c>
      <c r="K419" t="s">
        <v>4589</v>
      </c>
      <c r="L419" t="s">
        <v>4590</v>
      </c>
      <c r="M419" t="s">
        <v>4591</v>
      </c>
      <c r="N419">
        <v>120409.5762572575</v>
      </c>
      <c r="O419">
        <v>121854.4911723446</v>
      </c>
      <c r="P419">
        <v>127581.6522574448</v>
      </c>
      <c r="Q419">
        <v>137788.18443804039</v>
      </c>
      <c r="R419">
        <v>143437.5</v>
      </c>
      <c r="S419" t="s">
        <v>4592</v>
      </c>
      <c r="T419" t="s">
        <v>47</v>
      </c>
      <c r="U419" t="s">
        <v>4593</v>
      </c>
      <c r="V419" t="s">
        <v>49</v>
      </c>
      <c r="W419">
        <v>338996155</v>
      </c>
      <c r="X419">
        <v>339500751</v>
      </c>
      <c r="Y419">
        <v>340560751</v>
      </c>
      <c r="Z419">
        <v>341660751</v>
      </c>
      <c r="AA419">
        <v>343660751</v>
      </c>
      <c r="AB419">
        <v>263686756.61147669</v>
      </c>
      <c r="AC419">
        <v>2189.9151612999999</v>
      </c>
      <c r="AD419">
        <v>267248205.5766407</v>
      </c>
      <c r="AE419">
        <v>2193.1748514599999</v>
      </c>
      <c r="AF419">
        <v>280682499.3607409</v>
      </c>
      <c r="AG419">
        <v>2200.02245146</v>
      </c>
      <c r="AH419">
        <v>304116222.1482169</v>
      </c>
      <c r="AI419">
        <v>2207.1284514600002</v>
      </c>
      <c r="AJ419">
        <v>318438199.75629371</v>
      </c>
      <c r="AK419">
        <v>2220.0484514599998</v>
      </c>
    </row>
    <row r="420" spans="1:37" x14ac:dyDescent="0.35">
      <c r="A420" t="s">
        <v>4594</v>
      </c>
      <c r="B420">
        <v>3636.18</v>
      </c>
      <c r="C420" t="s">
        <v>590</v>
      </c>
      <c r="D420" t="s">
        <v>4595</v>
      </c>
      <c r="E420" t="s">
        <v>4596</v>
      </c>
      <c r="F420">
        <v>2.0000000000000001E-4</v>
      </c>
      <c r="G420" t="s">
        <v>4597</v>
      </c>
      <c r="H420">
        <v>0.6</v>
      </c>
      <c r="I420">
        <v>1.55</v>
      </c>
      <c r="J420" t="s">
        <v>4598</v>
      </c>
      <c r="K420" t="s">
        <v>4599</v>
      </c>
      <c r="L420" t="s">
        <v>4600</v>
      </c>
      <c r="M420" t="s">
        <v>4601</v>
      </c>
      <c r="N420">
        <v>57083.058373810964</v>
      </c>
      <c r="O420">
        <v>57768.055074296688</v>
      </c>
      <c r="P420">
        <v>60483.153662788631</v>
      </c>
      <c r="Q420">
        <v>65321.805955811717</v>
      </c>
      <c r="R420">
        <v>68000</v>
      </c>
      <c r="S420" t="s">
        <v>4602</v>
      </c>
      <c r="T420" t="s">
        <v>4603</v>
      </c>
      <c r="U420" t="s">
        <v>4604</v>
      </c>
      <c r="V420" t="s">
        <v>49</v>
      </c>
      <c r="W420">
        <v>338996155</v>
      </c>
      <c r="X420">
        <v>339500751</v>
      </c>
      <c r="Y420">
        <v>340560751</v>
      </c>
      <c r="Z420">
        <v>341660751</v>
      </c>
      <c r="AA420">
        <v>343660751</v>
      </c>
      <c r="AB420">
        <v>3870187460.8724942</v>
      </c>
      <c r="AC420">
        <v>67799.231</v>
      </c>
      <c r="AD420">
        <v>3922459616.3066182</v>
      </c>
      <c r="AE420">
        <v>67900.150200000004</v>
      </c>
      <c r="AF420">
        <v>4119637646.8495402</v>
      </c>
      <c r="AG420">
        <v>68112.150200000004</v>
      </c>
      <c r="AH420">
        <v>4463579455.9077816</v>
      </c>
      <c r="AI420">
        <v>68332.150200000004</v>
      </c>
      <c r="AJ420">
        <v>4673786213.6000004</v>
      </c>
      <c r="AK420">
        <v>68732.150200000004</v>
      </c>
    </row>
    <row r="421" spans="1:37" x14ac:dyDescent="0.35">
      <c r="A421" t="s">
        <v>4605</v>
      </c>
      <c r="B421">
        <v>533.80999999999995</v>
      </c>
      <c r="C421" t="s">
        <v>4606</v>
      </c>
      <c r="D421" t="s">
        <v>4607</v>
      </c>
      <c r="E421" t="s">
        <v>4608</v>
      </c>
      <c r="F421">
        <v>1.4999999999999999E-2</v>
      </c>
      <c r="G421" t="s">
        <v>4609</v>
      </c>
      <c r="H421">
        <v>0.3</v>
      </c>
      <c r="I421">
        <v>1.05</v>
      </c>
      <c r="J421" t="s">
        <v>4610</v>
      </c>
      <c r="K421" t="s">
        <v>4611</v>
      </c>
      <c r="L421" t="s">
        <v>4612</v>
      </c>
      <c r="M421" t="s">
        <v>4613</v>
      </c>
      <c r="N421">
        <v>7579.5948220617856</v>
      </c>
      <c r="O421">
        <v>7670.5499599265268</v>
      </c>
      <c r="P421">
        <v>8031.065808043073</v>
      </c>
      <c r="Q421">
        <v>8673.5510726865195</v>
      </c>
      <c r="R421">
        <v>9029.1666666666661</v>
      </c>
      <c r="S421" t="s">
        <v>4614</v>
      </c>
      <c r="T421" t="s">
        <v>4615</v>
      </c>
      <c r="U421" t="s">
        <v>4616</v>
      </c>
      <c r="V421" t="s">
        <v>49</v>
      </c>
      <c r="W421">
        <v>338996155</v>
      </c>
      <c r="X421">
        <v>339500751</v>
      </c>
      <c r="Y421">
        <v>340560751</v>
      </c>
      <c r="Z421">
        <v>341660751</v>
      </c>
      <c r="AA421">
        <v>343660751</v>
      </c>
      <c r="AB421">
        <v>38541802517.052818</v>
      </c>
      <c r="AC421">
        <v>5084942.3250000002</v>
      </c>
      <c r="AD421">
        <v>39062362079.671127</v>
      </c>
      <c r="AE421">
        <v>5092511.2649999997</v>
      </c>
      <c r="AF421">
        <v>41025987043.763557</v>
      </c>
      <c r="AG421">
        <v>5108411.2649999997</v>
      </c>
      <c r="AH421">
        <v>44451179599.963966</v>
      </c>
      <c r="AI421">
        <v>5124911.2649999997</v>
      </c>
      <c r="AJ421">
        <v>46544552963.5625</v>
      </c>
      <c r="AK421">
        <v>5154911.2649999997</v>
      </c>
    </row>
    <row r="422" spans="1:37" x14ac:dyDescent="0.35">
      <c r="A422" t="s">
        <v>4617</v>
      </c>
      <c r="B422">
        <v>533.80999999999995</v>
      </c>
      <c r="C422" t="s">
        <v>4606</v>
      </c>
      <c r="D422" t="s">
        <v>4618</v>
      </c>
      <c r="E422" t="s">
        <v>4619</v>
      </c>
      <c r="F422">
        <v>1.4999999999999999E-2</v>
      </c>
      <c r="G422" t="s">
        <v>4620</v>
      </c>
      <c r="H422">
        <v>0.2</v>
      </c>
      <c r="I422">
        <v>0.01</v>
      </c>
      <c r="J422" t="s">
        <v>4621</v>
      </c>
      <c r="K422" t="s">
        <v>4622</v>
      </c>
      <c r="L422" t="s">
        <v>4623</v>
      </c>
      <c r="M422" t="s">
        <v>4624</v>
      </c>
      <c r="N422">
        <v>7579.5948220617856</v>
      </c>
      <c r="O422">
        <v>7670.5499599265268</v>
      </c>
      <c r="P422">
        <v>8031.065808043073</v>
      </c>
      <c r="Q422">
        <v>8673.5510726865195</v>
      </c>
      <c r="R422">
        <v>9029.1666666666661</v>
      </c>
      <c r="S422" t="s">
        <v>4625</v>
      </c>
      <c r="T422" t="s">
        <v>4626</v>
      </c>
      <c r="U422" t="s">
        <v>4627</v>
      </c>
      <c r="V422" t="s">
        <v>49</v>
      </c>
      <c r="W422">
        <v>338996155</v>
      </c>
      <c r="X422">
        <v>339500751</v>
      </c>
      <c r="Y422">
        <v>340560751</v>
      </c>
      <c r="Z422">
        <v>341660751</v>
      </c>
      <c r="AA422">
        <v>343660751</v>
      </c>
      <c r="AB422">
        <v>38541802517.052818</v>
      </c>
      <c r="AC422">
        <v>5084942.3250000002</v>
      </c>
      <c r="AD422">
        <v>39062362079.671127</v>
      </c>
      <c r="AE422">
        <v>5092511.2649999997</v>
      </c>
      <c r="AF422">
        <v>41025987043.763557</v>
      </c>
      <c r="AG422">
        <v>5108411.2649999997</v>
      </c>
      <c r="AH422">
        <v>44451179599.963966</v>
      </c>
      <c r="AI422">
        <v>5124911.2649999997</v>
      </c>
      <c r="AJ422">
        <v>46544552963.5625</v>
      </c>
      <c r="AK422">
        <v>5154911.2649999997</v>
      </c>
    </row>
    <row r="423" spans="1:37" x14ac:dyDescent="0.35">
      <c r="A423" t="s">
        <v>4628</v>
      </c>
      <c r="B423">
        <v>533.80999999999995</v>
      </c>
      <c r="C423" t="s">
        <v>4606</v>
      </c>
      <c r="D423" t="s">
        <v>4629</v>
      </c>
      <c r="E423" t="s">
        <v>4630</v>
      </c>
      <c r="F423">
        <v>1.4999999999999999E-2</v>
      </c>
      <c r="G423" t="s">
        <v>4631</v>
      </c>
      <c r="H423">
        <v>0.3</v>
      </c>
      <c r="I423">
        <v>1.05</v>
      </c>
      <c r="J423" t="s">
        <v>4632</v>
      </c>
      <c r="K423" t="s">
        <v>4633</v>
      </c>
      <c r="L423" t="s">
        <v>4634</v>
      </c>
      <c r="M423" t="s">
        <v>4635</v>
      </c>
      <c r="N423">
        <v>7579.5948220617856</v>
      </c>
      <c r="O423">
        <v>7670.5499599265268</v>
      </c>
      <c r="P423">
        <v>8031.065808043073</v>
      </c>
      <c r="Q423">
        <v>8673.5510726865195</v>
      </c>
      <c r="R423">
        <v>9029.1666666666661</v>
      </c>
      <c r="S423" t="s">
        <v>4636</v>
      </c>
      <c r="T423" t="s">
        <v>4637</v>
      </c>
      <c r="U423" t="s">
        <v>4638</v>
      </c>
      <c r="V423" t="s">
        <v>49</v>
      </c>
      <c r="W423">
        <v>338996155</v>
      </c>
      <c r="X423">
        <v>339500751</v>
      </c>
      <c r="Y423">
        <v>340560751</v>
      </c>
      <c r="Z423">
        <v>341660751</v>
      </c>
      <c r="AA423">
        <v>343660751</v>
      </c>
      <c r="AB423">
        <v>38541802517.052818</v>
      </c>
      <c r="AC423">
        <v>5084942.3250000002</v>
      </c>
      <c r="AD423">
        <v>39062362079.671127</v>
      </c>
      <c r="AE423">
        <v>5092511.2649999997</v>
      </c>
      <c r="AF423">
        <v>41025987043.763557</v>
      </c>
      <c r="AG423">
        <v>5108411.2649999997</v>
      </c>
      <c r="AH423">
        <v>44451179599.963966</v>
      </c>
      <c r="AI423">
        <v>5124911.2649999997</v>
      </c>
      <c r="AJ423">
        <v>46544552963.5625</v>
      </c>
      <c r="AK423">
        <v>5154911.2649999997</v>
      </c>
    </row>
    <row r="424" spans="1:37" x14ac:dyDescent="0.35">
      <c r="A424" t="s">
        <v>4639</v>
      </c>
      <c r="B424">
        <v>533.80999999999995</v>
      </c>
      <c r="C424" t="s">
        <v>4606</v>
      </c>
      <c r="D424" t="s">
        <v>4640</v>
      </c>
      <c r="E424" t="s">
        <v>4641</v>
      </c>
      <c r="F424">
        <v>1.4999999999999999E-2</v>
      </c>
      <c r="G424" t="s">
        <v>4642</v>
      </c>
      <c r="H424">
        <v>0.3</v>
      </c>
      <c r="I424">
        <v>0.03</v>
      </c>
      <c r="J424" t="s">
        <v>4643</v>
      </c>
      <c r="K424" t="s">
        <v>4644</v>
      </c>
      <c r="L424" t="s">
        <v>4645</v>
      </c>
      <c r="M424" t="s">
        <v>4646</v>
      </c>
      <c r="N424">
        <v>7579.5948220617856</v>
      </c>
      <c r="O424">
        <v>7670.5499599265268</v>
      </c>
      <c r="P424">
        <v>8031.065808043073</v>
      </c>
      <c r="Q424">
        <v>8673.5510726865195</v>
      </c>
      <c r="R424">
        <v>9029.1666666666661</v>
      </c>
      <c r="S424" t="s">
        <v>4647</v>
      </c>
      <c r="T424" t="s">
        <v>4648</v>
      </c>
      <c r="U424" t="s">
        <v>4649</v>
      </c>
      <c r="V424" t="s">
        <v>49</v>
      </c>
      <c r="W424">
        <v>338996155</v>
      </c>
      <c r="X424">
        <v>339500751</v>
      </c>
      <c r="Y424">
        <v>340560751</v>
      </c>
      <c r="Z424">
        <v>341660751</v>
      </c>
      <c r="AA424">
        <v>343660751</v>
      </c>
      <c r="AB424">
        <v>38541802517.052818</v>
      </c>
      <c r="AC424">
        <v>5084942.3250000002</v>
      </c>
      <c r="AD424">
        <v>39062362079.671127</v>
      </c>
      <c r="AE424">
        <v>5092511.2649999997</v>
      </c>
      <c r="AF424">
        <v>41025987043.763557</v>
      </c>
      <c r="AG424">
        <v>5108411.2649999997</v>
      </c>
      <c r="AH424">
        <v>44451179599.963966</v>
      </c>
      <c r="AI424">
        <v>5124911.2649999997</v>
      </c>
      <c r="AJ424">
        <v>46544552963.5625</v>
      </c>
      <c r="AK424">
        <v>5154911.2649999997</v>
      </c>
    </row>
    <row r="425" spans="1:37" x14ac:dyDescent="0.35">
      <c r="A425" t="s">
        <v>4650</v>
      </c>
      <c r="B425">
        <v>533.80999999999995</v>
      </c>
      <c r="C425" t="s">
        <v>4606</v>
      </c>
      <c r="D425" t="s">
        <v>4651</v>
      </c>
      <c r="E425" t="s">
        <v>4652</v>
      </c>
      <c r="F425">
        <v>1.4999999999999999E-2</v>
      </c>
      <c r="G425" t="s">
        <v>4653</v>
      </c>
      <c r="H425">
        <v>0.3</v>
      </c>
      <c r="I425">
        <v>0.02</v>
      </c>
      <c r="J425" t="s">
        <v>4654</v>
      </c>
      <c r="K425" t="s">
        <v>4655</v>
      </c>
      <c r="L425" t="s">
        <v>4656</v>
      </c>
      <c r="M425" t="s">
        <v>4657</v>
      </c>
      <c r="N425">
        <v>7579.5948220617856</v>
      </c>
      <c r="O425">
        <v>7670.5499599265268</v>
      </c>
      <c r="P425">
        <v>8031.065808043073</v>
      </c>
      <c r="Q425">
        <v>8673.5510726865195</v>
      </c>
      <c r="R425">
        <v>9029.1666666666661</v>
      </c>
      <c r="S425" t="s">
        <v>4658</v>
      </c>
      <c r="T425" t="s">
        <v>4659</v>
      </c>
      <c r="U425" t="s">
        <v>4660</v>
      </c>
      <c r="V425" t="s">
        <v>49</v>
      </c>
      <c r="W425">
        <v>338996155</v>
      </c>
      <c r="X425">
        <v>339500751</v>
      </c>
      <c r="Y425">
        <v>340560751</v>
      </c>
      <c r="Z425">
        <v>341660751</v>
      </c>
      <c r="AA425">
        <v>343660751</v>
      </c>
      <c r="AB425">
        <v>38541802517.052818</v>
      </c>
      <c r="AC425">
        <v>5084942.3250000002</v>
      </c>
      <c r="AD425">
        <v>39062362079.671127</v>
      </c>
      <c r="AE425">
        <v>5092511.2649999997</v>
      </c>
      <c r="AF425">
        <v>41025987043.763557</v>
      </c>
      <c r="AG425">
        <v>5108411.2649999997</v>
      </c>
      <c r="AH425">
        <v>44451179599.963966</v>
      </c>
      <c r="AI425">
        <v>5124911.2649999997</v>
      </c>
      <c r="AJ425">
        <v>46544552963.5625</v>
      </c>
      <c r="AK425">
        <v>5154911.2649999997</v>
      </c>
    </row>
    <row r="426" spans="1:37" x14ac:dyDescent="0.35">
      <c r="A426" t="s">
        <v>4661</v>
      </c>
      <c r="B426">
        <v>533.80999999999995</v>
      </c>
      <c r="C426" t="s">
        <v>4606</v>
      </c>
      <c r="D426" t="s">
        <v>4662</v>
      </c>
      <c r="E426" t="s">
        <v>4663</v>
      </c>
      <c r="F426">
        <v>1.4999999999999999E-2</v>
      </c>
      <c r="G426" t="s">
        <v>4664</v>
      </c>
      <c r="H426">
        <v>0.25</v>
      </c>
      <c r="I426">
        <v>0.01</v>
      </c>
      <c r="J426" t="s">
        <v>4665</v>
      </c>
      <c r="K426" t="s">
        <v>4666</v>
      </c>
      <c r="L426" t="s">
        <v>4667</v>
      </c>
      <c r="M426" t="s">
        <v>4668</v>
      </c>
      <c r="N426">
        <v>7579.5948220617856</v>
      </c>
      <c r="O426">
        <v>7670.5499599265268</v>
      </c>
      <c r="P426">
        <v>8031.065808043073</v>
      </c>
      <c r="Q426">
        <v>8673.5510726865195</v>
      </c>
      <c r="R426">
        <v>9029.1666666666661</v>
      </c>
      <c r="S426" t="s">
        <v>4669</v>
      </c>
      <c r="T426" t="s">
        <v>4670</v>
      </c>
      <c r="U426" t="s">
        <v>4671</v>
      </c>
      <c r="V426" t="s">
        <v>49</v>
      </c>
      <c r="W426">
        <v>338996155</v>
      </c>
      <c r="X426">
        <v>339500751</v>
      </c>
      <c r="Y426">
        <v>340560751</v>
      </c>
      <c r="Z426">
        <v>341660751</v>
      </c>
      <c r="AA426">
        <v>343660751</v>
      </c>
      <c r="AB426">
        <v>38541802517.052818</v>
      </c>
      <c r="AC426">
        <v>5084942.3250000002</v>
      </c>
      <c r="AD426">
        <v>39062362079.671127</v>
      </c>
      <c r="AE426">
        <v>5092511.2649999997</v>
      </c>
      <c r="AF426">
        <v>41025987043.763557</v>
      </c>
      <c r="AG426">
        <v>5108411.2649999997</v>
      </c>
      <c r="AH426">
        <v>44451179599.963966</v>
      </c>
      <c r="AI426">
        <v>5124911.2649999997</v>
      </c>
      <c r="AJ426">
        <v>46544552963.5625</v>
      </c>
      <c r="AK426">
        <v>5154911.2649999997</v>
      </c>
    </row>
    <row r="427" spans="1:37" x14ac:dyDescent="0.35">
      <c r="A427" t="s">
        <v>4672</v>
      </c>
      <c r="B427">
        <v>533.80999999999995</v>
      </c>
      <c r="C427" t="s">
        <v>4606</v>
      </c>
      <c r="D427" t="s">
        <v>4673</v>
      </c>
      <c r="E427" t="s">
        <v>4674</v>
      </c>
      <c r="F427">
        <v>1.4999999999999999E-2</v>
      </c>
      <c r="G427" t="s">
        <v>4675</v>
      </c>
      <c r="H427">
        <v>0.2</v>
      </c>
      <c r="I427">
        <v>11502</v>
      </c>
      <c r="J427" t="s">
        <v>4676</v>
      </c>
      <c r="K427" t="s">
        <v>4677</v>
      </c>
      <c r="L427" t="s">
        <v>4678</v>
      </c>
      <c r="M427" t="s">
        <v>4679</v>
      </c>
      <c r="N427">
        <v>7579.5948220617856</v>
      </c>
      <c r="O427">
        <v>7670.5499599265268</v>
      </c>
      <c r="P427">
        <v>8031.065808043073</v>
      </c>
      <c r="Q427">
        <v>8673.5510726865195</v>
      </c>
      <c r="R427">
        <v>9029.1666666666661</v>
      </c>
      <c r="S427" t="s">
        <v>4680</v>
      </c>
      <c r="T427" t="s">
        <v>4681</v>
      </c>
      <c r="U427" t="s">
        <v>4682</v>
      </c>
      <c r="V427" t="s">
        <v>49</v>
      </c>
      <c r="W427">
        <v>338996155</v>
      </c>
      <c r="X427">
        <v>339500751</v>
      </c>
      <c r="Y427">
        <v>340560751</v>
      </c>
      <c r="Z427">
        <v>341660751</v>
      </c>
      <c r="AA427">
        <v>343660751</v>
      </c>
      <c r="AB427">
        <v>38541802517.052818</v>
      </c>
      <c r="AC427">
        <v>5084942.3250000002</v>
      </c>
      <c r="AD427">
        <v>39062362079.671127</v>
      </c>
      <c r="AE427">
        <v>5092511.2649999997</v>
      </c>
      <c r="AF427">
        <v>41025987043.763557</v>
      </c>
      <c r="AG427">
        <v>5108411.2649999997</v>
      </c>
      <c r="AH427">
        <v>44451179599.963966</v>
      </c>
      <c r="AI427">
        <v>5124911.2649999997</v>
      </c>
      <c r="AJ427">
        <v>46544552963.5625</v>
      </c>
      <c r="AK427">
        <v>5154911.2649999997</v>
      </c>
    </row>
    <row r="428" spans="1:37" x14ac:dyDescent="0.35">
      <c r="A428" t="s">
        <v>4683</v>
      </c>
      <c r="B428">
        <v>533.80999999999995</v>
      </c>
      <c r="C428" t="s">
        <v>4606</v>
      </c>
      <c r="D428" t="s">
        <v>4684</v>
      </c>
      <c r="E428" t="s">
        <v>4641</v>
      </c>
      <c r="F428">
        <v>1.4999999999999999E-2</v>
      </c>
      <c r="G428" t="s">
        <v>4685</v>
      </c>
      <c r="H428">
        <v>0.2</v>
      </c>
      <c r="I428">
        <v>1.02</v>
      </c>
      <c r="J428" t="s">
        <v>4686</v>
      </c>
      <c r="K428" t="s">
        <v>4687</v>
      </c>
      <c r="L428" t="s">
        <v>4688</v>
      </c>
      <c r="M428" t="s">
        <v>4689</v>
      </c>
      <c r="N428">
        <v>7579.5948220617856</v>
      </c>
      <c r="O428">
        <v>7670.5499599265268</v>
      </c>
      <c r="P428">
        <v>8031.065808043073</v>
      </c>
      <c r="Q428">
        <v>8673.5510726865195</v>
      </c>
      <c r="R428">
        <v>9029.1666666666661</v>
      </c>
      <c r="S428" t="s">
        <v>4690</v>
      </c>
      <c r="T428" t="s">
        <v>4691</v>
      </c>
      <c r="U428" t="s">
        <v>4692</v>
      </c>
      <c r="V428" t="s">
        <v>49</v>
      </c>
      <c r="W428">
        <v>338996155</v>
      </c>
      <c r="X428">
        <v>339500751</v>
      </c>
      <c r="Y428">
        <v>340560751</v>
      </c>
      <c r="Z428">
        <v>341660751</v>
      </c>
      <c r="AA428">
        <v>343660751</v>
      </c>
      <c r="AB428">
        <v>38541802517.052818</v>
      </c>
      <c r="AC428">
        <v>5084942.3250000002</v>
      </c>
      <c r="AD428">
        <v>39062362079.671127</v>
      </c>
      <c r="AE428">
        <v>5092511.2649999997</v>
      </c>
      <c r="AF428">
        <v>41025987043.763557</v>
      </c>
      <c r="AG428">
        <v>5108411.2649999997</v>
      </c>
      <c r="AH428">
        <v>44451179599.963966</v>
      </c>
      <c r="AI428">
        <v>5124911.2649999997</v>
      </c>
      <c r="AJ428">
        <v>46544552963.5625</v>
      </c>
      <c r="AK428">
        <v>5154911.2649999997</v>
      </c>
    </row>
    <row r="429" spans="1:37" x14ac:dyDescent="0.35">
      <c r="A429" t="s">
        <v>4693</v>
      </c>
      <c r="B429">
        <v>533.80999999999995</v>
      </c>
      <c r="C429" t="s">
        <v>4606</v>
      </c>
      <c r="D429" t="s">
        <v>4694</v>
      </c>
      <c r="E429" t="s">
        <v>4695</v>
      </c>
      <c r="F429">
        <v>1.4999999999999999E-2</v>
      </c>
      <c r="G429" t="s">
        <v>4696</v>
      </c>
      <c r="H429">
        <v>30.4</v>
      </c>
      <c r="I429">
        <v>1.02</v>
      </c>
      <c r="J429" t="s">
        <v>4697</v>
      </c>
      <c r="K429" t="s">
        <v>4698</v>
      </c>
      <c r="L429" t="s">
        <v>4699</v>
      </c>
      <c r="M429" t="s">
        <v>4700</v>
      </c>
      <c r="N429">
        <v>7579.5948220617856</v>
      </c>
      <c r="O429">
        <v>7670.5499599265268</v>
      </c>
      <c r="P429">
        <v>8031.065808043073</v>
      </c>
      <c r="Q429">
        <v>8673.5510726865195</v>
      </c>
      <c r="R429">
        <v>9029.1666666666661</v>
      </c>
      <c r="S429" t="s">
        <v>4701</v>
      </c>
      <c r="T429" t="s">
        <v>4702</v>
      </c>
      <c r="U429" t="s">
        <v>4703</v>
      </c>
      <c r="V429" t="s">
        <v>49</v>
      </c>
      <c r="W429">
        <v>338996155</v>
      </c>
      <c r="X429">
        <v>339500751</v>
      </c>
      <c r="Y429">
        <v>340560751</v>
      </c>
      <c r="Z429">
        <v>341660751</v>
      </c>
      <c r="AA429">
        <v>343660751</v>
      </c>
      <c r="AB429">
        <v>38541802517.052818</v>
      </c>
      <c r="AC429">
        <v>5084942.3250000002</v>
      </c>
      <c r="AD429">
        <v>39062362079.671127</v>
      </c>
      <c r="AE429">
        <v>5092511.2649999997</v>
      </c>
      <c r="AF429">
        <v>41025987043.763557</v>
      </c>
      <c r="AG429">
        <v>5108411.2649999997</v>
      </c>
      <c r="AH429">
        <v>44451179599.963966</v>
      </c>
      <c r="AI429">
        <v>5124911.2649999997</v>
      </c>
      <c r="AJ429">
        <v>46544552963.5625</v>
      </c>
      <c r="AK429">
        <v>5154911.2649999997</v>
      </c>
    </row>
    <row r="430" spans="1:37" x14ac:dyDescent="0.35">
      <c r="A430" t="s">
        <v>4704</v>
      </c>
      <c r="B430">
        <v>533.80999999999995</v>
      </c>
      <c r="C430" t="s">
        <v>4606</v>
      </c>
      <c r="D430" t="s">
        <v>4705</v>
      </c>
      <c r="E430" t="s">
        <v>4706</v>
      </c>
      <c r="F430">
        <v>1.4999999999999999E-2</v>
      </c>
      <c r="G430" t="s">
        <v>4707</v>
      </c>
      <c r="H430">
        <v>30.2</v>
      </c>
      <c r="I430">
        <v>0.01</v>
      </c>
      <c r="J430" t="s">
        <v>4708</v>
      </c>
      <c r="K430" t="s">
        <v>4709</v>
      </c>
      <c r="L430" t="s">
        <v>4710</v>
      </c>
      <c r="M430" t="s">
        <v>4711</v>
      </c>
      <c r="N430">
        <v>7579.5948220617856</v>
      </c>
      <c r="O430">
        <v>7670.5499599265268</v>
      </c>
      <c r="P430">
        <v>8031.065808043073</v>
      </c>
      <c r="Q430">
        <v>8673.5510726865195</v>
      </c>
      <c r="R430">
        <v>9029.1666666666661</v>
      </c>
      <c r="S430" t="s">
        <v>4712</v>
      </c>
      <c r="T430" t="s">
        <v>4713</v>
      </c>
      <c r="U430" t="s">
        <v>4714</v>
      </c>
      <c r="V430" t="s">
        <v>49</v>
      </c>
      <c r="W430">
        <v>338996155</v>
      </c>
      <c r="X430">
        <v>339500751</v>
      </c>
      <c r="Y430">
        <v>340560751</v>
      </c>
      <c r="Z430">
        <v>341660751</v>
      </c>
      <c r="AA430">
        <v>343660751</v>
      </c>
      <c r="AB430">
        <v>38541802517.052818</v>
      </c>
      <c r="AC430">
        <v>5084942.3250000002</v>
      </c>
      <c r="AD430">
        <v>39062362079.671127</v>
      </c>
      <c r="AE430">
        <v>5092511.2649999997</v>
      </c>
      <c r="AF430">
        <v>41025987043.763557</v>
      </c>
      <c r="AG430">
        <v>5108411.2649999997</v>
      </c>
      <c r="AH430">
        <v>44451179599.963966</v>
      </c>
      <c r="AI430">
        <v>5124911.2649999997</v>
      </c>
      <c r="AJ430">
        <v>46544552963.5625</v>
      </c>
      <c r="AK430">
        <v>5154911.2649999997</v>
      </c>
    </row>
    <row r="431" spans="1:37" x14ac:dyDescent="0.35">
      <c r="A431" t="s">
        <v>4715</v>
      </c>
      <c r="B431">
        <v>533.80999999999995</v>
      </c>
      <c r="C431" t="s">
        <v>4606</v>
      </c>
      <c r="D431" t="s">
        <v>4716</v>
      </c>
      <c r="E431" t="s">
        <v>4717</v>
      </c>
      <c r="F431">
        <v>1.4999999999999999E-2</v>
      </c>
      <c r="G431" t="s">
        <v>4718</v>
      </c>
      <c r="H431">
        <v>0.3</v>
      </c>
      <c r="I431">
        <v>0.01</v>
      </c>
      <c r="J431" t="s">
        <v>4719</v>
      </c>
      <c r="K431" t="s">
        <v>4720</v>
      </c>
      <c r="L431" t="s">
        <v>4721</v>
      </c>
      <c r="M431" t="s">
        <v>4722</v>
      </c>
      <c r="N431">
        <v>7579.5948220617856</v>
      </c>
      <c r="O431">
        <v>7670.5499599265268</v>
      </c>
      <c r="P431">
        <v>8031.065808043073</v>
      </c>
      <c r="Q431">
        <v>8673.5510726865195</v>
      </c>
      <c r="R431">
        <v>9029.1666666666661</v>
      </c>
      <c r="S431" t="s">
        <v>4723</v>
      </c>
      <c r="T431" t="s">
        <v>4724</v>
      </c>
      <c r="U431" t="s">
        <v>4725</v>
      </c>
      <c r="V431" t="s">
        <v>49</v>
      </c>
      <c r="W431">
        <v>338996155</v>
      </c>
      <c r="X431">
        <v>339500751</v>
      </c>
      <c r="Y431">
        <v>340560751</v>
      </c>
      <c r="Z431">
        <v>341660751</v>
      </c>
      <c r="AA431">
        <v>343660751</v>
      </c>
      <c r="AB431">
        <v>38541802517.052818</v>
      </c>
      <c r="AC431">
        <v>5084942.3250000002</v>
      </c>
      <c r="AD431">
        <v>39062362079.671127</v>
      </c>
      <c r="AE431">
        <v>5092511.2649999997</v>
      </c>
      <c r="AF431">
        <v>41025987043.763557</v>
      </c>
      <c r="AG431">
        <v>5108411.2649999997</v>
      </c>
      <c r="AH431">
        <v>44451179599.963966</v>
      </c>
      <c r="AI431">
        <v>5124911.2649999997</v>
      </c>
      <c r="AJ431">
        <v>46544552963.5625</v>
      </c>
      <c r="AK431">
        <v>5154911.2649999997</v>
      </c>
    </row>
    <row r="432" spans="1:37" x14ac:dyDescent="0.35">
      <c r="A432" t="s">
        <v>4726</v>
      </c>
      <c r="B432">
        <v>35.99</v>
      </c>
      <c r="C432" t="s">
        <v>4606</v>
      </c>
      <c r="D432" t="s">
        <v>4727</v>
      </c>
      <c r="E432" t="s">
        <v>4728</v>
      </c>
      <c r="F432">
        <v>1.4999999999999999E-2</v>
      </c>
      <c r="G432" t="s">
        <v>4729</v>
      </c>
      <c r="H432">
        <v>0.3</v>
      </c>
      <c r="I432">
        <v>0.01</v>
      </c>
      <c r="J432" t="s">
        <v>4730</v>
      </c>
      <c r="K432" t="s">
        <v>4731</v>
      </c>
      <c r="L432" t="s">
        <v>4732</v>
      </c>
      <c r="M432" t="s">
        <v>4733</v>
      </c>
      <c r="N432">
        <v>7579.5948220617856</v>
      </c>
      <c r="O432">
        <v>7670.5499599265268</v>
      </c>
      <c r="P432">
        <v>8031.065808043073</v>
      </c>
      <c r="Q432">
        <v>8673.5510726865195</v>
      </c>
      <c r="R432">
        <v>9029.1666666666661</v>
      </c>
      <c r="S432" t="s">
        <v>4734</v>
      </c>
      <c r="T432" t="s">
        <v>4735</v>
      </c>
      <c r="U432" t="s">
        <v>4736</v>
      </c>
      <c r="V432" t="s">
        <v>49</v>
      </c>
      <c r="W432">
        <v>338996155</v>
      </c>
      <c r="X432">
        <v>339500751</v>
      </c>
      <c r="Y432">
        <v>340560751</v>
      </c>
      <c r="Z432">
        <v>341660751</v>
      </c>
      <c r="AA432">
        <v>343660751</v>
      </c>
      <c r="AB432">
        <v>38541802517.052818</v>
      </c>
      <c r="AC432">
        <v>5084942.3250000002</v>
      </c>
      <c r="AD432">
        <v>39062362079.671127</v>
      </c>
      <c r="AE432">
        <v>5092511.2649999997</v>
      </c>
      <c r="AF432">
        <v>41025987043.763557</v>
      </c>
      <c r="AG432">
        <v>5108411.2649999997</v>
      </c>
      <c r="AH432">
        <v>44451179599.963966</v>
      </c>
      <c r="AI432">
        <v>5124911.2649999997</v>
      </c>
      <c r="AJ432">
        <v>46544552963.5625</v>
      </c>
      <c r="AK432">
        <v>5154911.2649999997</v>
      </c>
    </row>
    <row r="433" spans="1:37" x14ac:dyDescent="0.35">
      <c r="A433" t="s">
        <v>4737</v>
      </c>
      <c r="B433">
        <v>48.79</v>
      </c>
      <c r="C433" t="s">
        <v>4483</v>
      </c>
      <c r="D433" t="s">
        <v>4517</v>
      </c>
      <c r="E433" t="s">
        <v>4738</v>
      </c>
      <c r="F433">
        <v>2.2499999999999999E-2</v>
      </c>
      <c r="G433" t="s">
        <v>4739</v>
      </c>
      <c r="H433">
        <v>0.25</v>
      </c>
      <c r="I433">
        <v>0.01</v>
      </c>
      <c r="J433" t="s">
        <v>4740</v>
      </c>
      <c r="K433" t="s">
        <v>4741</v>
      </c>
      <c r="L433" t="s">
        <v>4742</v>
      </c>
      <c r="M433" t="s">
        <v>4743</v>
      </c>
      <c r="N433">
        <v>3277.3790255061808</v>
      </c>
      <c r="O433">
        <v>3316.7075738122549</v>
      </c>
      <c r="P433">
        <v>3472.5928297814312</v>
      </c>
      <c r="Q433">
        <v>3750.400256163945</v>
      </c>
      <c r="R433">
        <v>3904.166666666667</v>
      </c>
      <c r="S433" t="s">
        <v>4744</v>
      </c>
      <c r="T433" t="s">
        <v>4745</v>
      </c>
      <c r="U433" t="s">
        <v>4746</v>
      </c>
      <c r="V433" t="s">
        <v>49</v>
      </c>
      <c r="W433">
        <v>338996155</v>
      </c>
      <c r="X433">
        <v>339500751</v>
      </c>
      <c r="Y433">
        <v>340560751</v>
      </c>
      <c r="Z433">
        <v>341660751</v>
      </c>
      <c r="AA433">
        <v>343660751</v>
      </c>
      <c r="AB433">
        <v>24997924982.795448</v>
      </c>
      <c r="AC433">
        <v>7627413.4874999998</v>
      </c>
      <c r="AD433">
        <v>25335556023.52459</v>
      </c>
      <c r="AE433">
        <v>7638766.8975</v>
      </c>
      <c r="AF433">
        <v>26609148495.620529</v>
      </c>
      <c r="AG433">
        <v>7662616.8975</v>
      </c>
      <c r="AH433">
        <v>28830702781.610229</v>
      </c>
      <c r="AI433">
        <v>7687366.8975</v>
      </c>
      <c r="AJ433">
        <v>30188449095.65625</v>
      </c>
      <c r="AK433">
        <v>7732366.8975</v>
      </c>
    </row>
    <row r="434" spans="1:37" x14ac:dyDescent="0.35">
      <c r="A434" t="s">
        <v>4737</v>
      </c>
      <c r="B434">
        <v>48.79</v>
      </c>
      <c r="C434" t="s">
        <v>2436</v>
      </c>
      <c r="D434" t="s">
        <v>4517</v>
      </c>
      <c r="E434" t="s">
        <v>4738</v>
      </c>
      <c r="F434">
        <v>1.4999999999999999E-2</v>
      </c>
      <c r="G434" t="s">
        <v>4739</v>
      </c>
      <c r="H434">
        <v>0.25</v>
      </c>
      <c r="I434">
        <v>0.01</v>
      </c>
      <c r="J434" t="s">
        <v>4740</v>
      </c>
      <c r="K434" t="s">
        <v>4741</v>
      </c>
      <c r="L434" t="s">
        <v>4742</v>
      </c>
      <c r="M434" t="s">
        <v>4743</v>
      </c>
      <c r="N434">
        <v>2999.6587537610458</v>
      </c>
      <c r="O434">
        <v>3035.6546588061792</v>
      </c>
      <c r="P434">
        <v>3178.330427770069</v>
      </c>
      <c r="Q434">
        <v>3432.5968619916748</v>
      </c>
      <c r="R434">
        <v>3573.333333333333</v>
      </c>
      <c r="S434" t="s">
        <v>4744</v>
      </c>
      <c r="T434" t="s">
        <v>4745</v>
      </c>
      <c r="U434" t="s">
        <v>4746</v>
      </c>
      <c r="V434" t="s">
        <v>49</v>
      </c>
      <c r="W434">
        <v>338996155</v>
      </c>
      <c r="X434">
        <v>339500751</v>
      </c>
      <c r="Y434">
        <v>340560751</v>
      </c>
      <c r="Z434">
        <v>341660751</v>
      </c>
      <c r="AA434">
        <v>343660751</v>
      </c>
      <c r="AB434">
        <v>15253091757.556299</v>
      </c>
      <c r="AC434">
        <v>5084942.3250000002</v>
      </c>
      <c r="AD434">
        <v>15459105546.620199</v>
      </c>
      <c r="AE434">
        <v>5092511.2649999997</v>
      </c>
      <c r="AF434">
        <v>16236218961.11289</v>
      </c>
      <c r="AG434">
        <v>5108411.2649999997</v>
      </c>
      <c r="AH434">
        <v>17591754326.224781</v>
      </c>
      <c r="AI434">
        <v>5124911.2649999997</v>
      </c>
      <c r="AJ434">
        <v>18420216253.599998</v>
      </c>
      <c r="AK434">
        <v>5154911.2649999997</v>
      </c>
    </row>
    <row r="435" spans="1:37" x14ac:dyDescent="0.35">
      <c r="A435" t="s">
        <v>4747</v>
      </c>
      <c r="B435">
        <v>79.73</v>
      </c>
      <c r="C435" t="s">
        <v>2436</v>
      </c>
      <c r="D435" t="s">
        <v>4748</v>
      </c>
      <c r="E435" t="s">
        <v>4749</v>
      </c>
      <c r="F435">
        <v>1.4999999999999999E-2</v>
      </c>
      <c r="G435" t="s">
        <v>4750</v>
      </c>
      <c r="H435">
        <v>0.3</v>
      </c>
      <c r="I435">
        <v>0.26</v>
      </c>
      <c r="J435" t="s">
        <v>4751</v>
      </c>
      <c r="K435" t="s">
        <v>4752</v>
      </c>
      <c r="L435" t="s">
        <v>4753</v>
      </c>
      <c r="M435" t="s">
        <v>4754</v>
      </c>
      <c r="N435">
        <v>2999.6587537610458</v>
      </c>
      <c r="O435">
        <v>3035.6546588061792</v>
      </c>
      <c r="P435">
        <v>3178.330427770069</v>
      </c>
      <c r="Q435">
        <v>3432.5968619916748</v>
      </c>
      <c r="R435">
        <v>3573.333333333333</v>
      </c>
      <c r="S435" t="s">
        <v>4755</v>
      </c>
      <c r="T435" t="s">
        <v>4756</v>
      </c>
      <c r="U435" t="s">
        <v>4757</v>
      </c>
      <c r="V435" t="s">
        <v>49</v>
      </c>
      <c r="W435">
        <v>338996155</v>
      </c>
      <c r="X435">
        <v>339500751</v>
      </c>
      <c r="Y435">
        <v>340560751</v>
      </c>
      <c r="Z435">
        <v>341660751</v>
      </c>
      <c r="AA435">
        <v>343660751</v>
      </c>
      <c r="AB435">
        <v>15253091757.556299</v>
      </c>
      <c r="AC435">
        <v>5084942.3250000002</v>
      </c>
      <c r="AD435">
        <v>15459105546.620199</v>
      </c>
      <c r="AE435">
        <v>5092511.2649999997</v>
      </c>
      <c r="AF435">
        <v>16236218961.11289</v>
      </c>
      <c r="AG435">
        <v>5108411.2649999997</v>
      </c>
      <c r="AH435">
        <v>17591754326.224781</v>
      </c>
      <c r="AI435">
        <v>5124911.2649999997</v>
      </c>
      <c r="AJ435">
        <v>18420216253.599998</v>
      </c>
      <c r="AK435">
        <v>5154911.2649999997</v>
      </c>
    </row>
    <row r="436" spans="1:37" x14ac:dyDescent="0.35">
      <c r="A436" t="s">
        <v>4758</v>
      </c>
      <c r="B436">
        <v>77.88</v>
      </c>
      <c r="C436" t="s">
        <v>208</v>
      </c>
      <c r="D436" t="s">
        <v>3102</v>
      </c>
      <c r="E436" t="s">
        <v>4759</v>
      </c>
      <c r="F436">
        <v>3.1E-2</v>
      </c>
      <c r="G436" t="s">
        <v>4760</v>
      </c>
      <c r="H436">
        <v>0.4</v>
      </c>
      <c r="J436" t="s">
        <v>4761</v>
      </c>
      <c r="K436" t="s">
        <v>4762</v>
      </c>
      <c r="L436" t="s">
        <v>4763</v>
      </c>
      <c r="M436" t="s">
        <v>4764</v>
      </c>
      <c r="N436">
        <v>1106.1651733936201</v>
      </c>
      <c r="O436">
        <v>1119.4391554743429</v>
      </c>
      <c r="P436">
        <v>1172.0527957816371</v>
      </c>
      <c r="Q436">
        <v>1265.817019444168</v>
      </c>
      <c r="R436">
        <v>1317.7155172413791</v>
      </c>
      <c r="S436" t="s">
        <v>4765</v>
      </c>
      <c r="T436" t="s">
        <v>4766</v>
      </c>
      <c r="U436" t="s">
        <v>218</v>
      </c>
      <c r="V436" t="s">
        <v>94</v>
      </c>
      <c r="W436">
        <v>265472419.80000001</v>
      </c>
      <c r="X436">
        <v>266439117.80000001</v>
      </c>
      <c r="Y436">
        <v>267499117.80000001</v>
      </c>
      <c r="Z436">
        <v>268599117.80000001</v>
      </c>
      <c r="AA436">
        <v>270179117.80000001</v>
      </c>
      <c r="AB436">
        <v>9103346703.6580143</v>
      </c>
      <c r="AC436">
        <v>8229645.0138000008</v>
      </c>
      <c r="AD436">
        <v>9246133811.4761925</v>
      </c>
      <c r="AE436">
        <v>8259612.6518000001</v>
      </c>
      <c r="AF436">
        <v>9719215755.4849567</v>
      </c>
      <c r="AG436">
        <v>8292472.6518000001</v>
      </c>
      <c r="AH436">
        <v>10539917376.2868</v>
      </c>
      <c r="AI436">
        <v>8326572.6518000001</v>
      </c>
      <c r="AJ436">
        <v>11036595694.749041</v>
      </c>
      <c r="AK436">
        <v>8375552.6518000001</v>
      </c>
    </row>
    <row r="437" spans="1:37" x14ac:dyDescent="0.35">
      <c r="A437" t="s">
        <v>4767</v>
      </c>
      <c r="B437">
        <v>27.05</v>
      </c>
      <c r="C437" t="s">
        <v>231</v>
      </c>
      <c r="D437" t="s">
        <v>4768</v>
      </c>
      <c r="E437" t="s">
        <v>4769</v>
      </c>
      <c r="F437">
        <v>0.191</v>
      </c>
      <c r="G437" t="s">
        <v>4770</v>
      </c>
      <c r="H437">
        <v>0.3</v>
      </c>
      <c r="I437">
        <v>2.15</v>
      </c>
      <c r="J437" t="s">
        <v>4771</v>
      </c>
      <c r="K437" t="s">
        <v>4772</v>
      </c>
      <c r="L437" t="s">
        <v>4773</v>
      </c>
      <c r="M437" t="s">
        <v>4774</v>
      </c>
      <c r="N437">
        <v>725.9551939635088</v>
      </c>
      <c r="O437">
        <v>734.66665629107092</v>
      </c>
      <c r="P437">
        <v>769.19598913675122</v>
      </c>
      <c r="Q437">
        <v>830.73166826769136</v>
      </c>
      <c r="R437">
        <v>864.79166666666663</v>
      </c>
      <c r="S437" t="s">
        <v>4775</v>
      </c>
      <c r="T437" t="s">
        <v>4776</v>
      </c>
      <c r="U437" t="s">
        <v>4777</v>
      </c>
      <c r="V437" t="s">
        <v>94</v>
      </c>
      <c r="W437">
        <v>265472419.80000001</v>
      </c>
      <c r="X437">
        <v>266439117.80000001</v>
      </c>
      <c r="Y437">
        <v>267499117.80000001</v>
      </c>
      <c r="Z437">
        <v>268599117.80000001</v>
      </c>
      <c r="AA437">
        <v>270179117.80000001</v>
      </c>
      <c r="AB437">
        <v>36809726663.503357</v>
      </c>
      <c r="AC437">
        <v>50705232.1818</v>
      </c>
      <c r="AD437">
        <v>37387091733.840332</v>
      </c>
      <c r="AE437">
        <v>50889871.499799997</v>
      </c>
      <c r="AF437">
        <v>39300016465.291458</v>
      </c>
      <c r="AG437">
        <v>51092331.499799997</v>
      </c>
      <c r="AH437">
        <v>42618554506.017807</v>
      </c>
      <c r="AI437">
        <v>51302431.499799997</v>
      </c>
      <c r="AJ437">
        <v>44626892069.931213</v>
      </c>
      <c r="AK437">
        <v>51604211.499799997</v>
      </c>
    </row>
    <row r="438" spans="1:37" x14ac:dyDescent="0.35">
      <c r="A438" t="s">
        <v>4778</v>
      </c>
      <c r="B438">
        <v>26.82</v>
      </c>
      <c r="C438" t="s">
        <v>231</v>
      </c>
      <c r="D438" t="s">
        <v>4779</v>
      </c>
      <c r="E438" t="s">
        <v>4780</v>
      </c>
      <c r="F438">
        <v>0.191</v>
      </c>
      <c r="G438" t="s">
        <v>4781</v>
      </c>
      <c r="H438">
        <v>0.4</v>
      </c>
      <c r="J438" t="s">
        <v>4782</v>
      </c>
      <c r="K438" t="s">
        <v>4783</v>
      </c>
      <c r="L438" t="s">
        <v>4784</v>
      </c>
      <c r="M438" t="s">
        <v>4785</v>
      </c>
      <c r="N438">
        <v>725.9551939635088</v>
      </c>
      <c r="O438">
        <v>734.66665629107092</v>
      </c>
      <c r="P438">
        <v>769.19598913675122</v>
      </c>
      <c r="Q438">
        <v>830.73166826769136</v>
      </c>
      <c r="R438">
        <v>864.79166666666663</v>
      </c>
      <c r="S438" t="s">
        <v>4786</v>
      </c>
      <c r="T438" t="s">
        <v>4787</v>
      </c>
      <c r="U438" t="s">
        <v>4788</v>
      </c>
      <c r="V438" t="s">
        <v>94</v>
      </c>
      <c r="W438">
        <v>265472419.80000001</v>
      </c>
      <c r="X438">
        <v>266439117.80000001</v>
      </c>
      <c r="Y438">
        <v>267499117.80000001</v>
      </c>
      <c r="Z438">
        <v>268599117.80000001</v>
      </c>
      <c r="AA438">
        <v>270179117.80000001</v>
      </c>
      <c r="AB438">
        <v>36809726663.503357</v>
      </c>
      <c r="AC438">
        <v>50705232.1818</v>
      </c>
      <c r="AD438">
        <v>37387091733.840332</v>
      </c>
      <c r="AE438">
        <v>50889871.499799997</v>
      </c>
      <c r="AF438">
        <v>39300016465.291458</v>
      </c>
      <c r="AG438">
        <v>51092331.499799997</v>
      </c>
      <c r="AH438">
        <v>42618554506.017807</v>
      </c>
      <c r="AI438">
        <v>51302431.499799997</v>
      </c>
      <c r="AJ438">
        <v>44626892069.931213</v>
      </c>
      <c r="AK438">
        <v>51604211.499799997</v>
      </c>
    </row>
    <row r="439" spans="1:37" x14ac:dyDescent="0.35">
      <c r="A439" t="s">
        <v>4789</v>
      </c>
      <c r="B439">
        <v>16.23</v>
      </c>
      <c r="C439" t="s">
        <v>1402</v>
      </c>
      <c r="D439" t="s">
        <v>4790</v>
      </c>
      <c r="E439" t="s">
        <v>4791</v>
      </c>
      <c r="F439">
        <v>0.3</v>
      </c>
      <c r="G439" t="s">
        <v>4792</v>
      </c>
      <c r="H439">
        <v>0.15</v>
      </c>
      <c r="I439">
        <v>0</v>
      </c>
      <c r="J439" t="s">
        <v>4793</v>
      </c>
      <c r="K439" t="s">
        <v>4794</v>
      </c>
      <c r="L439" t="s">
        <v>4795</v>
      </c>
      <c r="M439" t="s">
        <v>4796</v>
      </c>
      <c r="N439">
        <v>245.54109668146631</v>
      </c>
      <c r="O439">
        <v>248.48758984164391</v>
      </c>
      <c r="P439">
        <v>260.16650656420109</v>
      </c>
      <c r="Q439">
        <v>280.97982708933722</v>
      </c>
      <c r="R439">
        <v>292.5</v>
      </c>
      <c r="S439" t="s">
        <v>4797</v>
      </c>
      <c r="T439" t="s">
        <v>4798</v>
      </c>
      <c r="U439" t="s">
        <v>4799</v>
      </c>
      <c r="V439" t="s">
        <v>49</v>
      </c>
      <c r="W439">
        <v>338996155</v>
      </c>
      <c r="X439">
        <v>339500751</v>
      </c>
      <c r="Y439">
        <v>340560751</v>
      </c>
      <c r="Z439">
        <v>341660751</v>
      </c>
      <c r="AA439">
        <v>343660751</v>
      </c>
      <c r="AB439">
        <v>24971246300.85009</v>
      </c>
      <c r="AC439">
        <v>101698846.5</v>
      </c>
      <c r="AD439">
        <v>25308517009.62542</v>
      </c>
      <c r="AE439">
        <v>101850225.3</v>
      </c>
      <c r="AF439">
        <v>26580750258.165218</v>
      </c>
      <c r="AG439">
        <v>102168225.3</v>
      </c>
      <c r="AH439">
        <v>28799933621.757931</v>
      </c>
      <c r="AI439">
        <v>102498225.3</v>
      </c>
      <c r="AJ439">
        <v>30156230900.25</v>
      </c>
      <c r="AK439">
        <v>103098225.3</v>
      </c>
    </row>
    <row r="440" spans="1:37" x14ac:dyDescent="0.35">
      <c r="A440" t="s">
        <v>4800</v>
      </c>
      <c r="B440">
        <v>26439.89</v>
      </c>
      <c r="C440" t="s">
        <v>278</v>
      </c>
      <c r="D440" t="s">
        <v>4801</v>
      </c>
      <c r="E440" t="s">
        <v>4802</v>
      </c>
      <c r="F440">
        <v>1.2999999999999999E-5</v>
      </c>
      <c r="G440" t="s">
        <v>4803</v>
      </c>
      <c r="H440">
        <v>0.25</v>
      </c>
      <c r="I440">
        <v>0.1</v>
      </c>
      <c r="J440" t="s">
        <v>4804</v>
      </c>
      <c r="K440" t="s">
        <v>4805</v>
      </c>
      <c r="L440" t="s">
        <v>4806</v>
      </c>
      <c r="M440" t="s">
        <v>4807</v>
      </c>
      <c r="N440">
        <v>117659.73818356229</v>
      </c>
      <c r="O440">
        <v>119071.655041765</v>
      </c>
      <c r="P440">
        <v>124668.022828728</v>
      </c>
      <c r="Q440">
        <v>134641.46465502621</v>
      </c>
      <c r="R440">
        <v>140161.76470588229</v>
      </c>
      <c r="S440" t="s">
        <v>4808</v>
      </c>
      <c r="T440" t="s">
        <v>4809</v>
      </c>
      <c r="U440" t="s">
        <v>4810</v>
      </c>
      <c r="V440" t="s">
        <v>49</v>
      </c>
      <c r="W440">
        <v>338996155</v>
      </c>
      <c r="X440">
        <v>339500751</v>
      </c>
      <c r="Y440">
        <v>340560751</v>
      </c>
      <c r="Z440">
        <v>341660751</v>
      </c>
      <c r="AA440">
        <v>343660751</v>
      </c>
      <c r="AB440">
        <v>518520584.95294589</v>
      </c>
      <c r="AC440">
        <v>4406.9500149999994</v>
      </c>
      <c r="AD440">
        <v>525523912.02339822</v>
      </c>
      <c r="AE440">
        <v>4413.509763</v>
      </c>
      <c r="AF440">
        <v>551941461.24307775</v>
      </c>
      <c r="AG440">
        <v>4427.2897629999998</v>
      </c>
      <c r="AH440">
        <v>598022151.08709085</v>
      </c>
      <c r="AI440">
        <v>4441.5897629999999</v>
      </c>
      <c r="AJ440">
        <v>626185265.16401446</v>
      </c>
      <c r="AK440">
        <v>4467.5897629999999</v>
      </c>
    </row>
    <row r="441" spans="1:37" x14ac:dyDescent="0.35">
      <c r="A441" t="s">
        <v>4811</v>
      </c>
      <c r="B441">
        <v>580.11</v>
      </c>
      <c r="C441" t="s">
        <v>3178</v>
      </c>
      <c r="D441" t="s">
        <v>4812</v>
      </c>
      <c r="E441" t="s">
        <v>4813</v>
      </c>
      <c r="F441">
        <v>8.0000000000000007E-5</v>
      </c>
      <c r="G441" t="s">
        <v>4814</v>
      </c>
      <c r="H441">
        <v>0.2</v>
      </c>
      <c r="J441" t="s">
        <v>4815</v>
      </c>
      <c r="K441" t="s">
        <v>4816</v>
      </c>
      <c r="L441" t="s">
        <v>4817</v>
      </c>
      <c r="M441" t="s">
        <v>4818</v>
      </c>
      <c r="N441">
        <v>78331.807125091684</v>
      </c>
      <c r="O441">
        <v>79271.788810592785</v>
      </c>
      <c r="P441">
        <v>82997.562884690647</v>
      </c>
      <c r="Q441">
        <v>89637.367915465904</v>
      </c>
      <c r="R441">
        <v>93312.5</v>
      </c>
      <c r="S441" t="s">
        <v>4819</v>
      </c>
      <c r="T441" t="s">
        <v>4820</v>
      </c>
      <c r="U441" t="s">
        <v>4821</v>
      </c>
      <c r="V441" t="s">
        <v>49</v>
      </c>
      <c r="W441">
        <v>338996155</v>
      </c>
      <c r="X441">
        <v>339500751</v>
      </c>
      <c r="Y441">
        <v>340560751</v>
      </c>
      <c r="Z441">
        <v>341660751</v>
      </c>
      <c r="AA441">
        <v>343660751</v>
      </c>
      <c r="AB441">
        <v>2124334514.3686149</v>
      </c>
      <c r="AC441">
        <v>27119.6924</v>
      </c>
      <c r="AD441">
        <v>2153026546.744772</v>
      </c>
      <c r="AE441">
        <v>27160.060079999999</v>
      </c>
      <c r="AF441">
        <v>2261256987.7743979</v>
      </c>
      <c r="AG441">
        <v>27244.860079999999</v>
      </c>
      <c r="AH441">
        <v>2450045635.1729112</v>
      </c>
      <c r="AI441">
        <v>27332.860079999999</v>
      </c>
      <c r="AJ441">
        <v>2565427506.2150002</v>
      </c>
      <c r="AK441">
        <v>27492.860079999999</v>
      </c>
    </row>
    <row r="442" spans="1:37" x14ac:dyDescent="0.35">
      <c r="A442" t="s">
        <v>4822</v>
      </c>
      <c r="B442">
        <v>9667.34</v>
      </c>
      <c r="C442" t="s">
        <v>4823</v>
      </c>
      <c r="D442" t="s">
        <v>4824</v>
      </c>
      <c r="E442" t="s">
        <v>4825</v>
      </c>
      <c r="F442">
        <v>4.0000000000000003E-5</v>
      </c>
      <c r="G442" t="s">
        <v>4826</v>
      </c>
      <c r="H442">
        <v>0.25</v>
      </c>
      <c r="I442">
        <v>0.05</v>
      </c>
      <c r="J442" t="s">
        <v>4827</v>
      </c>
      <c r="K442" t="s">
        <v>4828</v>
      </c>
      <c r="L442" t="s">
        <v>4829</v>
      </c>
      <c r="M442" t="s">
        <v>4830</v>
      </c>
      <c r="N442">
        <v>282617.10273308371</v>
      </c>
      <c r="O442">
        <v>286008.50796588068</v>
      </c>
      <c r="P442">
        <v>299450.90784027713</v>
      </c>
      <c r="Q442">
        <v>323406.98046749918</v>
      </c>
      <c r="R442">
        <v>336666.66666666669</v>
      </c>
      <c r="S442" t="s">
        <v>4831</v>
      </c>
      <c r="T442" t="s">
        <v>47</v>
      </c>
      <c r="U442" t="s">
        <v>1812</v>
      </c>
      <c r="V442" t="s">
        <v>1017</v>
      </c>
      <c r="W442">
        <v>331357816</v>
      </c>
      <c r="X442">
        <v>331968553.60000002</v>
      </c>
      <c r="Y442">
        <v>333028553.60000002</v>
      </c>
      <c r="Z442">
        <v>334128553.60000002</v>
      </c>
      <c r="AA442">
        <v>336128553.60000002</v>
      </c>
      <c r="AB442">
        <v>3745895437.0352888</v>
      </c>
      <c r="AC442">
        <v>13254.31264</v>
      </c>
      <c r="AD442">
        <v>3797833228.2691002</v>
      </c>
      <c r="AE442">
        <v>13278.742144</v>
      </c>
      <c r="AF442">
        <v>3989028108.4901748</v>
      </c>
      <c r="AG442">
        <v>13321.142143999999</v>
      </c>
      <c r="AH442">
        <v>4322380264.3099594</v>
      </c>
      <c r="AI442">
        <v>13365.142143999999</v>
      </c>
      <c r="AJ442">
        <v>4526531188.4799995</v>
      </c>
      <c r="AK442">
        <v>13445.142143999999</v>
      </c>
    </row>
    <row r="443" spans="1:37" x14ac:dyDescent="0.35">
      <c r="A443" t="s">
        <v>4832</v>
      </c>
      <c r="B443">
        <v>9667.34</v>
      </c>
      <c r="C443" t="s">
        <v>4823</v>
      </c>
      <c r="D443" t="s">
        <v>4833</v>
      </c>
      <c r="E443" t="s">
        <v>4834</v>
      </c>
      <c r="F443">
        <v>4.0000000000000003E-5</v>
      </c>
      <c r="G443" t="s">
        <v>4835</v>
      </c>
      <c r="H443">
        <v>0.3</v>
      </c>
      <c r="I443">
        <v>0.12</v>
      </c>
      <c r="J443" t="s">
        <v>4836</v>
      </c>
      <c r="K443" t="s">
        <v>4837</v>
      </c>
      <c r="L443" t="s">
        <v>4838</v>
      </c>
      <c r="M443" t="s">
        <v>4839</v>
      </c>
      <c r="N443">
        <v>282617.10273308371</v>
      </c>
      <c r="O443">
        <v>286008.50796588068</v>
      </c>
      <c r="P443">
        <v>299450.90784027713</v>
      </c>
      <c r="Q443">
        <v>323406.98046749918</v>
      </c>
      <c r="R443">
        <v>336666.66666666669</v>
      </c>
      <c r="S443" t="s">
        <v>4840</v>
      </c>
      <c r="T443" t="s">
        <v>4841</v>
      </c>
      <c r="U443" t="s">
        <v>1812</v>
      </c>
      <c r="V443" t="s">
        <v>1017</v>
      </c>
      <c r="W443">
        <v>331357816</v>
      </c>
      <c r="X443">
        <v>331968553.60000002</v>
      </c>
      <c r="Y443">
        <v>333028553.60000002</v>
      </c>
      <c r="Z443">
        <v>334128553.60000002</v>
      </c>
      <c r="AA443">
        <v>336128553.60000002</v>
      </c>
      <c r="AB443">
        <v>3745895437.0352888</v>
      </c>
      <c r="AC443">
        <v>13254.31264</v>
      </c>
      <c r="AD443">
        <v>3797833228.2691002</v>
      </c>
      <c r="AE443">
        <v>13278.742144</v>
      </c>
      <c r="AF443">
        <v>3989028108.4901748</v>
      </c>
      <c r="AG443">
        <v>13321.142143999999</v>
      </c>
      <c r="AH443">
        <v>4322380264.3099594</v>
      </c>
      <c r="AI443">
        <v>13365.142143999999</v>
      </c>
      <c r="AJ443">
        <v>4526531188.4799995</v>
      </c>
      <c r="AK443">
        <v>13445.142143999999</v>
      </c>
    </row>
    <row r="444" spans="1:37" x14ac:dyDescent="0.35">
      <c r="A444" t="s">
        <v>4842</v>
      </c>
      <c r="B444">
        <v>9667.34</v>
      </c>
      <c r="C444" t="s">
        <v>4823</v>
      </c>
      <c r="D444" t="s">
        <v>4843</v>
      </c>
      <c r="E444" t="s">
        <v>4844</v>
      </c>
      <c r="F444">
        <v>4.0000000000000003E-5</v>
      </c>
      <c r="G444" t="s">
        <v>4845</v>
      </c>
      <c r="H444">
        <v>0.3</v>
      </c>
      <c r="I444">
        <v>0.1</v>
      </c>
      <c r="J444" t="s">
        <v>4846</v>
      </c>
      <c r="K444" t="s">
        <v>4847</v>
      </c>
      <c r="L444" t="s">
        <v>4848</v>
      </c>
      <c r="M444" t="s">
        <v>4849</v>
      </c>
      <c r="N444">
        <v>282617.10273308371</v>
      </c>
      <c r="O444">
        <v>286008.50796588068</v>
      </c>
      <c r="P444">
        <v>299450.90784027713</v>
      </c>
      <c r="Q444">
        <v>323406.98046749918</v>
      </c>
      <c r="R444">
        <v>336666.66666666669</v>
      </c>
      <c r="S444" t="s">
        <v>4850</v>
      </c>
      <c r="T444" t="s">
        <v>4851</v>
      </c>
      <c r="U444" t="s">
        <v>4852</v>
      </c>
      <c r="V444" t="s">
        <v>1017</v>
      </c>
      <c r="W444">
        <v>331357816</v>
      </c>
      <c r="X444">
        <v>331968553.60000002</v>
      </c>
      <c r="Y444">
        <v>333028553.60000002</v>
      </c>
      <c r="Z444">
        <v>334128553.60000002</v>
      </c>
      <c r="AA444">
        <v>336128553.60000002</v>
      </c>
      <c r="AB444">
        <v>3745895437.0352888</v>
      </c>
      <c r="AC444">
        <v>13254.31264</v>
      </c>
      <c r="AD444">
        <v>3797833228.2691002</v>
      </c>
      <c r="AE444">
        <v>13278.742144</v>
      </c>
      <c r="AF444">
        <v>3989028108.4901748</v>
      </c>
      <c r="AG444">
        <v>13321.142143999999</v>
      </c>
      <c r="AH444">
        <v>4322380264.3099594</v>
      </c>
      <c r="AI444">
        <v>13365.142143999999</v>
      </c>
      <c r="AJ444">
        <v>4526531188.4799995</v>
      </c>
      <c r="AK444">
        <v>13445.142143999999</v>
      </c>
    </row>
    <row r="445" spans="1:37" x14ac:dyDescent="0.35">
      <c r="A445" t="s">
        <v>4853</v>
      </c>
      <c r="B445">
        <v>2785.93</v>
      </c>
      <c r="C445" t="s">
        <v>3178</v>
      </c>
      <c r="D445" t="s">
        <v>4854</v>
      </c>
      <c r="E445" t="s">
        <v>4855</v>
      </c>
      <c r="F445">
        <v>8.0000000000000007E-5</v>
      </c>
      <c r="G445" t="s">
        <v>4856</v>
      </c>
      <c r="H445">
        <v>0.5</v>
      </c>
      <c r="I445">
        <v>0.01</v>
      </c>
      <c r="J445" t="s">
        <v>4857</v>
      </c>
      <c r="K445" t="s">
        <v>4858</v>
      </c>
      <c r="L445" t="s">
        <v>4859</v>
      </c>
      <c r="M445" t="s">
        <v>4860</v>
      </c>
      <c r="N445">
        <v>78331.807125091684</v>
      </c>
      <c r="O445">
        <v>79271.788810592785</v>
      </c>
      <c r="P445">
        <v>82997.562884690647</v>
      </c>
      <c r="Q445">
        <v>89637.367915465904</v>
      </c>
      <c r="R445">
        <v>93312.5</v>
      </c>
      <c r="S445" t="s">
        <v>4861</v>
      </c>
      <c r="T445" t="s">
        <v>1811</v>
      </c>
      <c r="U445" t="s">
        <v>4862</v>
      </c>
      <c r="V445" t="s">
        <v>49</v>
      </c>
      <c r="W445">
        <v>338996155</v>
      </c>
      <c r="X445">
        <v>339500751</v>
      </c>
      <c r="Y445">
        <v>340560751</v>
      </c>
      <c r="Z445">
        <v>341660751</v>
      </c>
      <c r="AA445">
        <v>343660751</v>
      </c>
      <c r="AB445">
        <v>2124334514.3686149</v>
      </c>
      <c r="AC445">
        <v>27119.6924</v>
      </c>
      <c r="AD445">
        <v>2153026546.744772</v>
      </c>
      <c r="AE445">
        <v>27160.060079999999</v>
      </c>
      <c r="AF445">
        <v>2261256987.7743979</v>
      </c>
      <c r="AG445">
        <v>27244.860079999999</v>
      </c>
      <c r="AH445">
        <v>2450045635.1729112</v>
      </c>
      <c r="AI445">
        <v>27332.860079999999</v>
      </c>
      <c r="AJ445">
        <v>2565427506.2150002</v>
      </c>
      <c r="AK445">
        <v>27492.860079999999</v>
      </c>
    </row>
    <row r="446" spans="1:37" x14ac:dyDescent="0.35">
      <c r="A446" t="s">
        <v>4863</v>
      </c>
      <c r="B446">
        <v>696.48</v>
      </c>
      <c r="C446" t="s">
        <v>3178</v>
      </c>
      <c r="D446" t="s">
        <v>4864</v>
      </c>
      <c r="E446" t="s">
        <v>4865</v>
      </c>
      <c r="F446">
        <v>8.0000000000000007E-5</v>
      </c>
      <c r="G446" t="s">
        <v>4866</v>
      </c>
      <c r="H446">
        <v>0.6</v>
      </c>
      <c r="I446">
        <v>0.01</v>
      </c>
      <c r="J446" t="s">
        <v>4867</v>
      </c>
      <c r="K446" t="s">
        <v>4868</v>
      </c>
      <c r="L446" t="s">
        <v>4869</v>
      </c>
      <c r="M446" t="s">
        <v>4870</v>
      </c>
      <c r="N446">
        <v>78331.807125091684</v>
      </c>
      <c r="O446">
        <v>79271.788810592785</v>
      </c>
      <c r="P446">
        <v>82997.562884690647</v>
      </c>
      <c r="Q446">
        <v>89637.367915465904</v>
      </c>
      <c r="R446">
        <v>93312.5</v>
      </c>
      <c r="S446" t="s">
        <v>4871</v>
      </c>
      <c r="T446" t="s">
        <v>4872</v>
      </c>
      <c r="U446" t="s">
        <v>4873</v>
      </c>
      <c r="V446" t="s">
        <v>49</v>
      </c>
      <c r="W446">
        <v>338996155</v>
      </c>
      <c r="X446">
        <v>339500751</v>
      </c>
      <c r="Y446">
        <v>340560751</v>
      </c>
      <c r="Z446">
        <v>341660751</v>
      </c>
      <c r="AA446">
        <v>343660751</v>
      </c>
      <c r="AB446">
        <v>2124334514.3686149</v>
      </c>
      <c r="AC446">
        <v>27119.6924</v>
      </c>
      <c r="AD446">
        <v>2153026546.744772</v>
      </c>
      <c r="AE446">
        <v>27160.060079999999</v>
      </c>
      <c r="AF446">
        <v>2261256987.7743979</v>
      </c>
      <c r="AG446">
        <v>27244.860079999999</v>
      </c>
      <c r="AH446">
        <v>2450045635.1729112</v>
      </c>
      <c r="AI446">
        <v>27332.860079999999</v>
      </c>
      <c r="AJ446">
        <v>2565427506.2150002</v>
      </c>
      <c r="AK446">
        <v>27492.860079999999</v>
      </c>
    </row>
    <row r="447" spans="1:37" x14ac:dyDescent="0.35">
      <c r="A447" t="s">
        <v>4874</v>
      </c>
      <c r="B447">
        <v>3482.41</v>
      </c>
      <c r="C447" t="s">
        <v>3178</v>
      </c>
      <c r="D447" t="s">
        <v>4875</v>
      </c>
      <c r="E447" t="s">
        <v>4876</v>
      </c>
      <c r="F447">
        <v>8.0000000000000007E-5</v>
      </c>
      <c r="G447" t="s">
        <v>4877</v>
      </c>
      <c r="H447">
        <v>0.8</v>
      </c>
      <c r="I447">
        <v>0.05</v>
      </c>
      <c r="J447" t="s">
        <v>4878</v>
      </c>
      <c r="K447" t="s">
        <v>4879</v>
      </c>
      <c r="L447" t="s">
        <v>4880</v>
      </c>
      <c r="M447" t="s">
        <v>4881</v>
      </c>
      <c r="N447">
        <v>78331.807125091684</v>
      </c>
      <c r="O447">
        <v>79271.788810592785</v>
      </c>
      <c r="P447">
        <v>82997.562884690647</v>
      </c>
      <c r="Q447">
        <v>89637.367915465904</v>
      </c>
      <c r="R447">
        <v>93312.5</v>
      </c>
      <c r="S447" t="s">
        <v>4882</v>
      </c>
      <c r="T447" t="s">
        <v>2564</v>
      </c>
      <c r="U447" t="s">
        <v>4883</v>
      </c>
      <c r="V447" t="s">
        <v>49</v>
      </c>
      <c r="W447">
        <v>338996155</v>
      </c>
      <c r="X447">
        <v>339500751</v>
      </c>
      <c r="Y447">
        <v>340560751</v>
      </c>
      <c r="Z447">
        <v>341660751</v>
      </c>
      <c r="AA447">
        <v>343660751</v>
      </c>
      <c r="AB447">
        <v>2124334514.3686149</v>
      </c>
      <c r="AC447">
        <v>27119.6924</v>
      </c>
      <c r="AD447">
        <v>2153026546.744772</v>
      </c>
      <c r="AE447">
        <v>27160.060079999999</v>
      </c>
      <c r="AF447">
        <v>2261256987.7743979</v>
      </c>
      <c r="AG447">
        <v>27244.860079999999</v>
      </c>
      <c r="AH447">
        <v>2450045635.1729112</v>
      </c>
      <c r="AI447">
        <v>27332.860079999999</v>
      </c>
      <c r="AJ447">
        <v>2565427506.2150002</v>
      </c>
      <c r="AK447">
        <v>27492.860079999999</v>
      </c>
    </row>
    <row r="448" spans="1:37" x14ac:dyDescent="0.35">
      <c r="A448" t="s">
        <v>4884</v>
      </c>
      <c r="B448">
        <v>580.11</v>
      </c>
      <c r="C448" t="s">
        <v>3178</v>
      </c>
      <c r="D448" t="s">
        <v>4885</v>
      </c>
      <c r="E448" t="s">
        <v>4813</v>
      </c>
      <c r="F448">
        <v>8.0000000000000007E-5</v>
      </c>
      <c r="G448" t="s">
        <v>4886</v>
      </c>
      <c r="H448">
        <v>0.2</v>
      </c>
      <c r="I448">
        <v>0.05</v>
      </c>
      <c r="J448" t="s">
        <v>4887</v>
      </c>
      <c r="K448" t="s">
        <v>4888</v>
      </c>
      <c r="L448" t="s">
        <v>4889</v>
      </c>
      <c r="M448" t="s">
        <v>4890</v>
      </c>
      <c r="N448">
        <v>78331.807125091684</v>
      </c>
      <c r="O448">
        <v>79271.788810592785</v>
      </c>
      <c r="P448">
        <v>82997.562884690647</v>
      </c>
      <c r="Q448">
        <v>89637.367915465904</v>
      </c>
      <c r="R448">
        <v>93312.5</v>
      </c>
      <c r="S448" t="s">
        <v>4891</v>
      </c>
      <c r="T448" t="s">
        <v>4570</v>
      </c>
      <c r="U448" t="s">
        <v>4892</v>
      </c>
      <c r="V448" t="s">
        <v>49</v>
      </c>
      <c r="W448">
        <v>338996155</v>
      </c>
      <c r="X448">
        <v>339500751</v>
      </c>
      <c r="Y448">
        <v>340560751</v>
      </c>
      <c r="Z448">
        <v>341660751</v>
      </c>
      <c r="AA448">
        <v>343660751</v>
      </c>
      <c r="AB448">
        <v>2124334514.3686149</v>
      </c>
      <c r="AC448">
        <v>27119.6924</v>
      </c>
      <c r="AD448">
        <v>2153026546.744772</v>
      </c>
      <c r="AE448">
        <v>27160.060079999999</v>
      </c>
      <c r="AF448">
        <v>2261256987.7743979</v>
      </c>
      <c r="AG448">
        <v>27244.860079999999</v>
      </c>
      <c r="AH448">
        <v>2450045635.1729112</v>
      </c>
      <c r="AI448">
        <v>27332.860079999999</v>
      </c>
      <c r="AJ448">
        <v>2565427506.2150002</v>
      </c>
      <c r="AK448">
        <v>27492.860079999999</v>
      </c>
    </row>
    <row r="449" spans="1:37" x14ac:dyDescent="0.35">
      <c r="A449" t="s">
        <v>4893</v>
      </c>
      <c r="B449">
        <v>580.11</v>
      </c>
      <c r="C449" t="s">
        <v>3178</v>
      </c>
      <c r="D449" t="s">
        <v>4894</v>
      </c>
      <c r="E449" t="s">
        <v>3180</v>
      </c>
      <c r="F449">
        <v>8.0000000000000007E-5</v>
      </c>
      <c r="G449" t="s">
        <v>4895</v>
      </c>
      <c r="H449">
        <v>0.6</v>
      </c>
      <c r="I449">
        <v>0.01</v>
      </c>
      <c r="J449" t="s">
        <v>4896</v>
      </c>
      <c r="K449" t="s">
        <v>4897</v>
      </c>
      <c r="L449" t="s">
        <v>4898</v>
      </c>
      <c r="M449" t="s">
        <v>4899</v>
      </c>
      <c r="N449">
        <v>78331.807125091684</v>
      </c>
      <c r="O449">
        <v>79271.788810592785</v>
      </c>
      <c r="P449">
        <v>82997.562884690647</v>
      </c>
      <c r="Q449">
        <v>89637.367915465904</v>
      </c>
      <c r="R449">
        <v>93312.5</v>
      </c>
      <c r="S449" t="s">
        <v>4900</v>
      </c>
      <c r="T449" t="s">
        <v>1112</v>
      </c>
      <c r="U449" t="s">
        <v>4901</v>
      </c>
      <c r="V449" t="s">
        <v>49</v>
      </c>
      <c r="W449">
        <v>338996155</v>
      </c>
      <c r="X449">
        <v>339500751</v>
      </c>
      <c r="Y449">
        <v>340560751</v>
      </c>
      <c r="Z449">
        <v>341660751</v>
      </c>
      <c r="AA449">
        <v>343660751</v>
      </c>
      <c r="AB449">
        <v>2124334514.3686149</v>
      </c>
      <c r="AC449">
        <v>27119.6924</v>
      </c>
      <c r="AD449">
        <v>2153026546.744772</v>
      </c>
      <c r="AE449">
        <v>27160.060079999999</v>
      </c>
      <c r="AF449">
        <v>2261256987.7743979</v>
      </c>
      <c r="AG449">
        <v>27244.860079999999</v>
      </c>
      <c r="AH449">
        <v>2450045635.1729112</v>
      </c>
      <c r="AI449">
        <v>27332.860079999999</v>
      </c>
      <c r="AJ449">
        <v>2565427506.2150002</v>
      </c>
      <c r="AK449">
        <v>27492.860079999999</v>
      </c>
    </row>
    <row r="450" spans="1:37" x14ac:dyDescent="0.35">
      <c r="A450" t="s">
        <v>4902</v>
      </c>
      <c r="B450">
        <v>1224.67</v>
      </c>
      <c r="C450" t="s">
        <v>4903</v>
      </c>
      <c r="D450" t="s">
        <v>4904</v>
      </c>
      <c r="E450" t="s">
        <v>4905</v>
      </c>
      <c r="F450">
        <v>5.0000000000000004E-6</v>
      </c>
      <c r="G450" t="s">
        <v>4906</v>
      </c>
      <c r="H450">
        <v>20.3</v>
      </c>
      <c r="I450">
        <v>5.18</v>
      </c>
      <c r="J450" t="s">
        <v>4907</v>
      </c>
      <c r="K450" t="s">
        <v>4908</v>
      </c>
      <c r="L450" t="s">
        <v>4909</v>
      </c>
      <c r="M450" t="s">
        <v>4910</v>
      </c>
      <c r="N450">
        <v>2969.578220549357</v>
      </c>
      <c r="O450">
        <v>3005.2131591959492</v>
      </c>
      <c r="P450">
        <v>3146.4581776781588</v>
      </c>
      <c r="Q450">
        <v>3398.174831892411</v>
      </c>
      <c r="R450">
        <v>3537.5</v>
      </c>
      <c r="S450" t="s">
        <v>4911</v>
      </c>
      <c r="T450" t="s">
        <v>4912</v>
      </c>
      <c r="U450" t="s">
        <v>4913</v>
      </c>
      <c r="V450" t="s">
        <v>94</v>
      </c>
      <c r="W450">
        <v>265472419.80000001</v>
      </c>
      <c r="X450">
        <v>266439117.80000001</v>
      </c>
      <c r="Y450">
        <v>267499117.80000001</v>
      </c>
      <c r="Z450">
        <v>268599117.80000001</v>
      </c>
      <c r="AA450">
        <v>270179117.80000001</v>
      </c>
      <c r="AB450">
        <v>3941705.5799730802</v>
      </c>
      <c r="AC450">
        <v>1327.3620989999999</v>
      </c>
      <c r="AD450">
        <v>4003531.7146855989</v>
      </c>
      <c r="AE450">
        <v>1332.1955889999999</v>
      </c>
      <c r="AF450">
        <v>4208373.9336175164</v>
      </c>
      <c r="AG450">
        <v>1337.4955890000001</v>
      </c>
      <c r="AH450">
        <v>4563733.8098823251</v>
      </c>
      <c r="AI450">
        <v>1342.9955890000001</v>
      </c>
      <c r="AJ450">
        <v>4778793.1460875003</v>
      </c>
      <c r="AK450">
        <v>1350.895589</v>
      </c>
    </row>
    <row r="451" spans="1:37" x14ac:dyDescent="0.35">
      <c r="A451" t="s">
        <v>4914</v>
      </c>
      <c r="B451">
        <v>699.35</v>
      </c>
      <c r="C451" t="s">
        <v>4915</v>
      </c>
      <c r="D451" t="s">
        <v>4916</v>
      </c>
      <c r="E451" t="s">
        <v>4917</v>
      </c>
      <c r="F451">
        <v>1.4999999999999999E-2</v>
      </c>
      <c r="G451" t="s">
        <v>4918</v>
      </c>
      <c r="H451">
        <v>15.3</v>
      </c>
      <c r="I451">
        <v>0.01</v>
      </c>
      <c r="J451" t="s">
        <v>4919</v>
      </c>
      <c r="K451" t="s">
        <v>4920</v>
      </c>
      <c r="L451" t="s">
        <v>4921</v>
      </c>
      <c r="M451" t="s">
        <v>4922</v>
      </c>
      <c r="N451">
        <v>937.39336055032709</v>
      </c>
      <c r="O451">
        <v>948.642080876931</v>
      </c>
      <c r="P451">
        <v>993.22825867814674</v>
      </c>
      <c r="Q451">
        <v>1072.6865193723991</v>
      </c>
      <c r="R451">
        <v>1116.666666666667</v>
      </c>
      <c r="S451" t="s">
        <v>4923</v>
      </c>
      <c r="T451" t="s">
        <v>1157</v>
      </c>
      <c r="U451" t="s">
        <v>4924</v>
      </c>
      <c r="V451" t="s">
        <v>4925</v>
      </c>
      <c r="W451">
        <v>151690027.59999999</v>
      </c>
      <c r="X451">
        <v>150864900.80000001</v>
      </c>
      <c r="Y451">
        <v>151924900.80000001</v>
      </c>
      <c r="Z451">
        <v>153024900.80000001</v>
      </c>
      <c r="AA451">
        <v>154604900.80000001</v>
      </c>
      <c r="AB451">
        <v>2132898371.009038</v>
      </c>
      <c r="AC451">
        <v>2275350.4139999999</v>
      </c>
      <c r="AD451">
        <v>2146751901.3930571</v>
      </c>
      <c r="AE451">
        <v>2262973.5120000001</v>
      </c>
      <c r="AF451">
        <v>2263441570.0715132</v>
      </c>
      <c r="AG451">
        <v>2278873.5120000001</v>
      </c>
      <c r="AH451">
        <v>2462216223.2468791</v>
      </c>
      <c r="AI451">
        <v>2295373.5120000001</v>
      </c>
      <c r="AJ451">
        <v>2589632088.400001</v>
      </c>
      <c r="AK451">
        <v>2319073.5120000001</v>
      </c>
    </row>
    <row r="452" spans="1:37" x14ac:dyDescent="0.35">
      <c r="A452" t="s">
        <v>4926</v>
      </c>
      <c r="B452">
        <v>23.49</v>
      </c>
      <c r="C452" t="s">
        <v>1019</v>
      </c>
      <c r="D452" t="s">
        <v>4927</v>
      </c>
      <c r="E452" t="s">
        <v>4928</v>
      </c>
      <c r="F452">
        <v>0.28999999999999998</v>
      </c>
      <c r="G452" t="s">
        <v>4929</v>
      </c>
      <c r="H452">
        <v>0.3</v>
      </c>
      <c r="I452">
        <v>0</v>
      </c>
      <c r="J452" t="s">
        <v>4930</v>
      </c>
      <c r="K452" t="s">
        <v>4931</v>
      </c>
      <c r="L452" t="s">
        <v>4932</v>
      </c>
      <c r="M452" t="s">
        <v>4933</v>
      </c>
      <c r="N452">
        <v>349.3072771403954</v>
      </c>
      <c r="O452">
        <v>353.49896446608022</v>
      </c>
      <c r="P452">
        <v>370.11341579598587</v>
      </c>
      <c r="Q452">
        <v>399.72248905966478</v>
      </c>
      <c r="R452">
        <v>416.11111111111109</v>
      </c>
      <c r="S452" t="s">
        <v>4934</v>
      </c>
      <c r="T452" t="s">
        <v>4935</v>
      </c>
      <c r="U452" t="s">
        <v>3475</v>
      </c>
      <c r="V452" t="s">
        <v>1029</v>
      </c>
      <c r="W452">
        <v>139921842</v>
      </c>
      <c r="X452">
        <v>139603232</v>
      </c>
      <c r="Y452">
        <v>140663232</v>
      </c>
      <c r="Z452">
        <v>141763232</v>
      </c>
      <c r="AA452">
        <v>143763232</v>
      </c>
      <c r="AB452">
        <v>14173958116.0317</v>
      </c>
      <c r="AC452">
        <v>40577334.18</v>
      </c>
      <c r="AD452">
        <v>14311383404.954201</v>
      </c>
      <c r="AE452">
        <v>40484937.279999986</v>
      </c>
      <c r="AF452">
        <v>15097791289.002741</v>
      </c>
      <c r="AG452">
        <v>40792337.279999986</v>
      </c>
      <c r="AH452">
        <v>16433126066.13299</v>
      </c>
      <c r="AI452">
        <v>41111337.279999986</v>
      </c>
      <c r="AJ452">
        <v>17348228679.288891</v>
      </c>
      <c r="AK452">
        <v>41691337.279999986</v>
      </c>
    </row>
    <row r="453" spans="1:37" x14ac:dyDescent="0.35">
      <c r="A453" t="s">
        <v>4936</v>
      </c>
      <c r="B453">
        <v>5.0199999999999996</v>
      </c>
      <c r="C453" t="s">
        <v>418</v>
      </c>
      <c r="D453" t="s">
        <v>4937</v>
      </c>
      <c r="E453" t="s">
        <v>4938</v>
      </c>
      <c r="F453">
        <v>0.16200000000000001</v>
      </c>
      <c r="G453" t="s">
        <v>4939</v>
      </c>
      <c r="H453">
        <v>10.15</v>
      </c>
      <c r="I453">
        <v>0.01</v>
      </c>
      <c r="J453" t="s">
        <v>4940</v>
      </c>
      <c r="K453" t="s">
        <v>4941</v>
      </c>
      <c r="L453" t="s">
        <v>4942</v>
      </c>
      <c r="M453" t="s">
        <v>4943</v>
      </c>
      <c r="N453">
        <v>76.950201239205967</v>
      </c>
      <c r="O453">
        <v>77.873603654076433</v>
      </c>
      <c r="P453">
        <v>81.533663025818015</v>
      </c>
      <c r="Q453">
        <v>88.056356067883456</v>
      </c>
      <c r="R453">
        <v>91.666666666666671</v>
      </c>
      <c r="S453" t="s">
        <v>4944</v>
      </c>
      <c r="T453" t="s">
        <v>4945</v>
      </c>
      <c r="U453" t="s">
        <v>4946</v>
      </c>
      <c r="V453" t="s">
        <v>49</v>
      </c>
      <c r="W453">
        <v>338996155</v>
      </c>
      <c r="X453">
        <v>339500751</v>
      </c>
      <c r="Y453">
        <v>340560751</v>
      </c>
      <c r="Z453">
        <v>341660751</v>
      </c>
      <c r="AA453">
        <v>343660751</v>
      </c>
      <c r="AB453">
        <v>4225903220.1438642</v>
      </c>
      <c r="AC453">
        <v>54917377.109999999</v>
      </c>
      <c r="AD453">
        <v>4282979801.6289182</v>
      </c>
      <c r="AE453">
        <v>54999121.662</v>
      </c>
      <c r="AF453">
        <v>4498280812.92027</v>
      </c>
      <c r="AG453">
        <v>55170841.662</v>
      </c>
      <c r="AH453">
        <v>4873834920.6051884</v>
      </c>
      <c r="AI453">
        <v>55349041.662</v>
      </c>
      <c r="AJ453">
        <v>5103362152.3500004</v>
      </c>
      <c r="AK453">
        <v>55673041.662</v>
      </c>
    </row>
    <row r="454" spans="1:37" x14ac:dyDescent="0.35">
      <c r="A454" t="s">
        <v>4947</v>
      </c>
      <c r="B454">
        <v>3033.81</v>
      </c>
      <c r="C454" t="s">
        <v>863</v>
      </c>
      <c r="D454" t="s">
        <v>4948</v>
      </c>
      <c r="E454" t="s">
        <v>4949</v>
      </c>
      <c r="F454">
        <v>0.1</v>
      </c>
      <c r="G454" t="s">
        <v>4950</v>
      </c>
      <c r="H454">
        <v>0.25</v>
      </c>
      <c r="I454">
        <v>0.01</v>
      </c>
      <c r="J454" t="s">
        <v>4951</v>
      </c>
      <c r="K454" t="s">
        <v>4952</v>
      </c>
      <c r="L454" t="s">
        <v>4953</v>
      </c>
      <c r="M454" t="s">
        <v>4954</v>
      </c>
      <c r="N454">
        <v>278.56709214154648</v>
      </c>
      <c r="O454">
        <v>281.90989724724511</v>
      </c>
      <c r="P454">
        <v>295.1596624178656</v>
      </c>
      <c r="Q454">
        <v>318.77243541129491</v>
      </c>
      <c r="R454">
        <v>331.84210526315792</v>
      </c>
      <c r="S454" t="s">
        <v>4955</v>
      </c>
      <c r="T454" t="s">
        <v>4956</v>
      </c>
      <c r="U454" t="s">
        <v>1957</v>
      </c>
      <c r="V454" t="s">
        <v>49</v>
      </c>
      <c r="W454">
        <v>338996155</v>
      </c>
      <c r="X454">
        <v>339500751</v>
      </c>
      <c r="Y454">
        <v>340560751</v>
      </c>
      <c r="Z454">
        <v>341660751</v>
      </c>
      <c r="AA454">
        <v>343660751</v>
      </c>
      <c r="AB454">
        <v>9443317314.5515003</v>
      </c>
      <c r="AC454">
        <v>33899615.5</v>
      </c>
      <c r="AD454">
        <v>9570862182.9772549</v>
      </c>
      <c r="AE454">
        <v>33950075.100000001</v>
      </c>
      <c r="AF454">
        <v>10051979629.79348</v>
      </c>
      <c r="AG454">
        <v>34056075.100000001</v>
      </c>
      <c r="AH454">
        <v>10891202968.072201</v>
      </c>
      <c r="AI454">
        <v>34166075.100000001</v>
      </c>
      <c r="AJ454">
        <v>11404110710.81579</v>
      </c>
      <c r="AK454">
        <v>34366075.100000001</v>
      </c>
    </row>
    <row r="455" spans="1:37" x14ac:dyDescent="0.35">
      <c r="A455" t="s">
        <v>4957</v>
      </c>
      <c r="B455">
        <v>9842.02</v>
      </c>
      <c r="C455" t="s">
        <v>4958</v>
      </c>
      <c r="D455" t="s">
        <v>4959</v>
      </c>
      <c r="E455" t="s">
        <v>4960</v>
      </c>
      <c r="F455">
        <v>4.5300000000000003E-5</v>
      </c>
      <c r="G455" t="s">
        <v>4961</v>
      </c>
      <c r="H455">
        <v>0.2</v>
      </c>
      <c r="I455">
        <v>0.01</v>
      </c>
      <c r="J455" t="s">
        <v>4962</v>
      </c>
      <c r="K455" t="s">
        <v>4963</v>
      </c>
      <c r="L455" t="s">
        <v>4964</v>
      </c>
      <c r="M455" t="s">
        <v>4965</v>
      </c>
      <c r="N455">
        <v>109129.3763028739</v>
      </c>
      <c r="O455">
        <v>110438.9288185084</v>
      </c>
      <c r="P455">
        <v>115629.5584729783</v>
      </c>
      <c r="Q455">
        <v>124879.9231508165</v>
      </c>
      <c r="R455">
        <v>130000</v>
      </c>
      <c r="S455" t="s">
        <v>4966</v>
      </c>
      <c r="T455" t="s">
        <v>4967</v>
      </c>
      <c r="U455" t="s">
        <v>4968</v>
      </c>
      <c r="V455" t="s">
        <v>94</v>
      </c>
      <c r="W455">
        <v>265472419.80000001</v>
      </c>
      <c r="X455">
        <v>266439117.80000001</v>
      </c>
      <c r="Y455">
        <v>267499117.80000001</v>
      </c>
      <c r="Z455">
        <v>268599117.80000001</v>
      </c>
      <c r="AA455">
        <v>270179117.80000001</v>
      </c>
      <c r="AB455">
        <v>1312379033.807009</v>
      </c>
      <c r="AC455">
        <v>12025.90061694</v>
      </c>
      <c r="AD455">
        <v>1332963859.6626711</v>
      </c>
      <c r="AE455">
        <v>12069.69203634</v>
      </c>
      <c r="AF455">
        <v>1401165461.2055719</v>
      </c>
      <c r="AG455">
        <v>12117.71003634</v>
      </c>
      <c r="AH455">
        <v>1519481464.6726229</v>
      </c>
      <c r="AI455">
        <v>12167.54003634</v>
      </c>
      <c r="AJ455">
        <v>1591084824.7242</v>
      </c>
      <c r="AK455">
        <v>12239.114036340001</v>
      </c>
    </row>
    <row r="456" spans="1:37" x14ac:dyDescent="0.35">
      <c r="A456" t="s">
        <v>4969</v>
      </c>
      <c r="B456">
        <v>19.45</v>
      </c>
      <c r="C456" t="s">
        <v>255</v>
      </c>
      <c r="D456" t="s">
        <v>4970</v>
      </c>
      <c r="E456" t="s">
        <v>4971</v>
      </c>
      <c r="F456">
        <v>4.1999999999999998E-5</v>
      </c>
      <c r="G456" t="s">
        <v>4972</v>
      </c>
      <c r="H456">
        <v>0.5</v>
      </c>
      <c r="I456">
        <v>3.03</v>
      </c>
      <c r="J456" t="s">
        <v>4973</v>
      </c>
      <c r="K456" t="s">
        <v>4974</v>
      </c>
      <c r="L456" t="s">
        <v>4975</v>
      </c>
      <c r="M456" t="s">
        <v>4976</v>
      </c>
      <c r="N456">
        <v>118710.1325836446</v>
      </c>
      <c r="O456">
        <v>120134.6541746483</v>
      </c>
      <c r="P456">
        <v>125780.9829208568</v>
      </c>
      <c r="Q456">
        <v>135843.46155452539</v>
      </c>
      <c r="R456">
        <v>141413.04347826089</v>
      </c>
      <c r="S456" t="s">
        <v>4977</v>
      </c>
      <c r="T456" t="s">
        <v>4978</v>
      </c>
      <c r="U456" t="s">
        <v>4979</v>
      </c>
      <c r="V456" t="s">
        <v>94</v>
      </c>
      <c r="W456">
        <v>265472419.80000001</v>
      </c>
      <c r="X456">
        <v>266439117.80000001</v>
      </c>
      <c r="Y456">
        <v>267499117.80000001</v>
      </c>
      <c r="Z456">
        <v>268599117.80000001</v>
      </c>
      <c r="AA456">
        <v>270179117.80000001</v>
      </c>
      <c r="AB456">
        <v>1323599178.3738761</v>
      </c>
      <c r="AC456">
        <v>11149.8416316</v>
      </c>
      <c r="AD456">
        <v>1344359993.571058</v>
      </c>
      <c r="AE456">
        <v>11190.4429476</v>
      </c>
      <c r="AF456">
        <v>1413144682.628535</v>
      </c>
      <c r="AG456">
        <v>11234.962947599999</v>
      </c>
      <c r="AH456">
        <v>1532472225.162637</v>
      </c>
      <c r="AI456">
        <v>11281.1629476</v>
      </c>
      <c r="AJ456">
        <v>1604687755.959522</v>
      </c>
      <c r="AK456">
        <v>11347.5229476</v>
      </c>
    </row>
    <row r="457" spans="1:37" x14ac:dyDescent="0.35">
      <c r="A457" t="s">
        <v>4980</v>
      </c>
      <c r="B457">
        <v>1938.28</v>
      </c>
      <c r="C457" t="s">
        <v>1042</v>
      </c>
      <c r="D457" t="s">
        <v>4981</v>
      </c>
      <c r="E457" t="s">
        <v>4982</v>
      </c>
      <c r="F457">
        <v>0.187</v>
      </c>
      <c r="G457" t="s">
        <v>4983</v>
      </c>
      <c r="H457">
        <v>0.1</v>
      </c>
      <c r="I457">
        <v>0.01</v>
      </c>
      <c r="J457" t="s">
        <v>4984</v>
      </c>
      <c r="K457" t="s">
        <v>4985</v>
      </c>
      <c r="L457" t="s">
        <v>4986</v>
      </c>
      <c r="M457" t="s">
        <v>4987</v>
      </c>
      <c r="N457">
        <v>1770.7290626067279</v>
      </c>
      <c r="O457">
        <v>1791.9778113580089</v>
      </c>
      <c r="P457">
        <v>1876.2007684918351</v>
      </c>
      <c r="Q457">
        <v>2026.296829971182</v>
      </c>
      <c r="R457">
        <v>2109.375</v>
      </c>
      <c r="S457" t="s">
        <v>4988</v>
      </c>
      <c r="T457" t="s">
        <v>4989</v>
      </c>
      <c r="U457" t="s">
        <v>4990</v>
      </c>
      <c r="V457" t="s">
        <v>1053</v>
      </c>
      <c r="W457">
        <v>158713600</v>
      </c>
      <c r="X457">
        <v>160457415</v>
      </c>
      <c r="Y457">
        <v>160457415</v>
      </c>
      <c r="Z457">
        <v>160557415</v>
      </c>
      <c r="AA457">
        <v>160557415</v>
      </c>
      <c r="AB457">
        <v>52554252636.225616</v>
      </c>
      <c r="AC457">
        <v>29679443.199999999</v>
      </c>
      <c r="AD457">
        <v>53769255814.050507</v>
      </c>
      <c r="AE457">
        <v>30005536.605</v>
      </c>
      <c r="AF457">
        <v>56296410837.310883</v>
      </c>
      <c r="AG457">
        <v>30005536.605</v>
      </c>
      <c r="AH457">
        <v>60838015455.01622</v>
      </c>
      <c r="AI457">
        <v>30024236.605</v>
      </c>
      <c r="AJ457">
        <v>63332374088.671883</v>
      </c>
      <c r="AK457">
        <v>30024236.605</v>
      </c>
    </row>
    <row r="458" spans="1:37" x14ac:dyDescent="0.35">
      <c r="A458" t="s">
        <v>4991</v>
      </c>
      <c r="B458">
        <v>3.59</v>
      </c>
      <c r="C458" t="s">
        <v>4992</v>
      </c>
      <c r="D458" t="s">
        <v>4993</v>
      </c>
      <c r="E458" t="s">
        <v>4994</v>
      </c>
      <c r="F458">
        <v>0.02</v>
      </c>
      <c r="G458" t="s">
        <v>4995</v>
      </c>
      <c r="H458">
        <v>0.25</v>
      </c>
      <c r="I458">
        <v>0.01</v>
      </c>
      <c r="J458" t="s">
        <v>4996</v>
      </c>
      <c r="K458" t="s">
        <v>4997</v>
      </c>
      <c r="L458" t="s">
        <v>4998</v>
      </c>
      <c r="M458" t="s">
        <v>4999</v>
      </c>
      <c r="N458">
        <v>181.88229383812319</v>
      </c>
      <c r="O458">
        <v>184.06488136418059</v>
      </c>
      <c r="P458">
        <v>192.7159307882971</v>
      </c>
      <c r="Q458">
        <v>208.13320525136089</v>
      </c>
      <c r="R458">
        <v>216.66666666666671</v>
      </c>
      <c r="S458" t="s">
        <v>5000</v>
      </c>
      <c r="T458" t="s">
        <v>5001</v>
      </c>
      <c r="U458" t="s">
        <v>5002</v>
      </c>
      <c r="V458" t="s">
        <v>49</v>
      </c>
      <c r="W458">
        <v>338996155</v>
      </c>
      <c r="X458">
        <v>339500751</v>
      </c>
      <c r="Y458">
        <v>340560751</v>
      </c>
      <c r="Z458">
        <v>341660751</v>
      </c>
      <c r="AA458">
        <v>343660751</v>
      </c>
      <c r="AB458">
        <v>1233147965.4740789</v>
      </c>
      <c r="AC458">
        <v>6779923.1000000006</v>
      </c>
      <c r="AD458">
        <v>1249803309.117305</v>
      </c>
      <c r="AE458">
        <v>6790015.0199999996</v>
      </c>
      <c r="AF458">
        <v>1312629642.37853</v>
      </c>
      <c r="AG458">
        <v>6811215.0199999996</v>
      </c>
      <c r="AH458">
        <v>1422218944.2843421</v>
      </c>
      <c r="AI458">
        <v>6833215.0199999996</v>
      </c>
      <c r="AJ458">
        <v>1489196587.666667</v>
      </c>
      <c r="AK458">
        <v>6873215.0199999996</v>
      </c>
    </row>
    <row r="459" spans="1:37" x14ac:dyDescent="0.35">
      <c r="A459" t="s">
        <v>5003</v>
      </c>
      <c r="B459">
        <v>0.83</v>
      </c>
      <c r="C459" t="s">
        <v>1414</v>
      </c>
      <c r="D459" t="s">
        <v>5004</v>
      </c>
      <c r="E459" t="s">
        <v>5005</v>
      </c>
      <c r="F459">
        <v>0.2</v>
      </c>
      <c r="G459" t="s">
        <v>5006</v>
      </c>
      <c r="H459">
        <v>0.25</v>
      </c>
      <c r="I459">
        <v>0</v>
      </c>
      <c r="J459" t="s">
        <v>5007</v>
      </c>
      <c r="K459" t="s">
        <v>5008</v>
      </c>
      <c r="L459" t="s">
        <v>5009</v>
      </c>
      <c r="M459" t="s">
        <v>5010</v>
      </c>
      <c r="N459">
        <v>183.6311620481051</v>
      </c>
      <c r="O459">
        <v>185.8347359926824</v>
      </c>
      <c r="P459">
        <v>194.56896858433839</v>
      </c>
      <c r="Q459">
        <v>210.13448607108549</v>
      </c>
      <c r="R459">
        <v>218.75</v>
      </c>
      <c r="S459" t="s">
        <v>5011</v>
      </c>
      <c r="T459" t="s">
        <v>5012</v>
      </c>
      <c r="U459" t="s">
        <v>5013</v>
      </c>
      <c r="V459" t="s">
        <v>49</v>
      </c>
      <c r="W459">
        <v>338996155</v>
      </c>
      <c r="X459">
        <v>339500751</v>
      </c>
      <c r="Y459">
        <v>340560751</v>
      </c>
      <c r="Z459">
        <v>341660751</v>
      </c>
      <c r="AA459">
        <v>343660751</v>
      </c>
      <c r="AB459">
        <v>12450051574.49791</v>
      </c>
      <c r="AC459">
        <v>67799231</v>
      </c>
      <c r="AD459">
        <v>12618206486.280479</v>
      </c>
      <c r="AE459">
        <v>67900150.200000003</v>
      </c>
      <c r="AF459">
        <v>13252510812.47554</v>
      </c>
      <c r="AG459">
        <v>68112150.200000003</v>
      </c>
      <c r="AH459">
        <v>14358941264.409229</v>
      </c>
      <c r="AI459">
        <v>68332150.200000003</v>
      </c>
      <c r="AJ459">
        <v>15035157856.25</v>
      </c>
      <c r="AK459">
        <v>68732150.200000003</v>
      </c>
    </row>
    <row r="460" spans="1:37" x14ac:dyDescent="0.35">
      <c r="A460" t="s">
        <v>5014</v>
      </c>
      <c r="B460">
        <v>1.0900000000000001</v>
      </c>
      <c r="C460" t="s">
        <v>1614</v>
      </c>
      <c r="D460" t="s">
        <v>5015</v>
      </c>
      <c r="E460" t="s">
        <v>5016</v>
      </c>
      <c r="F460">
        <v>0.05</v>
      </c>
      <c r="G460" t="s">
        <v>5017</v>
      </c>
      <c r="H460">
        <v>0.15</v>
      </c>
      <c r="I460">
        <v>0.02</v>
      </c>
      <c r="J460" t="s">
        <v>5018</v>
      </c>
      <c r="K460" t="s">
        <v>5019</v>
      </c>
      <c r="L460" t="s">
        <v>5020</v>
      </c>
      <c r="M460" t="s">
        <v>5021</v>
      </c>
      <c r="N460">
        <v>67.15653926330701</v>
      </c>
      <c r="O460">
        <v>67.962417734466698</v>
      </c>
      <c r="P460">
        <v>71.156651367986626</v>
      </c>
      <c r="Q460">
        <v>76.849183477425555</v>
      </c>
      <c r="R460">
        <v>80</v>
      </c>
      <c r="S460" t="s">
        <v>5022</v>
      </c>
      <c r="T460" t="s">
        <v>5023</v>
      </c>
      <c r="U460" t="s">
        <v>5024</v>
      </c>
      <c r="V460" t="s">
        <v>1017</v>
      </c>
      <c r="W460">
        <v>331357816</v>
      </c>
      <c r="X460">
        <v>331968553.60000002</v>
      </c>
      <c r="Y460">
        <v>333028553.60000002</v>
      </c>
      <c r="Z460">
        <v>334128553.60000002</v>
      </c>
      <c r="AA460">
        <v>336128553.60000002</v>
      </c>
      <c r="AB460">
        <v>1112642209.0203829</v>
      </c>
      <c r="AC460">
        <v>16567890.800000001</v>
      </c>
      <c r="AD460">
        <v>1128069275.723495</v>
      </c>
      <c r="AE460">
        <v>16598427.68</v>
      </c>
      <c r="AF460">
        <v>1184859834.205003</v>
      </c>
      <c r="AG460">
        <v>16651427.68</v>
      </c>
      <c r="AH460">
        <v>1283875326.032661</v>
      </c>
      <c r="AI460">
        <v>16706427.68</v>
      </c>
      <c r="AJ460">
        <v>1344514214.4000001</v>
      </c>
      <c r="AK460">
        <v>16806427.68</v>
      </c>
    </row>
    <row r="461" spans="1:37" x14ac:dyDescent="0.35">
      <c r="A461" t="s">
        <v>5025</v>
      </c>
      <c r="B461">
        <v>8.65</v>
      </c>
      <c r="C461" t="s">
        <v>1748</v>
      </c>
      <c r="D461" t="s">
        <v>5026</v>
      </c>
      <c r="E461" t="s">
        <v>5027</v>
      </c>
      <c r="F461">
        <v>1E-3</v>
      </c>
      <c r="G461" t="s">
        <v>5028</v>
      </c>
      <c r="H461">
        <v>0.15</v>
      </c>
      <c r="I461">
        <v>0.01</v>
      </c>
      <c r="J461" t="s">
        <v>5029</v>
      </c>
      <c r="K461" t="s">
        <v>5030</v>
      </c>
      <c r="L461" t="s">
        <v>5031</v>
      </c>
      <c r="M461" t="s">
        <v>5032</v>
      </c>
      <c r="N461">
        <v>42.182701224764713</v>
      </c>
      <c r="O461">
        <v>42.688893639461888</v>
      </c>
      <c r="P461">
        <v>44.695271640516587</v>
      </c>
      <c r="Q461">
        <v>48.270893371757928</v>
      </c>
      <c r="R461">
        <v>50.25</v>
      </c>
      <c r="S461" t="s">
        <v>5033</v>
      </c>
      <c r="T461" t="s">
        <v>5034</v>
      </c>
      <c r="U461" t="s">
        <v>3550</v>
      </c>
      <c r="V461" t="s">
        <v>49</v>
      </c>
      <c r="W461">
        <v>338996155</v>
      </c>
      <c r="X461">
        <v>339500751</v>
      </c>
      <c r="Y461">
        <v>340560751</v>
      </c>
      <c r="Z461">
        <v>341660751</v>
      </c>
      <c r="AA461">
        <v>343660751</v>
      </c>
      <c r="AB461">
        <v>14299773.522709031</v>
      </c>
      <c r="AC461">
        <v>338996.15500000003</v>
      </c>
      <c r="AD461">
        <v>14492911.449956439</v>
      </c>
      <c r="AE461">
        <v>339500.75099999999</v>
      </c>
      <c r="AF461">
        <v>15221455.276043329</v>
      </c>
      <c r="AG461">
        <v>340560.75099999999</v>
      </c>
      <c r="AH461">
        <v>16492269.680835741</v>
      </c>
      <c r="AI461">
        <v>341660.75099999999</v>
      </c>
      <c r="AJ461">
        <v>17268952.737750001</v>
      </c>
      <c r="AK461">
        <v>343660.75099999999</v>
      </c>
    </row>
    <row r="462" spans="1:37" x14ac:dyDescent="0.35">
      <c r="A462" t="s">
        <v>5035</v>
      </c>
      <c r="B462">
        <v>12.99</v>
      </c>
      <c r="C462" t="s">
        <v>1614</v>
      </c>
      <c r="D462" t="s">
        <v>5036</v>
      </c>
      <c r="E462" t="s">
        <v>5037</v>
      </c>
      <c r="F462">
        <v>0.05</v>
      </c>
      <c r="G462" t="s">
        <v>5038</v>
      </c>
      <c r="H462">
        <v>5.0999999999999996</v>
      </c>
      <c r="I462">
        <v>0.01</v>
      </c>
      <c r="J462" t="s">
        <v>5039</v>
      </c>
      <c r="K462" t="s">
        <v>5040</v>
      </c>
      <c r="L462" t="s">
        <v>5041</v>
      </c>
      <c r="M462" t="s">
        <v>5042</v>
      </c>
      <c r="N462">
        <v>67.15653926330701</v>
      </c>
      <c r="O462">
        <v>67.962417734466698</v>
      </c>
      <c r="P462">
        <v>71.156651367986626</v>
      </c>
      <c r="Q462">
        <v>76.849183477425555</v>
      </c>
      <c r="R462">
        <v>80</v>
      </c>
      <c r="S462" t="s">
        <v>5043</v>
      </c>
      <c r="T462" t="s">
        <v>5044</v>
      </c>
      <c r="U462" t="s">
        <v>5045</v>
      </c>
      <c r="V462" t="s">
        <v>1017</v>
      </c>
      <c r="W462">
        <v>331357816</v>
      </c>
      <c r="X462">
        <v>331968553.60000002</v>
      </c>
      <c r="Y462">
        <v>333028553.60000002</v>
      </c>
      <c r="Z462">
        <v>334128553.60000002</v>
      </c>
      <c r="AA462">
        <v>336128553.60000002</v>
      </c>
      <c r="AB462">
        <v>1112642209.0203829</v>
      </c>
      <c r="AC462">
        <v>16567890.800000001</v>
      </c>
      <c r="AD462">
        <v>1128069275.723495</v>
      </c>
      <c r="AE462">
        <v>16598427.68</v>
      </c>
      <c r="AF462">
        <v>1184859834.205003</v>
      </c>
      <c r="AG462">
        <v>16651427.68</v>
      </c>
      <c r="AH462">
        <v>1283875326.032661</v>
      </c>
      <c r="AI462">
        <v>16706427.68</v>
      </c>
      <c r="AJ462">
        <v>1344514214.4000001</v>
      </c>
      <c r="AK462">
        <v>16806427.68</v>
      </c>
    </row>
    <row r="463" spans="1:37" x14ac:dyDescent="0.35">
      <c r="A463" t="s">
        <v>5046</v>
      </c>
      <c r="B463">
        <v>2.79</v>
      </c>
      <c r="C463" t="s">
        <v>83</v>
      </c>
      <c r="D463" t="s">
        <v>5047</v>
      </c>
      <c r="E463" t="s">
        <v>5048</v>
      </c>
      <c r="F463">
        <v>4.5999999999999999E-2</v>
      </c>
      <c r="G463" t="s">
        <v>5049</v>
      </c>
      <c r="H463">
        <v>0.2</v>
      </c>
      <c r="I463">
        <v>0.25</v>
      </c>
      <c r="J463" t="s">
        <v>5050</v>
      </c>
      <c r="K463" t="s">
        <v>5051</v>
      </c>
      <c r="L463" t="s">
        <v>5052</v>
      </c>
      <c r="M463" t="s">
        <v>250</v>
      </c>
      <c r="N463">
        <v>963.93530786561541</v>
      </c>
      <c r="O463">
        <v>975.50253156000281</v>
      </c>
      <c r="P463">
        <v>1021.351150543323</v>
      </c>
      <c r="Q463">
        <v>1103.059242586789</v>
      </c>
      <c r="R463">
        <v>1148.2846715328469</v>
      </c>
      <c r="S463" t="s">
        <v>5053</v>
      </c>
      <c r="T463" t="s">
        <v>5054</v>
      </c>
      <c r="U463" t="s">
        <v>4374</v>
      </c>
      <c r="V463" t="s">
        <v>94</v>
      </c>
      <c r="W463">
        <v>265472419.80000001</v>
      </c>
      <c r="X463">
        <v>266439117.80000001</v>
      </c>
      <c r="Y463">
        <v>267499117.80000001</v>
      </c>
      <c r="Z463">
        <v>268599117.80000001</v>
      </c>
      <c r="AA463">
        <v>270179117.80000001</v>
      </c>
      <c r="AB463">
        <v>11771318980.64817</v>
      </c>
      <c r="AC463">
        <v>12211731.310799999</v>
      </c>
      <c r="AD463">
        <v>11955953560.343639</v>
      </c>
      <c r="AE463">
        <v>12256199.4188</v>
      </c>
      <c r="AF463">
        <v>12567684459.780279</v>
      </c>
      <c r="AG463">
        <v>12304959.4188</v>
      </c>
      <c r="AH463">
        <v>13628914014.237591</v>
      </c>
      <c r="AI463">
        <v>12355559.4188</v>
      </c>
      <c r="AJ463">
        <v>14271156818.748341</v>
      </c>
      <c r="AK463">
        <v>12428239.4188</v>
      </c>
    </row>
    <row r="464" spans="1:37" x14ac:dyDescent="0.35">
      <c r="A464" t="s">
        <v>5055</v>
      </c>
      <c r="B464">
        <v>53.97</v>
      </c>
      <c r="C464" t="s">
        <v>5056</v>
      </c>
      <c r="D464" t="s">
        <v>5057</v>
      </c>
      <c r="E464" t="s">
        <v>5058</v>
      </c>
      <c r="F464">
        <v>4.0000000000000003E-5</v>
      </c>
      <c r="G464" t="s">
        <v>5059</v>
      </c>
      <c r="H464">
        <v>0.3</v>
      </c>
      <c r="I464">
        <v>0.01</v>
      </c>
      <c r="J464" t="s">
        <v>5060</v>
      </c>
      <c r="K464" t="s">
        <v>5061</v>
      </c>
      <c r="L464" t="s">
        <v>5062</v>
      </c>
      <c r="M464" t="s">
        <v>5063</v>
      </c>
      <c r="N464">
        <v>2420.4336026150231</v>
      </c>
      <c r="O464">
        <v>2449.4788058464028</v>
      </c>
      <c r="P464">
        <v>2564.6043097211841</v>
      </c>
      <c r="Q464">
        <v>2769.7726544988791</v>
      </c>
      <c r="R464">
        <v>2883.333333333333</v>
      </c>
      <c r="S464" t="s">
        <v>5064</v>
      </c>
      <c r="T464" t="s">
        <v>5065</v>
      </c>
      <c r="U464" t="s">
        <v>5066</v>
      </c>
      <c r="V464" t="s">
        <v>49</v>
      </c>
      <c r="W464">
        <v>338996155</v>
      </c>
      <c r="X464">
        <v>339500751</v>
      </c>
      <c r="Y464">
        <v>340560751</v>
      </c>
      <c r="Z464">
        <v>341660751</v>
      </c>
      <c r="AA464">
        <v>343660751</v>
      </c>
      <c r="AB464">
        <v>32820707.388771631</v>
      </c>
      <c r="AC464">
        <v>13559.8462</v>
      </c>
      <c r="AD464">
        <v>33263995.765737489</v>
      </c>
      <c r="AE464">
        <v>13580.03004</v>
      </c>
      <c r="AF464">
        <v>34936142.789459333</v>
      </c>
      <c r="AG464">
        <v>13622.430039999999</v>
      </c>
      <c r="AH464">
        <v>37852904.209414028</v>
      </c>
      <c r="AI464">
        <v>13666.430039999999</v>
      </c>
      <c r="AJ464">
        <v>39635539.948666662</v>
      </c>
      <c r="AK464">
        <v>13746.430039999999</v>
      </c>
    </row>
    <row r="465" spans="1:37" x14ac:dyDescent="0.35">
      <c r="A465" t="s">
        <v>5067</v>
      </c>
      <c r="B465">
        <v>33.979999999999997</v>
      </c>
      <c r="C465" t="s">
        <v>5068</v>
      </c>
      <c r="D465" t="s">
        <v>5069</v>
      </c>
      <c r="E465" t="s">
        <v>5070</v>
      </c>
      <c r="F465">
        <v>0.4</v>
      </c>
      <c r="G465" t="s">
        <v>5071</v>
      </c>
      <c r="H465">
        <v>3050.2</v>
      </c>
      <c r="I465">
        <v>0.3</v>
      </c>
      <c r="J465" t="s">
        <v>5072</v>
      </c>
      <c r="K465" t="s">
        <v>5073</v>
      </c>
      <c r="L465" t="s">
        <v>5074</v>
      </c>
      <c r="M465" t="s">
        <v>5075</v>
      </c>
      <c r="N465">
        <v>1301.1579482265729</v>
      </c>
      <c r="O465">
        <v>1316.7718436052919</v>
      </c>
      <c r="P465">
        <v>1378.6601202547411</v>
      </c>
      <c r="Q465">
        <v>1488.9529298751199</v>
      </c>
      <c r="R465">
        <v>1550</v>
      </c>
      <c r="S465" t="s">
        <v>5076</v>
      </c>
      <c r="T465" t="s">
        <v>5077</v>
      </c>
      <c r="U465" t="s">
        <v>5078</v>
      </c>
      <c r="V465" t="s">
        <v>49</v>
      </c>
      <c r="W465">
        <v>338996155</v>
      </c>
      <c r="X465">
        <v>339500751</v>
      </c>
      <c r="Y465">
        <v>340560751</v>
      </c>
      <c r="Z465">
        <v>341660751</v>
      </c>
      <c r="AA465">
        <v>343660751</v>
      </c>
      <c r="AB465">
        <v>176435016598.599</v>
      </c>
      <c r="AC465">
        <v>135598462</v>
      </c>
      <c r="AD465">
        <v>178818011919.8605</v>
      </c>
      <c r="AE465">
        <v>135800300.40000001</v>
      </c>
      <c r="AF465">
        <v>187807010371.08191</v>
      </c>
      <c r="AG465">
        <v>136224300.40000001</v>
      </c>
      <c r="AH465">
        <v>203486710489.9136</v>
      </c>
      <c r="AI465">
        <v>136664300.40000001</v>
      </c>
      <c r="AJ465">
        <v>213069665620</v>
      </c>
      <c r="AK465">
        <v>137464300.40000001</v>
      </c>
    </row>
    <row r="466" spans="1:37" x14ac:dyDescent="0.35">
      <c r="A466" t="s">
        <v>5079</v>
      </c>
      <c r="B466">
        <v>32.130000000000003</v>
      </c>
      <c r="C466" t="s">
        <v>5068</v>
      </c>
      <c r="D466" t="s">
        <v>5080</v>
      </c>
      <c r="E466" t="s">
        <v>5081</v>
      </c>
      <c r="F466">
        <v>0.4</v>
      </c>
      <c r="G466" t="s">
        <v>5082</v>
      </c>
      <c r="H466">
        <v>0.5</v>
      </c>
      <c r="I466">
        <v>20.5</v>
      </c>
      <c r="J466" t="s">
        <v>5083</v>
      </c>
      <c r="K466" t="s">
        <v>5084</v>
      </c>
      <c r="L466" t="s">
        <v>5085</v>
      </c>
      <c r="M466" t="s">
        <v>5086</v>
      </c>
      <c r="N466">
        <v>1301.1579482265729</v>
      </c>
      <c r="O466">
        <v>1316.7718436052919</v>
      </c>
      <c r="P466">
        <v>1378.6601202547411</v>
      </c>
      <c r="Q466">
        <v>1488.9529298751199</v>
      </c>
      <c r="R466">
        <v>1550</v>
      </c>
      <c r="S466" t="s">
        <v>5087</v>
      </c>
      <c r="T466" t="s">
        <v>5088</v>
      </c>
      <c r="U466" t="s">
        <v>5089</v>
      </c>
      <c r="V466" t="s">
        <v>49</v>
      </c>
      <c r="W466">
        <v>338996155</v>
      </c>
      <c r="X466">
        <v>339500751</v>
      </c>
      <c r="Y466">
        <v>340560751</v>
      </c>
      <c r="Z466">
        <v>341660751</v>
      </c>
      <c r="AA466">
        <v>343660751</v>
      </c>
      <c r="AB466">
        <v>176435016598.599</v>
      </c>
      <c r="AC466">
        <v>135598462</v>
      </c>
      <c r="AD466">
        <v>178818011919.8605</v>
      </c>
      <c r="AE466">
        <v>135800300.40000001</v>
      </c>
      <c r="AF466">
        <v>187807010371.08191</v>
      </c>
      <c r="AG466">
        <v>136224300.40000001</v>
      </c>
      <c r="AH466">
        <v>203486710489.9136</v>
      </c>
      <c r="AI466">
        <v>136664300.40000001</v>
      </c>
      <c r="AJ466">
        <v>213069665620</v>
      </c>
      <c r="AK466">
        <v>137464300.40000001</v>
      </c>
    </row>
    <row r="467" spans="1:37" x14ac:dyDescent="0.35">
      <c r="A467" t="s">
        <v>5090</v>
      </c>
      <c r="B467">
        <v>2.77</v>
      </c>
      <c r="C467" t="s">
        <v>83</v>
      </c>
      <c r="D467" t="s">
        <v>5091</v>
      </c>
      <c r="E467" t="s">
        <v>118</v>
      </c>
      <c r="F467">
        <v>4.5999999999999999E-2</v>
      </c>
      <c r="G467" t="s">
        <v>5092</v>
      </c>
      <c r="H467">
        <v>0.2</v>
      </c>
      <c r="I467">
        <v>0.05</v>
      </c>
      <c r="J467" t="s">
        <v>5093</v>
      </c>
      <c r="K467" t="s">
        <v>5094</v>
      </c>
      <c r="L467" t="s">
        <v>5095</v>
      </c>
      <c r="M467" t="s">
        <v>5096</v>
      </c>
      <c r="N467">
        <v>963.93530786561541</v>
      </c>
      <c r="O467">
        <v>975.50253156000281</v>
      </c>
      <c r="P467">
        <v>1021.351150543323</v>
      </c>
      <c r="Q467">
        <v>1103.059242586789</v>
      </c>
      <c r="R467">
        <v>1148.2846715328469</v>
      </c>
      <c r="S467" t="s">
        <v>5097</v>
      </c>
      <c r="T467" t="s">
        <v>5098</v>
      </c>
      <c r="U467" t="s">
        <v>126</v>
      </c>
      <c r="V467" t="s">
        <v>94</v>
      </c>
      <c r="W467">
        <v>265472419.80000001</v>
      </c>
      <c r="X467">
        <v>266439117.80000001</v>
      </c>
      <c r="Y467">
        <v>267499117.80000001</v>
      </c>
      <c r="Z467">
        <v>268599117.80000001</v>
      </c>
      <c r="AA467">
        <v>270179117.80000001</v>
      </c>
      <c r="AB467">
        <v>11771318980.64817</v>
      </c>
      <c r="AC467">
        <v>12211731.310799999</v>
      </c>
      <c r="AD467">
        <v>11955953560.343639</v>
      </c>
      <c r="AE467">
        <v>12256199.4188</v>
      </c>
      <c r="AF467">
        <v>12567684459.780279</v>
      </c>
      <c r="AG467">
        <v>12304959.4188</v>
      </c>
      <c r="AH467">
        <v>13628914014.237591</v>
      </c>
      <c r="AI467">
        <v>12355559.4188</v>
      </c>
      <c r="AJ467">
        <v>14271156818.748341</v>
      </c>
      <c r="AK467">
        <v>12428239.4188</v>
      </c>
    </row>
    <row r="468" spans="1:37" x14ac:dyDescent="0.35">
      <c r="A468" t="s">
        <v>5099</v>
      </c>
      <c r="B468">
        <v>2.39</v>
      </c>
      <c r="C468" t="s">
        <v>83</v>
      </c>
      <c r="D468" t="s">
        <v>5100</v>
      </c>
      <c r="E468" t="s">
        <v>5101</v>
      </c>
      <c r="F468">
        <v>4.5999999999999999E-2</v>
      </c>
      <c r="G468" t="s">
        <v>5102</v>
      </c>
      <c r="H468">
        <v>0.06</v>
      </c>
      <c r="I468">
        <v>0.04</v>
      </c>
      <c r="J468" t="s">
        <v>5103</v>
      </c>
      <c r="K468" t="s">
        <v>5104</v>
      </c>
      <c r="L468" t="s">
        <v>5105</v>
      </c>
      <c r="M468" t="s">
        <v>5106</v>
      </c>
      <c r="N468">
        <v>963.93530786561541</v>
      </c>
      <c r="O468">
        <v>975.50253156000281</v>
      </c>
      <c r="P468">
        <v>1021.351150543323</v>
      </c>
      <c r="Q468">
        <v>1103.059242586789</v>
      </c>
      <c r="R468">
        <v>1148.2846715328469</v>
      </c>
      <c r="S468" t="s">
        <v>5107</v>
      </c>
      <c r="T468" t="s">
        <v>5108</v>
      </c>
      <c r="U468" t="s">
        <v>5109</v>
      </c>
      <c r="V468" t="s">
        <v>94</v>
      </c>
      <c r="W468">
        <v>265472419.80000001</v>
      </c>
      <c r="X468">
        <v>266439117.80000001</v>
      </c>
      <c r="Y468">
        <v>267499117.80000001</v>
      </c>
      <c r="Z468">
        <v>268599117.80000001</v>
      </c>
      <c r="AA468">
        <v>270179117.80000001</v>
      </c>
      <c r="AB468">
        <v>11771318980.64817</v>
      </c>
      <c r="AC468">
        <v>12211731.310799999</v>
      </c>
      <c r="AD468">
        <v>11955953560.343639</v>
      </c>
      <c r="AE468">
        <v>12256199.4188</v>
      </c>
      <c r="AF468">
        <v>12567684459.780279</v>
      </c>
      <c r="AG468">
        <v>12304959.4188</v>
      </c>
      <c r="AH468">
        <v>13628914014.237591</v>
      </c>
      <c r="AI468">
        <v>12355559.4188</v>
      </c>
      <c r="AJ468">
        <v>14271156818.748341</v>
      </c>
      <c r="AK468">
        <v>12428239.4188</v>
      </c>
    </row>
    <row r="469" spans="1:37" x14ac:dyDescent="0.35">
      <c r="A469" t="s">
        <v>5110</v>
      </c>
      <c r="B469">
        <v>2.44</v>
      </c>
      <c r="C469" t="s">
        <v>83</v>
      </c>
      <c r="D469" t="s">
        <v>5111</v>
      </c>
      <c r="E469" t="s">
        <v>5112</v>
      </c>
      <c r="F469">
        <v>4.5999999999999999E-2</v>
      </c>
      <c r="G469" t="s">
        <v>5113</v>
      </c>
      <c r="H469">
        <v>0.1</v>
      </c>
      <c r="I469">
        <v>0.01</v>
      </c>
      <c r="J469" t="s">
        <v>5114</v>
      </c>
      <c r="K469" t="s">
        <v>5115</v>
      </c>
      <c r="L469" t="s">
        <v>5116</v>
      </c>
      <c r="M469" t="s">
        <v>5117</v>
      </c>
      <c r="N469">
        <v>963.93530786561541</v>
      </c>
      <c r="O469">
        <v>975.50253156000281</v>
      </c>
      <c r="P469">
        <v>1021.351150543323</v>
      </c>
      <c r="Q469">
        <v>1103.059242586789</v>
      </c>
      <c r="R469">
        <v>1148.2846715328469</v>
      </c>
      <c r="S469" t="s">
        <v>5118</v>
      </c>
      <c r="T469" t="s">
        <v>5119</v>
      </c>
      <c r="U469" t="s">
        <v>797</v>
      </c>
      <c r="V469" t="s">
        <v>94</v>
      </c>
      <c r="W469">
        <v>265472419.80000001</v>
      </c>
      <c r="X469">
        <v>266439117.80000001</v>
      </c>
      <c r="Y469">
        <v>267499117.80000001</v>
      </c>
      <c r="Z469">
        <v>268599117.80000001</v>
      </c>
      <c r="AA469">
        <v>270179117.80000001</v>
      </c>
      <c r="AB469">
        <v>11771318980.64817</v>
      </c>
      <c r="AC469">
        <v>12211731.310799999</v>
      </c>
      <c r="AD469">
        <v>11955953560.343639</v>
      </c>
      <c r="AE469">
        <v>12256199.4188</v>
      </c>
      <c r="AF469">
        <v>12567684459.780279</v>
      </c>
      <c r="AG469">
        <v>12304959.4188</v>
      </c>
      <c r="AH469">
        <v>13628914014.237591</v>
      </c>
      <c r="AI469">
        <v>12355559.4188</v>
      </c>
      <c r="AJ469">
        <v>14271156818.748341</v>
      </c>
      <c r="AK469">
        <v>12428239.4188</v>
      </c>
    </row>
    <row r="470" spans="1:37" x14ac:dyDescent="0.35">
      <c r="A470" t="s">
        <v>5120</v>
      </c>
      <c r="B470">
        <v>2.52</v>
      </c>
      <c r="C470" t="s">
        <v>83</v>
      </c>
      <c r="D470" t="s">
        <v>5121</v>
      </c>
      <c r="E470" t="s">
        <v>5122</v>
      </c>
      <c r="F470">
        <v>4.5999999999999999E-2</v>
      </c>
      <c r="G470" t="s">
        <v>5123</v>
      </c>
      <c r="H470">
        <v>0.1</v>
      </c>
      <c r="I470">
        <v>0.02</v>
      </c>
      <c r="J470" t="s">
        <v>5124</v>
      </c>
      <c r="K470" t="s">
        <v>5125</v>
      </c>
      <c r="L470" t="s">
        <v>5126</v>
      </c>
      <c r="M470" t="s">
        <v>5127</v>
      </c>
      <c r="N470">
        <v>963.93530786561541</v>
      </c>
      <c r="O470">
        <v>975.50253156000281</v>
      </c>
      <c r="P470">
        <v>1021.351150543323</v>
      </c>
      <c r="Q470">
        <v>1103.059242586789</v>
      </c>
      <c r="R470">
        <v>1148.2846715328469</v>
      </c>
      <c r="S470" t="s">
        <v>5128</v>
      </c>
      <c r="T470" t="s">
        <v>5129</v>
      </c>
      <c r="U470" t="s">
        <v>126</v>
      </c>
      <c r="V470" t="s">
        <v>94</v>
      </c>
      <c r="W470">
        <v>265472419.80000001</v>
      </c>
      <c r="X470">
        <v>266439117.80000001</v>
      </c>
      <c r="Y470">
        <v>267499117.80000001</v>
      </c>
      <c r="Z470">
        <v>268599117.80000001</v>
      </c>
      <c r="AA470">
        <v>270179117.80000001</v>
      </c>
      <c r="AB470">
        <v>11771318980.64817</v>
      </c>
      <c r="AC470">
        <v>12211731.310799999</v>
      </c>
      <c r="AD470">
        <v>11955953560.343639</v>
      </c>
      <c r="AE470">
        <v>12256199.4188</v>
      </c>
      <c r="AF470">
        <v>12567684459.780279</v>
      </c>
      <c r="AG470">
        <v>12304959.4188</v>
      </c>
      <c r="AH470">
        <v>13628914014.237591</v>
      </c>
      <c r="AI470">
        <v>12355559.4188</v>
      </c>
      <c r="AJ470">
        <v>14271156818.748341</v>
      </c>
      <c r="AK470">
        <v>12428239.4188</v>
      </c>
    </row>
    <row r="471" spans="1:37" x14ac:dyDescent="0.35">
      <c r="A471" t="s">
        <v>5130</v>
      </c>
      <c r="B471">
        <v>2.71</v>
      </c>
      <c r="C471" t="s">
        <v>83</v>
      </c>
      <c r="D471" t="s">
        <v>5131</v>
      </c>
      <c r="E471" t="s">
        <v>5132</v>
      </c>
      <c r="F471">
        <v>4.5999999999999999E-2</v>
      </c>
      <c r="G471" t="s">
        <v>5133</v>
      </c>
      <c r="H471">
        <v>0.2</v>
      </c>
      <c r="I471">
        <v>0.12</v>
      </c>
      <c r="J471" t="s">
        <v>5134</v>
      </c>
      <c r="K471" t="s">
        <v>5135</v>
      </c>
      <c r="L471" t="s">
        <v>5136</v>
      </c>
      <c r="M471" t="s">
        <v>5137</v>
      </c>
      <c r="N471">
        <v>963.93530786561541</v>
      </c>
      <c r="O471">
        <v>975.50253156000281</v>
      </c>
      <c r="P471">
        <v>1021.351150543323</v>
      </c>
      <c r="Q471">
        <v>1103.059242586789</v>
      </c>
      <c r="R471">
        <v>1148.2846715328469</v>
      </c>
      <c r="S471" t="s">
        <v>5138</v>
      </c>
      <c r="T471" t="s">
        <v>5139</v>
      </c>
      <c r="U471" t="s">
        <v>5140</v>
      </c>
      <c r="V471" t="s">
        <v>94</v>
      </c>
      <c r="W471">
        <v>265472419.80000001</v>
      </c>
      <c r="X471">
        <v>266439117.80000001</v>
      </c>
      <c r="Y471">
        <v>267499117.80000001</v>
      </c>
      <c r="Z471">
        <v>268599117.80000001</v>
      </c>
      <c r="AA471">
        <v>270179117.80000001</v>
      </c>
      <c r="AB471">
        <v>11771318980.64817</v>
      </c>
      <c r="AC471">
        <v>12211731.310799999</v>
      </c>
      <c r="AD471">
        <v>11955953560.343639</v>
      </c>
      <c r="AE471">
        <v>12256199.4188</v>
      </c>
      <c r="AF471">
        <v>12567684459.780279</v>
      </c>
      <c r="AG471">
        <v>12304959.4188</v>
      </c>
      <c r="AH471">
        <v>13628914014.237591</v>
      </c>
      <c r="AI471">
        <v>12355559.4188</v>
      </c>
      <c r="AJ471">
        <v>14271156818.748341</v>
      </c>
      <c r="AK471">
        <v>12428239.4188</v>
      </c>
    </row>
    <row r="472" spans="1:37" x14ac:dyDescent="0.35">
      <c r="A472" t="s">
        <v>5141</v>
      </c>
      <c r="B472">
        <v>2.79</v>
      </c>
      <c r="C472" t="s">
        <v>83</v>
      </c>
      <c r="D472" t="s">
        <v>2249</v>
      </c>
      <c r="E472" t="s">
        <v>2095</v>
      </c>
      <c r="F472">
        <v>4.5999999999999999E-2</v>
      </c>
      <c r="G472" t="s">
        <v>5142</v>
      </c>
      <c r="H472">
        <v>0.3</v>
      </c>
      <c r="J472" t="s">
        <v>5143</v>
      </c>
      <c r="K472" t="s">
        <v>5144</v>
      </c>
      <c r="L472" t="s">
        <v>5145</v>
      </c>
      <c r="M472" t="s">
        <v>5146</v>
      </c>
      <c r="N472">
        <v>963.93530786561541</v>
      </c>
      <c r="O472">
        <v>975.50253156000281</v>
      </c>
      <c r="P472">
        <v>1021.351150543323</v>
      </c>
      <c r="Q472">
        <v>1103.059242586789</v>
      </c>
      <c r="R472">
        <v>1148.2846715328469</v>
      </c>
      <c r="S472" t="s">
        <v>5147</v>
      </c>
      <c r="T472" t="s">
        <v>5148</v>
      </c>
      <c r="U472" t="s">
        <v>115</v>
      </c>
      <c r="V472" t="s">
        <v>94</v>
      </c>
      <c r="W472">
        <v>265472419.80000001</v>
      </c>
      <c r="X472">
        <v>266439117.80000001</v>
      </c>
      <c r="Y472">
        <v>267499117.80000001</v>
      </c>
      <c r="Z472">
        <v>268599117.80000001</v>
      </c>
      <c r="AA472">
        <v>270179117.80000001</v>
      </c>
      <c r="AB472">
        <v>11771318980.64817</v>
      </c>
      <c r="AC472">
        <v>12211731.310799999</v>
      </c>
      <c r="AD472">
        <v>11955953560.343639</v>
      </c>
      <c r="AE472">
        <v>12256199.4188</v>
      </c>
      <c r="AF472">
        <v>12567684459.780279</v>
      </c>
      <c r="AG472">
        <v>12304959.4188</v>
      </c>
      <c r="AH472">
        <v>13628914014.237591</v>
      </c>
      <c r="AI472">
        <v>12355559.4188</v>
      </c>
      <c r="AJ472">
        <v>14271156818.748341</v>
      </c>
      <c r="AK472">
        <v>12428239.4188</v>
      </c>
    </row>
    <row r="473" spans="1:37" x14ac:dyDescent="0.35">
      <c r="A473" t="s">
        <v>5149</v>
      </c>
      <c r="B473">
        <v>2.79</v>
      </c>
      <c r="C473" t="s">
        <v>83</v>
      </c>
      <c r="D473" t="s">
        <v>5150</v>
      </c>
      <c r="E473" t="s">
        <v>5151</v>
      </c>
      <c r="F473">
        <v>4.5999999999999999E-2</v>
      </c>
      <c r="G473" t="s">
        <v>5152</v>
      </c>
      <c r="H473">
        <v>0.15</v>
      </c>
      <c r="I473">
        <v>0.13</v>
      </c>
      <c r="J473" t="s">
        <v>5153</v>
      </c>
      <c r="K473" t="s">
        <v>5154</v>
      </c>
      <c r="L473" t="s">
        <v>5155</v>
      </c>
      <c r="M473" t="s">
        <v>5156</v>
      </c>
      <c r="N473">
        <v>963.93530786561541</v>
      </c>
      <c r="O473">
        <v>975.50253156000281</v>
      </c>
      <c r="P473">
        <v>1021.351150543323</v>
      </c>
      <c r="Q473">
        <v>1103.059242586789</v>
      </c>
      <c r="R473">
        <v>1148.2846715328469</v>
      </c>
      <c r="S473" t="s">
        <v>5157</v>
      </c>
      <c r="T473" t="s">
        <v>5158</v>
      </c>
      <c r="U473" t="s">
        <v>680</v>
      </c>
      <c r="V473" t="s">
        <v>94</v>
      </c>
      <c r="W473">
        <v>265472419.80000001</v>
      </c>
      <c r="X473">
        <v>266439117.80000001</v>
      </c>
      <c r="Y473">
        <v>267499117.80000001</v>
      </c>
      <c r="Z473">
        <v>268599117.80000001</v>
      </c>
      <c r="AA473">
        <v>270179117.80000001</v>
      </c>
      <c r="AB473">
        <v>11771318980.64817</v>
      </c>
      <c r="AC473">
        <v>12211731.310799999</v>
      </c>
      <c r="AD473">
        <v>11955953560.343639</v>
      </c>
      <c r="AE473">
        <v>12256199.4188</v>
      </c>
      <c r="AF473">
        <v>12567684459.780279</v>
      </c>
      <c r="AG473">
        <v>12304959.4188</v>
      </c>
      <c r="AH473">
        <v>13628914014.237591</v>
      </c>
      <c r="AI473">
        <v>12355559.4188</v>
      </c>
      <c r="AJ473">
        <v>14271156818.748341</v>
      </c>
      <c r="AK473">
        <v>12428239.4188</v>
      </c>
    </row>
    <row r="474" spans="1:37" x14ac:dyDescent="0.35">
      <c r="A474" t="s">
        <v>5159</v>
      </c>
      <c r="B474">
        <v>2.79</v>
      </c>
      <c r="C474" t="s">
        <v>83</v>
      </c>
      <c r="D474" t="s">
        <v>5160</v>
      </c>
      <c r="E474" t="s">
        <v>5132</v>
      </c>
      <c r="F474">
        <v>4.5999999999999999E-2</v>
      </c>
      <c r="G474" t="s">
        <v>5161</v>
      </c>
      <c r="H474">
        <v>0.2</v>
      </c>
      <c r="I474">
        <v>0.02</v>
      </c>
      <c r="J474" t="s">
        <v>5162</v>
      </c>
      <c r="K474" t="s">
        <v>5163</v>
      </c>
      <c r="L474" t="s">
        <v>5164</v>
      </c>
      <c r="M474" t="s">
        <v>5165</v>
      </c>
      <c r="N474">
        <v>963.93530786561541</v>
      </c>
      <c r="O474">
        <v>975.50253156000281</v>
      </c>
      <c r="P474">
        <v>1021.351150543323</v>
      </c>
      <c r="Q474">
        <v>1103.059242586789</v>
      </c>
      <c r="R474">
        <v>1148.2846715328469</v>
      </c>
      <c r="S474" t="s">
        <v>5166</v>
      </c>
      <c r="T474" t="s">
        <v>5167</v>
      </c>
      <c r="U474" t="s">
        <v>93</v>
      </c>
      <c r="V474" t="s">
        <v>94</v>
      </c>
      <c r="W474">
        <v>265472419.80000001</v>
      </c>
      <c r="X474">
        <v>266439117.80000001</v>
      </c>
      <c r="Y474">
        <v>267499117.80000001</v>
      </c>
      <c r="Z474">
        <v>268599117.80000001</v>
      </c>
      <c r="AA474">
        <v>270179117.80000001</v>
      </c>
      <c r="AB474">
        <v>11771318980.64817</v>
      </c>
      <c r="AC474">
        <v>12211731.310799999</v>
      </c>
      <c r="AD474">
        <v>11955953560.343639</v>
      </c>
      <c r="AE474">
        <v>12256199.4188</v>
      </c>
      <c r="AF474">
        <v>12567684459.780279</v>
      </c>
      <c r="AG474">
        <v>12304959.4188</v>
      </c>
      <c r="AH474">
        <v>13628914014.237591</v>
      </c>
      <c r="AI474">
        <v>12355559.4188</v>
      </c>
      <c r="AJ474">
        <v>14271156818.748341</v>
      </c>
      <c r="AK474">
        <v>12428239.4188</v>
      </c>
    </row>
    <row r="475" spans="1:37" x14ac:dyDescent="0.35">
      <c r="A475" t="s">
        <v>5168</v>
      </c>
      <c r="B475">
        <v>2.79</v>
      </c>
      <c r="C475" t="s">
        <v>83</v>
      </c>
      <c r="D475" t="s">
        <v>788</v>
      </c>
      <c r="E475" t="s">
        <v>5169</v>
      </c>
      <c r="F475">
        <v>4.5999999999999999E-2</v>
      </c>
      <c r="G475" t="s">
        <v>5170</v>
      </c>
      <c r="H475">
        <v>0.1</v>
      </c>
      <c r="I475">
        <v>0.01</v>
      </c>
      <c r="J475" t="s">
        <v>5171</v>
      </c>
      <c r="K475" t="s">
        <v>5172</v>
      </c>
      <c r="L475" t="s">
        <v>5173</v>
      </c>
      <c r="M475" t="s">
        <v>5174</v>
      </c>
      <c r="N475">
        <v>963.93530786561541</v>
      </c>
      <c r="O475">
        <v>975.50253156000281</v>
      </c>
      <c r="P475">
        <v>1021.351150543323</v>
      </c>
      <c r="Q475">
        <v>1103.059242586789</v>
      </c>
      <c r="R475">
        <v>1148.2846715328469</v>
      </c>
      <c r="S475" t="s">
        <v>5175</v>
      </c>
      <c r="T475" t="s">
        <v>5176</v>
      </c>
      <c r="U475" t="s">
        <v>126</v>
      </c>
      <c r="V475" t="s">
        <v>94</v>
      </c>
      <c r="W475">
        <v>265472419.80000001</v>
      </c>
      <c r="X475">
        <v>266439117.80000001</v>
      </c>
      <c r="Y475">
        <v>267499117.80000001</v>
      </c>
      <c r="Z475">
        <v>268599117.80000001</v>
      </c>
      <c r="AA475">
        <v>270179117.80000001</v>
      </c>
      <c r="AB475">
        <v>11771318980.64817</v>
      </c>
      <c r="AC475">
        <v>12211731.310799999</v>
      </c>
      <c r="AD475">
        <v>11955953560.343639</v>
      </c>
      <c r="AE475">
        <v>12256199.4188</v>
      </c>
      <c r="AF475">
        <v>12567684459.780279</v>
      </c>
      <c r="AG475">
        <v>12304959.4188</v>
      </c>
      <c r="AH475">
        <v>13628914014.237591</v>
      </c>
      <c r="AI475">
        <v>12355559.4188</v>
      </c>
      <c r="AJ475">
        <v>14271156818.748341</v>
      </c>
      <c r="AK475">
        <v>12428239.4188</v>
      </c>
    </row>
    <row r="476" spans="1:37" x14ac:dyDescent="0.35">
      <c r="A476" t="s">
        <v>5177</v>
      </c>
      <c r="B476">
        <v>2.77</v>
      </c>
      <c r="C476" t="s">
        <v>83</v>
      </c>
      <c r="D476" t="s">
        <v>5178</v>
      </c>
      <c r="E476" t="s">
        <v>5179</v>
      </c>
      <c r="F476">
        <v>4.5999999999999999E-2</v>
      </c>
      <c r="G476" t="s">
        <v>5180</v>
      </c>
      <c r="H476">
        <v>0.4</v>
      </c>
      <c r="I476">
        <v>0.2</v>
      </c>
      <c r="J476" t="s">
        <v>5181</v>
      </c>
      <c r="K476" t="s">
        <v>5182</v>
      </c>
      <c r="L476" t="s">
        <v>5183</v>
      </c>
      <c r="M476" t="s">
        <v>5184</v>
      </c>
      <c r="N476">
        <v>963.93530786561541</v>
      </c>
      <c r="O476">
        <v>975.50253156000281</v>
      </c>
      <c r="P476">
        <v>1021.351150543323</v>
      </c>
      <c r="Q476">
        <v>1103.059242586789</v>
      </c>
      <c r="R476">
        <v>1148.2846715328469</v>
      </c>
      <c r="S476" t="s">
        <v>5185</v>
      </c>
      <c r="T476" t="s">
        <v>5186</v>
      </c>
      <c r="U476" t="s">
        <v>5187</v>
      </c>
      <c r="V476" t="s">
        <v>94</v>
      </c>
      <c r="W476">
        <v>265472419.80000001</v>
      </c>
      <c r="X476">
        <v>266439117.80000001</v>
      </c>
      <c r="Y476">
        <v>267499117.80000001</v>
      </c>
      <c r="Z476">
        <v>268599117.80000001</v>
      </c>
      <c r="AA476">
        <v>270179117.80000001</v>
      </c>
      <c r="AB476">
        <v>11771318980.64817</v>
      </c>
      <c r="AC476">
        <v>12211731.310799999</v>
      </c>
      <c r="AD476">
        <v>11955953560.343639</v>
      </c>
      <c r="AE476">
        <v>12256199.4188</v>
      </c>
      <c r="AF476">
        <v>12567684459.780279</v>
      </c>
      <c r="AG476">
        <v>12304959.4188</v>
      </c>
      <c r="AH476">
        <v>13628914014.237591</v>
      </c>
      <c r="AI476">
        <v>12355559.4188</v>
      </c>
      <c r="AJ476">
        <v>14271156818.748341</v>
      </c>
      <c r="AK476">
        <v>12428239.4188</v>
      </c>
    </row>
    <row r="477" spans="1:37" x14ac:dyDescent="0.35">
      <c r="A477" t="s">
        <v>5188</v>
      </c>
      <c r="B477">
        <v>18.25</v>
      </c>
      <c r="C477" t="s">
        <v>1019</v>
      </c>
      <c r="D477" t="s">
        <v>5189</v>
      </c>
      <c r="E477" t="s">
        <v>5190</v>
      </c>
      <c r="F477">
        <v>0.28999999999999998</v>
      </c>
      <c r="G477" t="s">
        <v>5191</v>
      </c>
      <c r="H477">
        <v>0.1</v>
      </c>
      <c r="I477">
        <v>0</v>
      </c>
      <c r="J477" t="s">
        <v>5192</v>
      </c>
      <c r="K477" t="s">
        <v>5193</v>
      </c>
      <c r="L477" t="s">
        <v>5194</v>
      </c>
      <c r="M477" t="s">
        <v>5195</v>
      </c>
      <c r="N477">
        <v>349.3072771403954</v>
      </c>
      <c r="O477">
        <v>353.49896446608022</v>
      </c>
      <c r="P477">
        <v>370.11341579598587</v>
      </c>
      <c r="Q477">
        <v>399.72248905966478</v>
      </c>
      <c r="R477">
        <v>416.11111111111109</v>
      </c>
      <c r="S477" t="s">
        <v>5196</v>
      </c>
      <c r="T477" t="s">
        <v>1157</v>
      </c>
      <c r="U477" t="s">
        <v>5197</v>
      </c>
      <c r="V477" t="s">
        <v>1029</v>
      </c>
      <c r="W477">
        <v>139921842</v>
      </c>
      <c r="X477">
        <v>139603232</v>
      </c>
      <c r="Y477">
        <v>140663232</v>
      </c>
      <c r="Z477">
        <v>141763232</v>
      </c>
      <c r="AA477">
        <v>143763232</v>
      </c>
      <c r="AB477">
        <v>14173958116.0317</v>
      </c>
      <c r="AC477">
        <v>40577334.18</v>
      </c>
      <c r="AD477">
        <v>14311383404.954201</v>
      </c>
      <c r="AE477">
        <v>40484937.279999986</v>
      </c>
      <c r="AF477">
        <v>15097791289.002741</v>
      </c>
      <c r="AG477">
        <v>40792337.279999986</v>
      </c>
      <c r="AH477">
        <v>16433126066.13299</v>
      </c>
      <c r="AI477">
        <v>41111337.279999986</v>
      </c>
      <c r="AJ477">
        <v>17348228679.288891</v>
      </c>
      <c r="AK477">
        <v>41691337.279999986</v>
      </c>
    </row>
    <row r="478" spans="1:37" x14ac:dyDescent="0.35">
      <c r="A478" t="s">
        <v>5198</v>
      </c>
      <c r="B478">
        <v>11.35</v>
      </c>
      <c r="C478" t="s">
        <v>38</v>
      </c>
      <c r="D478" t="s">
        <v>5199</v>
      </c>
      <c r="E478" t="s">
        <v>5200</v>
      </c>
      <c r="F478">
        <v>1.0000000000000001E-5</v>
      </c>
      <c r="G478" t="s">
        <v>5201</v>
      </c>
      <c r="H478">
        <v>0.2</v>
      </c>
      <c r="I478">
        <v>20.3</v>
      </c>
      <c r="J478" t="s">
        <v>5202</v>
      </c>
      <c r="K478" t="s">
        <v>5203</v>
      </c>
      <c r="L478" t="s">
        <v>5204</v>
      </c>
      <c r="M478" t="s">
        <v>5205</v>
      </c>
      <c r="N478">
        <v>105785.82010430199</v>
      </c>
      <c r="O478">
        <v>107055.2499455536</v>
      </c>
      <c r="P478">
        <v>112086.8466929946</v>
      </c>
      <c r="Q478">
        <v>121053.79442843419</v>
      </c>
      <c r="R478">
        <v>126017</v>
      </c>
      <c r="S478" t="s">
        <v>5206</v>
      </c>
      <c r="T478" t="s">
        <v>5207</v>
      </c>
      <c r="U478" t="s">
        <v>5208</v>
      </c>
      <c r="V478" t="s">
        <v>49</v>
      </c>
      <c r="W478">
        <v>338996155</v>
      </c>
      <c r="X478">
        <v>339500751</v>
      </c>
      <c r="Y478">
        <v>340560751</v>
      </c>
      <c r="Z478">
        <v>341660751</v>
      </c>
      <c r="AA478">
        <v>343660751</v>
      </c>
      <c r="AB478">
        <v>358609862.68880081</v>
      </c>
      <c r="AC478">
        <v>3389.96155</v>
      </c>
      <c r="AD478">
        <v>363453377.55008161</v>
      </c>
      <c r="AE478">
        <v>3395.0075099999999</v>
      </c>
      <c r="AF478">
        <v>381723806.86988121</v>
      </c>
      <c r="AG478">
        <v>3405.6075099999998</v>
      </c>
      <c r="AH478">
        <v>413593303.15818453</v>
      </c>
      <c r="AI478">
        <v>3416.6075099999998</v>
      </c>
      <c r="AJ478">
        <v>433070968.58767003</v>
      </c>
      <c r="AK478">
        <v>3436.6075099999998</v>
      </c>
    </row>
    <row r="479" spans="1:37" x14ac:dyDescent="0.35">
      <c r="A479" t="s">
        <v>5209</v>
      </c>
      <c r="B479">
        <v>5.01</v>
      </c>
      <c r="C479" t="s">
        <v>487</v>
      </c>
      <c r="D479" t="s">
        <v>5210</v>
      </c>
      <c r="E479" t="s">
        <v>5211</v>
      </c>
      <c r="F479">
        <v>2.8000000000000001E-2</v>
      </c>
      <c r="G479" t="s">
        <v>5212</v>
      </c>
      <c r="H479">
        <v>0.4</v>
      </c>
      <c r="I479">
        <v>0.15</v>
      </c>
      <c r="J479" t="s">
        <v>5213</v>
      </c>
      <c r="K479" t="s">
        <v>5214</v>
      </c>
      <c r="L479" t="s">
        <v>5215</v>
      </c>
      <c r="M479" t="s">
        <v>5216</v>
      </c>
      <c r="N479">
        <v>4761.448013576749</v>
      </c>
      <c r="O479">
        <v>4818.5853897396701</v>
      </c>
      <c r="P479">
        <v>5045.0589030574338</v>
      </c>
      <c r="Q479">
        <v>5448.663615302029</v>
      </c>
      <c r="R479">
        <v>5672.0588235294117</v>
      </c>
      <c r="S479" t="s">
        <v>5217</v>
      </c>
      <c r="T479" t="s">
        <v>5218</v>
      </c>
      <c r="U479" t="s">
        <v>5219</v>
      </c>
      <c r="V479" t="s">
        <v>94</v>
      </c>
      <c r="W479">
        <v>265472419.80000001</v>
      </c>
      <c r="X479">
        <v>266439117.80000001</v>
      </c>
      <c r="Y479">
        <v>267499117.80000001</v>
      </c>
      <c r="Z479">
        <v>268599117.80000001</v>
      </c>
      <c r="AA479">
        <v>270179117.80000001</v>
      </c>
      <c r="AB479">
        <v>35392927525.651443</v>
      </c>
      <c r="AC479">
        <v>7433227.7544000009</v>
      </c>
      <c r="AD479">
        <v>35948069928.013786</v>
      </c>
      <c r="AE479">
        <v>7460295.2984000007</v>
      </c>
      <c r="AF479">
        <v>37787366562.873177</v>
      </c>
      <c r="AG479">
        <v>7489975.2984000007</v>
      </c>
      <c r="AH479">
        <v>40978174727.254341</v>
      </c>
      <c r="AI479">
        <v>7520775.2984000007</v>
      </c>
      <c r="AJ479">
        <v>42909211773.424713</v>
      </c>
      <c r="AK479">
        <v>7565015.2984000007</v>
      </c>
    </row>
    <row r="480" spans="1:37" x14ac:dyDescent="0.35">
      <c r="A480" t="s">
        <v>5220</v>
      </c>
      <c r="B480">
        <v>16.68</v>
      </c>
      <c r="C480" t="s">
        <v>487</v>
      </c>
      <c r="D480" t="s">
        <v>5221</v>
      </c>
      <c r="E480" t="s">
        <v>5222</v>
      </c>
      <c r="F480">
        <v>2.8000000000000001E-2</v>
      </c>
      <c r="G480" t="s">
        <v>5223</v>
      </c>
      <c r="H480">
        <v>0.3</v>
      </c>
      <c r="I480">
        <v>0.15</v>
      </c>
      <c r="J480" t="s">
        <v>5224</v>
      </c>
      <c r="K480" t="s">
        <v>5225</v>
      </c>
      <c r="L480" t="s">
        <v>5226</v>
      </c>
      <c r="M480" t="s">
        <v>5227</v>
      </c>
      <c r="N480">
        <v>4761.448013576749</v>
      </c>
      <c r="O480">
        <v>4818.5853897396701</v>
      </c>
      <c r="P480">
        <v>5045.0589030574338</v>
      </c>
      <c r="Q480">
        <v>5448.663615302029</v>
      </c>
      <c r="R480">
        <v>5672.0588235294117</v>
      </c>
      <c r="S480" t="s">
        <v>5228</v>
      </c>
      <c r="T480" t="s">
        <v>5229</v>
      </c>
      <c r="U480" t="s">
        <v>5230</v>
      </c>
      <c r="V480" t="s">
        <v>94</v>
      </c>
      <c r="W480">
        <v>265472419.80000001</v>
      </c>
      <c r="X480">
        <v>266439117.80000001</v>
      </c>
      <c r="Y480">
        <v>267499117.80000001</v>
      </c>
      <c r="Z480">
        <v>268599117.80000001</v>
      </c>
      <c r="AA480">
        <v>270179117.80000001</v>
      </c>
      <c r="AB480">
        <v>35392927525.651443</v>
      </c>
      <c r="AC480">
        <v>7433227.7544000009</v>
      </c>
      <c r="AD480">
        <v>35948069928.013786</v>
      </c>
      <c r="AE480">
        <v>7460295.2984000007</v>
      </c>
      <c r="AF480">
        <v>37787366562.873177</v>
      </c>
      <c r="AG480">
        <v>7489975.2984000007</v>
      </c>
      <c r="AH480">
        <v>40978174727.254341</v>
      </c>
      <c r="AI480">
        <v>7520775.2984000007</v>
      </c>
      <c r="AJ480">
        <v>42909211773.424713</v>
      </c>
      <c r="AK480">
        <v>7565015.2984000007</v>
      </c>
    </row>
    <row r="481" spans="1:37" x14ac:dyDescent="0.35">
      <c r="A481" t="s">
        <v>5231</v>
      </c>
      <c r="B481">
        <v>3293.19</v>
      </c>
      <c r="C481" t="s">
        <v>372</v>
      </c>
      <c r="D481" t="s">
        <v>5232</v>
      </c>
      <c r="E481" t="s">
        <v>5233</v>
      </c>
      <c r="F481">
        <v>5.0000000000000001E-4</v>
      </c>
      <c r="G481" t="s">
        <v>5234</v>
      </c>
      <c r="H481">
        <v>30.5</v>
      </c>
      <c r="I481">
        <v>0.12</v>
      </c>
      <c r="J481" t="s">
        <v>5235</v>
      </c>
      <c r="K481" t="s">
        <v>5236</v>
      </c>
      <c r="L481" t="s">
        <v>5237</v>
      </c>
      <c r="M481" t="s">
        <v>5238</v>
      </c>
      <c r="N481">
        <v>6885.5439810146627</v>
      </c>
      <c r="O481">
        <v>6968.1705087868386</v>
      </c>
      <c r="P481">
        <v>7295.6745226998191</v>
      </c>
      <c r="Q481">
        <v>7879.328484515805</v>
      </c>
      <c r="R481">
        <v>8202.3809523809523</v>
      </c>
      <c r="S481" t="s">
        <v>5239</v>
      </c>
      <c r="T481" t="s">
        <v>5240</v>
      </c>
      <c r="U481" t="s">
        <v>5241</v>
      </c>
      <c r="V481" t="s">
        <v>94</v>
      </c>
      <c r="W481">
        <v>265472419.80000001</v>
      </c>
      <c r="X481">
        <v>266439117.80000001</v>
      </c>
      <c r="Y481">
        <v>267499117.80000001</v>
      </c>
      <c r="Z481">
        <v>268599117.80000001</v>
      </c>
      <c r="AA481">
        <v>270179117.80000001</v>
      </c>
      <c r="AB481">
        <v>913961011.13964391</v>
      </c>
      <c r="AC481">
        <v>132736.20989999999</v>
      </c>
      <c r="AD481">
        <v>928296601.52057135</v>
      </c>
      <c r="AE481">
        <v>133219.5589</v>
      </c>
      <c r="AF481">
        <v>975793249.28906894</v>
      </c>
      <c r="AG481">
        <v>133749.5589</v>
      </c>
      <c r="AH481">
        <v>1058190339.8986779</v>
      </c>
      <c r="AI481">
        <v>134299.5589</v>
      </c>
      <c r="AJ481">
        <v>1108056024.7869051</v>
      </c>
      <c r="AK481">
        <v>135089.5589</v>
      </c>
    </row>
    <row r="482" spans="1:37" x14ac:dyDescent="0.35">
      <c r="A482" t="s">
        <v>5242</v>
      </c>
      <c r="B482">
        <v>64.14</v>
      </c>
      <c r="C482" t="s">
        <v>1915</v>
      </c>
      <c r="D482" t="s">
        <v>5243</v>
      </c>
      <c r="E482" t="s">
        <v>5244</v>
      </c>
      <c r="F482">
        <v>3.3332999999999999E-6</v>
      </c>
      <c r="G482" t="s">
        <v>5245</v>
      </c>
      <c r="H482">
        <v>0.1</v>
      </c>
      <c r="I482">
        <v>5.15</v>
      </c>
      <c r="J482" t="s">
        <v>5246</v>
      </c>
      <c r="K482" t="s">
        <v>5247</v>
      </c>
      <c r="L482" t="s">
        <v>5248</v>
      </c>
      <c r="M482" t="s">
        <v>5249</v>
      </c>
      <c r="N482">
        <v>3927.4583229880441</v>
      </c>
      <c r="O482">
        <v>3974.5878228638999</v>
      </c>
      <c r="P482">
        <v>4161.3934505385032</v>
      </c>
      <c r="Q482">
        <v>4494.3049265815825</v>
      </c>
      <c r="R482">
        <v>4678.5714285714284</v>
      </c>
      <c r="S482" t="s">
        <v>5250</v>
      </c>
      <c r="T482" t="s">
        <v>5251</v>
      </c>
      <c r="U482" t="s">
        <v>1935</v>
      </c>
      <c r="V482" t="s">
        <v>49</v>
      </c>
      <c r="W482">
        <v>338996155</v>
      </c>
      <c r="X482">
        <v>339500751</v>
      </c>
      <c r="Y482">
        <v>340560751</v>
      </c>
      <c r="Z482">
        <v>341660751</v>
      </c>
      <c r="AA482">
        <v>343660751</v>
      </c>
      <c r="AB482">
        <v>4437933.1882766364</v>
      </c>
      <c r="AC482">
        <v>1129.9758834615</v>
      </c>
      <c r="AD482">
        <v>4497873.5234074714</v>
      </c>
      <c r="AE482">
        <v>1131.6578533083</v>
      </c>
      <c r="AF482">
        <v>4723977.0221636221</v>
      </c>
      <c r="AG482">
        <v>1135.1911513083001</v>
      </c>
      <c r="AH482">
        <v>5118374.1372096641</v>
      </c>
      <c r="AI482">
        <v>1138.8577813083</v>
      </c>
      <c r="AJ482">
        <v>5359417.6411209749</v>
      </c>
      <c r="AK482">
        <v>1145.5243813083</v>
      </c>
    </row>
    <row r="483" spans="1:37" x14ac:dyDescent="0.35">
      <c r="A483" t="s">
        <v>5252</v>
      </c>
      <c r="B483">
        <v>413.84</v>
      </c>
      <c r="C483" t="s">
        <v>5253</v>
      </c>
      <c r="D483" t="s">
        <v>5254</v>
      </c>
      <c r="E483" t="s">
        <v>5255</v>
      </c>
      <c r="F483">
        <v>0.65</v>
      </c>
      <c r="G483" t="s">
        <v>5256</v>
      </c>
      <c r="H483">
        <v>0.2</v>
      </c>
      <c r="I483">
        <v>5.3</v>
      </c>
      <c r="J483" t="s">
        <v>5257</v>
      </c>
      <c r="K483" t="s">
        <v>5258</v>
      </c>
      <c r="L483" t="s">
        <v>5259</v>
      </c>
      <c r="M483" t="s">
        <v>5260</v>
      </c>
      <c r="N483">
        <v>30220.442668488151</v>
      </c>
      <c r="O483">
        <v>30583.087980510008</v>
      </c>
      <c r="P483">
        <v>32020.493115593981</v>
      </c>
      <c r="Q483">
        <v>34582.1325648415</v>
      </c>
      <c r="R483">
        <v>36000</v>
      </c>
      <c r="S483" t="s">
        <v>5261</v>
      </c>
      <c r="T483" t="s">
        <v>5262</v>
      </c>
      <c r="U483" t="s">
        <v>5263</v>
      </c>
      <c r="V483" t="s">
        <v>49</v>
      </c>
      <c r="W483">
        <v>338996155</v>
      </c>
      <c r="X483">
        <v>339500751</v>
      </c>
      <c r="Y483">
        <v>340560751</v>
      </c>
      <c r="Z483">
        <v>341660751</v>
      </c>
      <c r="AA483">
        <v>343660751</v>
      </c>
      <c r="AB483">
        <v>6658999013560.0254</v>
      </c>
      <c r="AC483">
        <v>220347500.75</v>
      </c>
      <c r="AD483">
        <v>6748937869233.4453</v>
      </c>
      <c r="AE483">
        <v>220675488.15000001</v>
      </c>
      <c r="AF483">
        <v>7088200068844.0605</v>
      </c>
      <c r="AG483">
        <v>221364488.15000001</v>
      </c>
      <c r="AH483">
        <v>7679982299135.4473</v>
      </c>
      <c r="AI483">
        <v>222079488.15000001</v>
      </c>
      <c r="AJ483">
        <v>8041661573400</v>
      </c>
      <c r="AK483">
        <v>223379488.15000001</v>
      </c>
    </row>
    <row r="484" spans="1:37" x14ac:dyDescent="0.35">
      <c r="A484" t="s">
        <v>5264</v>
      </c>
      <c r="B484">
        <v>330.67</v>
      </c>
      <c r="C484" t="s">
        <v>4903</v>
      </c>
      <c r="D484" t="s">
        <v>5265</v>
      </c>
      <c r="E484" t="s">
        <v>5266</v>
      </c>
      <c r="F484">
        <v>5.0000000000000004E-6</v>
      </c>
      <c r="G484" t="s">
        <v>5267</v>
      </c>
      <c r="H484">
        <v>0.3</v>
      </c>
      <c r="I484">
        <v>5.15</v>
      </c>
      <c r="J484" t="s">
        <v>5268</v>
      </c>
      <c r="K484" t="s">
        <v>5269</v>
      </c>
      <c r="L484" t="s">
        <v>5270</v>
      </c>
      <c r="M484" t="s">
        <v>5271</v>
      </c>
      <c r="N484">
        <v>2969.578220549357</v>
      </c>
      <c r="O484">
        <v>3005.2131591959492</v>
      </c>
      <c r="P484">
        <v>3146.4581776781588</v>
      </c>
      <c r="Q484">
        <v>3398.174831892411</v>
      </c>
      <c r="R484">
        <v>3537.5</v>
      </c>
      <c r="S484" t="s">
        <v>5272</v>
      </c>
      <c r="T484" t="s">
        <v>5273</v>
      </c>
      <c r="U484" t="s">
        <v>5274</v>
      </c>
      <c r="V484" t="s">
        <v>94</v>
      </c>
      <c r="W484">
        <v>265472419.80000001</v>
      </c>
      <c r="X484">
        <v>266439117.80000001</v>
      </c>
      <c r="Y484">
        <v>267499117.80000001</v>
      </c>
      <c r="Z484">
        <v>268599117.80000001</v>
      </c>
      <c r="AA484">
        <v>270179117.80000001</v>
      </c>
      <c r="AB484">
        <v>3941705.5799730802</v>
      </c>
      <c r="AC484">
        <v>1327.3620989999999</v>
      </c>
      <c r="AD484">
        <v>4003531.7146855989</v>
      </c>
      <c r="AE484">
        <v>1332.1955889999999</v>
      </c>
      <c r="AF484">
        <v>4208373.9336175164</v>
      </c>
      <c r="AG484">
        <v>1337.4955890000001</v>
      </c>
      <c r="AH484">
        <v>4563733.8098823251</v>
      </c>
      <c r="AI484">
        <v>1342.9955890000001</v>
      </c>
      <c r="AJ484">
        <v>4778793.1460875003</v>
      </c>
      <c r="AK484">
        <v>1350.895589</v>
      </c>
    </row>
    <row r="485" spans="1:37" x14ac:dyDescent="0.35">
      <c r="A485" t="s">
        <v>5275</v>
      </c>
      <c r="B485">
        <v>132.66</v>
      </c>
      <c r="C485" t="s">
        <v>487</v>
      </c>
      <c r="D485" t="s">
        <v>5276</v>
      </c>
      <c r="E485" t="s">
        <v>5277</v>
      </c>
      <c r="F485">
        <v>2.8000000000000001E-2</v>
      </c>
      <c r="G485" t="s">
        <v>5278</v>
      </c>
      <c r="H485">
        <v>30.5</v>
      </c>
      <c r="I485">
        <v>5.15</v>
      </c>
      <c r="J485" t="s">
        <v>5279</v>
      </c>
      <c r="K485" t="s">
        <v>5280</v>
      </c>
      <c r="L485" t="s">
        <v>5281</v>
      </c>
      <c r="M485" t="s">
        <v>5282</v>
      </c>
      <c r="N485">
        <v>4761.448013576749</v>
      </c>
      <c r="O485">
        <v>4818.5853897396701</v>
      </c>
      <c r="P485">
        <v>5045.0589030574338</v>
      </c>
      <c r="Q485">
        <v>5448.663615302029</v>
      </c>
      <c r="R485">
        <v>5672.0588235294117</v>
      </c>
      <c r="S485" t="s">
        <v>5283</v>
      </c>
      <c r="T485" t="s">
        <v>5284</v>
      </c>
      <c r="U485" t="s">
        <v>5285</v>
      </c>
      <c r="V485" t="s">
        <v>94</v>
      </c>
      <c r="W485">
        <v>265472419.80000001</v>
      </c>
      <c r="X485">
        <v>266439117.80000001</v>
      </c>
      <c r="Y485">
        <v>267499117.80000001</v>
      </c>
      <c r="Z485">
        <v>268599117.80000001</v>
      </c>
      <c r="AA485">
        <v>270179117.80000001</v>
      </c>
      <c r="AB485">
        <v>35392927525.651443</v>
      </c>
      <c r="AC485">
        <v>7433227.7544000009</v>
      </c>
      <c r="AD485">
        <v>35948069928.013786</v>
      </c>
      <c r="AE485">
        <v>7460295.2984000007</v>
      </c>
      <c r="AF485">
        <v>37787366562.873177</v>
      </c>
      <c r="AG485">
        <v>7489975.2984000007</v>
      </c>
      <c r="AH485">
        <v>40978174727.254341</v>
      </c>
      <c r="AI485">
        <v>7520775.2984000007</v>
      </c>
      <c r="AJ485">
        <v>42909211773.424713</v>
      </c>
      <c r="AK485">
        <v>7565015.2984000007</v>
      </c>
    </row>
    <row r="486" spans="1:37" x14ac:dyDescent="0.35">
      <c r="A486" t="s">
        <v>5286</v>
      </c>
      <c r="B486">
        <v>151.57</v>
      </c>
      <c r="C486" t="s">
        <v>231</v>
      </c>
      <c r="D486" t="s">
        <v>5287</v>
      </c>
      <c r="E486" t="s">
        <v>5288</v>
      </c>
      <c r="F486">
        <v>0.191</v>
      </c>
      <c r="G486" t="s">
        <v>5289</v>
      </c>
      <c r="H486">
        <v>0.15</v>
      </c>
      <c r="J486" t="s">
        <v>5290</v>
      </c>
      <c r="K486" t="s">
        <v>5291</v>
      </c>
      <c r="L486" t="s">
        <v>5292</v>
      </c>
      <c r="M486" t="s">
        <v>5293</v>
      </c>
      <c r="N486">
        <v>725.9551939635088</v>
      </c>
      <c r="O486">
        <v>734.66665629107092</v>
      </c>
      <c r="P486">
        <v>769.19598913675122</v>
      </c>
      <c r="Q486">
        <v>830.73166826769136</v>
      </c>
      <c r="R486">
        <v>864.79166666666663</v>
      </c>
      <c r="S486" t="s">
        <v>5294</v>
      </c>
      <c r="T486" t="s">
        <v>5295</v>
      </c>
      <c r="U486" t="s">
        <v>2360</v>
      </c>
      <c r="V486" t="s">
        <v>94</v>
      </c>
      <c r="W486">
        <v>265472419.80000001</v>
      </c>
      <c r="X486">
        <v>266439117.80000001</v>
      </c>
      <c r="Y486">
        <v>267499117.80000001</v>
      </c>
      <c r="Z486">
        <v>268599117.80000001</v>
      </c>
      <c r="AA486">
        <v>270179117.80000001</v>
      </c>
      <c r="AB486">
        <v>36809726663.503357</v>
      </c>
      <c r="AC486">
        <v>50705232.1818</v>
      </c>
      <c r="AD486">
        <v>37387091733.840332</v>
      </c>
      <c r="AE486">
        <v>50889871.499799997</v>
      </c>
      <c r="AF486">
        <v>39300016465.291458</v>
      </c>
      <c r="AG486">
        <v>51092331.499799997</v>
      </c>
      <c r="AH486">
        <v>42618554506.017807</v>
      </c>
      <c r="AI486">
        <v>51302431.499799997</v>
      </c>
      <c r="AJ486">
        <v>44626892069.931213</v>
      </c>
      <c r="AK486">
        <v>51604211.499799997</v>
      </c>
    </row>
    <row r="487" spans="1:37" x14ac:dyDescent="0.35">
      <c r="A487" t="s">
        <v>5296</v>
      </c>
      <c r="B487">
        <v>40.840000000000003</v>
      </c>
      <c r="C487" t="s">
        <v>231</v>
      </c>
      <c r="D487" t="s">
        <v>5297</v>
      </c>
      <c r="E487" t="s">
        <v>5298</v>
      </c>
      <c r="F487">
        <v>0.191</v>
      </c>
      <c r="G487" t="s">
        <v>5299</v>
      </c>
      <c r="H487">
        <v>4530.1000000000004</v>
      </c>
      <c r="I487">
        <v>0.01</v>
      </c>
      <c r="J487" t="s">
        <v>5300</v>
      </c>
      <c r="K487" t="s">
        <v>5301</v>
      </c>
      <c r="L487" t="s">
        <v>5302</v>
      </c>
      <c r="M487" t="s">
        <v>5303</v>
      </c>
      <c r="N487">
        <v>725.9551939635088</v>
      </c>
      <c r="O487">
        <v>734.66665629107092</v>
      </c>
      <c r="P487">
        <v>769.19598913675122</v>
      </c>
      <c r="Q487">
        <v>830.73166826769136</v>
      </c>
      <c r="R487">
        <v>864.79166666666663</v>
      </c>
      <c r="S487" t="s">
        <v>5304</v>
      </c>
      <c r="T487" t="s">
        <v>5305</v>
      </c>
      <c r="U487" t="s">
        <v>2360</v>
      </c>
      <c r="V487" t="s">
        <v>94</v>
      </c>
      <c r="W487">
        <v>265472419.80000001</v>
      </c>
      <c r="X487">
        <v>266439117.80000001</v>
      </c>
      <c r="Y487">
        <v>267499117.80000001</v>
      </c>
      <c r="Z487">
        <v>268599117.80000001</v>
      </c>
      <c r="AA487">
        <v>270179117.80000001</v>
      </c>
      <c r="AB487">
        <v>36809726663.503357</v>
      </c>
      <c r="AC487">
        <v>50705232.1818</v>
      </c>
      <c r="AD487">
        <v>37387091733.840332</v>
      </c>
      <c r="AE487">
        <v>50889871.499799997</v>
      </c>
      <c r="AF487">
        <v>39300016465.291458</v>
      </c>
      <c r="AG487">
        <v>51092331.499799997</v>
      </c>
      <c r="AH487">
        <v>42618554506.017807</v>
      </c>
      <c r="AI487">
        <v>51302431.499799997</v>
      </c>
      <c r="AJ487">
        <v>44626892069.931213</v>
      </c>
      <c r="AK487">
        <v>51604211.499799997</v>
      </c>
    </row>
    <row r="488" spans="1:37" x14ac:dyDescent="0.35">
      <c r="A488" t="s">
        <v>5306</v>
      </c>
      <c r="B488">
        <v>152.04</v>
      </c>
      <c r="C488" t="s">
        <v>231</v>
      </c>
      <c r="D488" t="s">
        <v>5307</v>
      </c>
      <c r="E488" t="s">
        <v>5308</v>
      </c>
      <c r="F488">
        <v>0.191</v>
      </c>
      <c r="G488" t="s">
        <v>5309</v>
      </c>
      <c r="H488">
        <v>0.3</v>
      </c>
      <c r="J488" t="s">
        <v>5310</v>
      </c>
      <c r="K488" t="s">
        <v>5311</v>
      </c>
      <c r="L488" t="s">
        <v>5312</v>
      </c>
      <c r="M488" t="s">
        <v>5313</v>
      </c>
      <c r="N488">
        <v>725.9551939635088</v>
      </c>
      <c r="O488">
        <v>734.66665629107092</v>
      </c>
      <c r="P488">
        <v>769.19598913675122</v>
      </c>
      <c r="Q488">
        <v>830.73166826769136</v>
      </c>
      <c r="R488">
        <v>864.79166666666663</v>
      </c>
      <c r="S488" t="s">
        <v>5314</v>
      </c>
      <c r="T488" t="s">
        <v>5315</v>
      </c>
      <c r="U488" t="s">
        <v>241</v>
      </c>
      <c r="V488" t="s">
        <v>94</v>
      </c>
      <c r="W488">
        <v>265472419.80000001</v>
      </c>
      <c r="X488">
        <v>266439117.80000001</v>
      </c>
      <c r="Y488">
        <v>267499117.80000001</v>
      </c>
      <c r="Z488">
        <v>268599117.80000001</v>
      </c>
      <c r="AA488">
        <v>270179117.80000001</v>
      </c>
      <c r="AB488">
        <v>36809726663.503357</v>
      </c>
      <c r="AC488">
        <v>50705232.1818</v>
      </c>
      <c r="AD488">
        <v>37387091733.840332</v>
      </c>
      <c r="AE488">
        <v>50889871.499799997</v>
      </c>
      <c r="AF488">
        <v>39300016465.291458</v>
      </c>
      <c r="AG488">
        <v>51092331.499799997</v>
      </c>
      <c r="AH488">
        <v>42618554506.017807</v>
      </c>
      <c r="AI488">
        <v>51302431.499799997</v>
      </c>
      <c r="AJ488">
        <v>44626892069.931213</v>
      </c>
      <c r="AK488">
        <v>51604211.499799997</v>
      </c>
    </row>
    <row r="489" spans="1:37" x14ac:dyDescent="0.35">
      <c r="A489" t="s">
        <v>5316</v>
      </c>
      <c r="B489">
        <v>28.81</v>
      </c>
      <c r="C489" t="s">
        <v>231</v>
      </c>
      <c r="D489" t="s">
        <v>5317</v>
      </c>
      <c r="E489" t="s">
        <v>5318</v>
      </c>
      <c r="F489">
        <v>0.191</v>
      </c>
      <c r="G489" t="s">
        <v>5319</v>
      </c>
      <c r="H489">
        <v>0.25</v>
      </c>
      <c r="I489">
        <v>2.0499999999999998</v>
      </c>
      <c r="J489" t="s">
        <v>5320</v>
      </c>
      <c r="K489" t="s">
        <v>5321</v>
      </c>
      <c r="L489" t="s">
        <v>5322</v>
      </c>
      <c r="M489" t="s">
        <v>5323</v>
      </c>
      <c r="N489">
        <v>725.9551939635088</v>
      </c>
      <c r="O489">
        <v>734.66665629107092</v>
      </c>
      <c r="P489">
        <v>769.19598913675122</v>
      </c>
      <c r="Q489">
        <v>830.73166826769136</v>
      </c>
      <c r="R489">
        <v>864.79166666666663</v>
      </c>
      <c r="S489" t="s">
        <v>5324</v>
      </c>
      <c r="T489" t="s">
        <v>5325</v>
      </c>
      <c r="U489" t="s">
        <v>5326</v>
      </c>
      <c r="V489" t="s">
        <v>94</v>
      </c>
      <c r="W489">
        <v>265472419.80000001</v>
      </c>
      <c r="X489">
        <v>266439117.80000001</v>
      </c>
      <c r="Y489">
        <v>267499117.80000001</v>
      </c>
      <c r="Z489">
        <v>268599117.80000001</v>
      </c>
      <c r="AA489">
        <v>270179117.80000001</v>
      </c>
      <c r="AB489">
        <v>36809726663.503357</v>
      </c>
      <c r="AC489">
        <v>50705232.1818</v>
      </c>
      <c r="AD489">
        <v>37387091733.840332</v>
      </c>
      <c r="AE489">
        <v>50889871.499799997</v>
      </c>
      <c r="AF489">
        <v>39300016465.291458</v>
      </c>
      <c r="AG489">
        <v>51092331.499799997</v>
      </c>
      <c r="AH489">
        <v>42618554506.017807</v>
      </c>
      <c r="AI489">
        <v>51302431.499799997</v>
      </c>
      <c r="AJ489">
        <v>44626892069.931213</v>
      </c>
      <c r="AK489">
        <v>51604211.499799997</v>
      </c>
    </row>
    <row r="490" spans="1:37" x14ac:dyDescent="0.35">
      <c r="A490" t="s">
        <v>5327</v>
      </c>
      <c r="B490">
        <v>63.91</v>
      </c>
      <c r="C490" t="s">
        <v>231</v>
      </c>
      <c r="D490" t="s">
        <v>5328</v>
      </c>
      <c r="E490" t="s">
        <v>5329</v>
      </c>
      <c r="F490">
        <v>0.191</v>
      </c>
      <c r="G490" t="s">
        <v>5330</v>
      </c>
      <c r="H490">
        <v>3525.3</v>
      </c>
      <c r="I490">
        <v>0.05</v>
      </c>
      <c r="J490" t="s">
        <v>5331</v>
      </c>
      <c r="K490" t="s">
        <v>5332</v>
      </c>
      <c r="L490" t="s">
        <v>5333</v>
      </c>
      <c r="M490" t="s">
        <v>5334</v>
      </c>
      <c r="N490">
        <v>725.9551939635088</v>
      </c>
      <c r="O490">
        <v>734.66665629107092</v>
      </c>
      <c r="P490">
        <v>769.19598913675122</v>
      </c>
      <c r="Q490">
        <v>830.73166826769136</v>
      </c>
      <c r="R490">
        <v>864.79166666666663</v>
      </c>
      <c r="S490" t="s">
        <v>5335</v>
      </c>
      <c r="T490" t="s">
        <v>5336</v>
      </c>
      <c r="U490" t="s">
        <v>5337</v>
      </c>
      <c r="V490" t="s">
        <v>94</v>
      </c>
      <c r="W490">
        <v>265472419.80000001</v>
      </c>
      <c r="X490">
        <v>266439117.80000001</v>
      </c>
      <c r="Y490">
        <v>267499117.80000001</v>
      </c>
      <c r="Z490">
        <v>268599117.80000001</v>
      </c>
      <c r="AA490">
        <v>270179117.80000001</v>
      </c>
      <c r="AB490">
        <v>36809726663.503357</v>
      </c>
      <c r="AC490">
        <v>50705232.1818</v>
      </c>
      <c r="AD490">
        <v>37387091733.840332</v>
      </c>
      <c r="AE490">
        <v>50889871.499799997</v>
      </c>
      <c r="AF490">
        <v>39300016465.291458</v>
      </c>
      <c r="AG490">
        <v>51092331.499799997</v>
      </c>
      <c r="AH490">
        <v>42618554506.017807</v>
      </c>
      <c r="AI490">
        <v>51302431.499799997</v>
      </c>
      <c r="AJ490">
        <v>44626892069.931213</v>
      </c>
      <c r="AK490">
        <v>51604211.499799997</v>
      </c>
    </row>
    <row r="491" spans="1:37" x14ac:dyDescent="0.35">
      <c r="A491" t="s">
        <v>5338</v>
      </c>
      <c r="B491">
        <v>96.29</v>
      </c>
      <c r="C491" t="s">
        <v>231</v>
      </c>
      <c r="D491" t="s">
        <v>5339</v>
      </c>
      <c r="E491" t="s">
        <v>5340</v>
      </c>
      <c r="F491">
        <v>0.191</v>
      </c>
      <c r="G491" t="s">
        <v>5341</v>
      </c>
      <c r="H491">
        <v>30.4</v>
      </c>
      <c r="I491">
        <v>0.2</v>
      </c>
      <c r="J491" t="s">
        <v>5342</v>
      </c>
      <c r="K491" t="s">
        <v>5343</v>
      </c>
      <c r="L491" t="s">
        <v>5344</v>
      </c>
      <c r="M491" t="s">
        <v>5345</v>
      </c>
      <c r="N491">
        <v>725.9551939635088</v>
      </c>
      <c r="O491">
        <v>734.66665629107092</v>
      </c>
      <c r="P491">
        <v>769.19598913675122</v>
      </c>
      <c r="Q491">
        <v>830.73166826769136</v>
      </c>
      <c r="R491">
        <v>864.79166666666663</v>
      </c>
      <c r="S491" t="s">
        <v>5346</v>
      </c>
      <c r="T491" t="s">
        <v>5347</v>
      </c>
      <c r="U491" t="s">
        <v>218</v>
      </c>
      <c r="V491" t="s">
        <v>94</v>
      </c>
      <c r="W491">
        <v>265472419.80000001</v>
      </c>
      <c r="X491">
        <v>266439117.80000001</v>
      </c>
      <c r="Y491">
        <v>267499117.80000001</v>
      </c>
      <c r="Z491">
        <v>268599117.80000001</v>
      </c>
      <c r="AA491">
        <v>270179117.80000001</v>
      </c>
      <c r="AB491">
        <v>36809726663.503357</v>
      </c>
      <c r="AC491">
        <v>50705232.1818</v>
      </c>
      <c r="AD491">
        <v>37387091733.840332</v>
      </c>
      <c r="AE491">
        <v>50889871.499799997</v>
      </c>
      <c r="AF491">
        <v>39300016465.291458</v>
      </c>
      <c r="AG491">
        <v>51092331.499799997</v>
      </c>
      <c r="AH491">
        <v>42618554506.017807</v>
      </c>
      <c r="AI491">
        <v>51302431.499799997</v>
      </c>
      <c r="AJ491">
        <v>44626892069.931213</v>
      </c>
      <c r="AK491">
        <v>51604211.499799997</v>
      </c>
    </row>
    <row r="492" spans="1:37" x14ac:dyDescent="0.35">
      <c r="A492" t="s">
        <v>5348</v>
      </c>
      <c r="B492">
        <v>130.94</v>
      </c>
      <c r="C492" t="s">
        <v>231</v>
      </c>
      <c r="D492" t="s">
        <v>5349</v>
      </c>
      <c r="E492" t="s">
        <v>5350</v>
      </c>
      <c r="F492">
        <v>0.191</v>
      </c>
      <c r="G492" t="s">
        <v>5351</v>
      </c>
      <c r="H492">
        <v>0.4</v>
      </c>
      <c r="I492">
        <v>0.12</v>
      </c>
      <c r="J492" t="s">
        <v>5352</v>
      </c>
      <c r="K492" t="s">
        <v>5353</v>
      </c>
      <c r="L492" t="s">
        <v>5354</v>
      </c>
      <c r="M492" t="s">
        <v>5355</v>
      </c>
      <c r="N492">
        <v>725.9551939635088</v>
      </c>
      <c r="O492">
        <v>734.66665629107092</v>
      </c>
      <c r="P492">
        <v>769.19598913675122</v>
      </c>
      <c r="Q492">
        <v>830.73166826769136</v>
      </c>
      <c r="R492">
        <v>864.79166666666663</v>
      </c>
      <c r="S492" t="s">
        <v>5356</v>
      </c>
      <c r="T492" t="s">
        <v>5357</v>
      </c>
      <c r="U492" t="s">
        <v>1523</v>
      </c>
      <c r="V492" t="s">
        <v>94</v>
      </c>
      <c r="W492">
        <v>265472419.80000001</v>
      </c>
      <c r="X492">
        <v>266439117.80000001</v>
      </c>
      <c r="Y492">
        <v>267499117.80000001</v>
      </c>
      <c r="Z492">
        <v>268599117.80000001</v>
      </c>
      <c r="AA492">
        <v>270179117.80000001</v>
      </c>
      <c r="AB492">
        <v>36809726663.503357</v>
      </c>
      <c r="AC492">
        <v>50705232.1818</v>
      </c>
      <c r="AD492">
        <v>37387091733.840332</v>
      </c>
      <c r="AE492">
        <v>50889871.499799997</v>
      </c>
      <c r="AF492">
        <v>39300016465.291458</v>
      </c>
      <c r="AG492">
        <v>51092331.499799997</v>
      </c>
      <c r="AH492">
        <v>42618554506.017807</v>
      </c>
      <c r="AI492">
        <v>51302431.499799997</v>
      </c>
      <c r="AJ492">
        <v>44626892069.931213</v>
      </c>
      <c r="AK492">
        <v>51604211.499799997</v>
      </c>
    </row>
    <row r="493" spans="1:37" x14ac:dyDescent="0.35">
      <c r="A493" t="s">
        <v>5358</v>
      </c>
      <c r="B493">
        <v>108.54</v>
      </c>
      <c r="C493" t="s">
        <v>1055</v>
      </c>
      <c r="D493" t="s">
        <v>5359</v>
      </c>
      <c r="E493" t="s">
        <v>5360</v>
      </c>
      <c r="F493">
        <v>5.1999999999999998E-3</v>
      </c>
      <c r="G493" t="s">
        <v>5361</v>
      </c>
      <c r="H493">
        <v>0.5</v>
      </c>
      <c r="I493">
        <v>700002021.5</v>
      </c>
      <c r="J493" t="s">
        <v>5362</v>
      </c>
      <c r="K493" t="s">
        <v>5363</v>
      </c>
      <c r="L493" t="s">
        <v>5364</v>
      </c>
      <c r="M493" t="s">
        <v>5365</v>
      </c>
      <c r="N493">
        <v>470.62043530614358</v>
      </c>
      <c r="O493">
        <v>476.26788052981732</v>
      </c>
      <c r="P493">
        <v>498.65247091471872</v>
      </c>
      <c r="Q493">
        <v>538.54466858789624</v>
      </c>
      <c r="R493">
        <v>560.625</v>
      </c>
      <c r="S493" t="s">
        <v>5366</v>
      </c>
      <c r="T493" t="s">
        <v>5367</v>
      </c>
      <c r="U493" t="s">
        <v>5368</v>
      </c>
      <c r="V493" t="s">
        <v>49</v>
      </c>
      <c r="W493">
        <v>338996155</v>
      </c>
      <c r="X493">
        <v>339500751</v>
      </c>
      <c r="Y493">
        <v>340560751</v>
      </c>
      <c r="Z493">
        <v>341660751</v>
      </c>
      <c r="AA493">
        <v>343660751</v>
      </c>
      <c r="AB493">
        <v>829600293.77268636</v>
      </c>
      <c r="AC493">
        <v>1762780.0060000001</v>
      </c>
      <c r="AD493">
        <v>840805176.20866656</v>
      </c>
      <c r="AE493">
        <v>1765403.9051999999</v>
      </c>
      <c r="AF493">
        <v>883071591.91015577</v>
      </c>
      <c r="AG493">
        <v>1770915.9051999999</v>
      </c>
      <c r="AH493">
        <v>956797794.76729095</v>
      </c>
      <c r="AI493">
        <v>1776635.9051999999</v>
      </c>
      <c r="AJ493">
        <v>1001857004.3527499</v>
      </c>
      <c r="AK493">
        <v>1787035.9051999999</v>
      </c>
    </row>
    <row r="494" spans="1:37" x14ac:dyDescent="0.35">
      <c r="A494" t="s">
        <v>5369</v>
      </c>
      <c r="B494">
        <v>221.49</v>
      </c>
      <c r="C494" t="s">
        <v>231</v>
      </c>
      <c r="D494" t="s">
        <v>5370</v>
      </c>
      <c r="E494" t="s">
        <v>5371</v>
      </c>
      <c r="F494">
        <v>0.191</v>
      </c>
      <c r="G494" t="s">
        <v>5372</v>
      </c>
      <c r="H494">
        <v>0.3</v>
      </c>
      <c r="I494">
        <v>0.02</v>
      </c>
      <c r="J494" t="s">
        <v>5373</v>
      </c>
      <c r="K494" t="s">
        <v>5374</v>
      </c>
      <c r="L494" t="s">
        <v>5375</v>
      </c>
      <c r="M494" t="s">
        <v>5376</v>
      </c>
      <c r="N494">
        <v>725.9551939635088</v>
      </c>
      <c r="O494">
        <v>734.66665629107092</v>
      </c>
      <c r="P494">
        <v>769.19598913675122</v>
      </c>
      <c r="Q494">
        <v>830.73166826769136</v>
      </c>
      <c r="R494">
        <v>864.79166666666663</v>
      </c>
      <c r="S494" t="s">
        <v>5377</v>
      </c>
      <c r="T494" t="s">
        <v>5378</v>
      </c>
      <c r="U494" t="s">
        <v>1623</v>
      </c>
      <c r="V494" t="s">
        <v>94</v>
      </c>
      <c r="W494">
        <v>265472419.80000001</v>
      </c>
      <c r="X494">
        <v>266439117.80000001</v>
      </c>
      <c r="Y494">
        <v>267499117.80000001</v>
      </c>
      <c r="Z494">
        <v>268599117.80000001</v>
      </c>
      <c r="AA494">
        <v>270179117.80000001</v>
      </c>
      <c r="AB494">
        <v>36809726663.503357</v>
      </c>
      <c r="AC494">
        <v>50705232.1818</v>
      </c>
      <c r="AD494">
        <v>37387091733.840332</v>
      </c>
      <c r="AE494">
        <v>50889871.499799997</v>
      </c>
      <c r="AF494">
        <v>39300016465.291458</v>
      </c>
      <c r="AG494">
        <v>51092331.499799997</v>
      </c>
      <c r="AH494">
        <v>42618554506.017807</v>
      </c>
      <c r="AI494">
        <v>51302431.499799997</v>
      </c>
      <c r="AJ494">
        <v>44626892069.931213</v>
      </c>
      <c r="AK494">
        <v>51604211.499799997</v>
      </c>
    </row>
    <row r="495" spans="1:37" x14ac:dyDescent="0.35">
      <c r="A495" t="s">
        <v>5379</v>
      </c>
      <c r="B495">
        <v>712.63</v>
      </c>
      <c r="C495" t="s">
        <v>5380</v>
      </c>
      <c r="D495" t="s">
        <v>5381</v>
      </c>
      <c r="E495" t="s">
        <v>5382</v>
      </c>
      <c r="F495">
        <v>1.0000000000000001E-5</v>
      </c>
      <c r="G495" t="s">
        <v>5383</v>
      </c>
      <c r="H495">
        <v>0.3</v>
      </c>
      <c r="I495">
        <v>0.01</v>
      </c>
      <c r="J495" t="s">
        <v>5384</v>
      </c>
      <c r="K495" t="s">
        <v>5385</v>
      </c>
      <c r="L495" t="s">
        <v>5386</v>
      </c>
      <c r="M495" t="s">
        <v>5387</v>
      </c>
      <c r="N495">
        <v>3882.4874261599371</v>
      </c>
      <c r="O495">
        <v>3929.0772752738558</v>
      </c>
      <c r="P495">
        <v>4113.7439072117268</v>
      </c>
      <c r="Q495">
        <v>4442.8434197886654</v>
      </c>
      <c r="R495">
        <v>4625</v>
      </c>
      <c r="S495" t="s">
        <v>5388</v>
      </c>
      <c r="T495" t="s">
        <v>1112</v>
      </c>
      <c r="U495" t="s">
        <v>5389</v>
      </c>
      <c r="V495" t="s">
        <v>49</v>
      </c>
      <c r="W495">
        <v>338996155</v>
      </c>
      <c r="X495">
        <v>339500751</v>
      </c>
      <c r="Y495">
        <v>340560751</v>
      </c>
      <c r="Z495">
        <v>341660751</v>
      </c>
      <c r="AA495">
        <v>343660751</v>
      </c>
      <c r="AB495">
        <v>13161483.093040651</v>
      </c>
      <c r="AC495">
        <v>3389.96155</v>
      </c>
      <c r="AD495">
        <v>13339246.85692508</v>
      </c>
      <c r="AE495">
        <v>3395.0075099999999</v>
      </c>
      <c r="AF495">
        <v>14009797.144617001</v>
      </c>
      <c r="AG495">
        <v>3405.6075099999998</v>
      </c>
      <c r="AH495">
        <v>15179452.193804041</v>
      </c>
      <c r="AI495">
        <v>3416.6075099999998</v>
      </c>
      <c r="AJ495">
        <v>15894309.733750001</v>
      </c>
      <c r="AK495">
        <v>3436.6075099999998</v>
      </c>
    </row>
    <row r="496" spans="1:37" x14ac:dyDescent="0.35">
      <c r="A496" t="s">
        <v>5390</v>
      </c>
      <c r="B496">
        <v>1512.74</v>
      </c>
      <c r="C496" t="s">
        <v>2578</v>
      </c>
      <c r="D496" t="s">
        <v>5391</v>
      </c>
      <c r="E496" t="s">
        <v>2602</v>
      </c>
      <c r="F496">
        <v>6.46E-6</v>
      </c>
      <c r="G496" t="s">
        <v>5392</v>
      </c>
      <c r="H496">
        <v>8050.7</v>
      </c>
      <c r="I496">
        <v>30.25</v>
      </c>
      <c r="J496" t="s">
        <v>5393</v>
      </c>
      <c r="K496" t="s">
        <v>5394</v>
      </c>
      <c r="L496" t="s">
        <v>5395</v>
      </c>
      <c r="M496" t="s">
        <v>5396</v>
      </c>
      <c r="N496">
        <v>120409.5762572575</v>
      </c>
      <c r="O496">
        <v>121854.4911723446</v>
      </c>
      <c r="P496">
        <v>127581.6522574448</v>
      </c>
      <c r="Q496">
        <v>137788.18443804039</v>
      </c>
      <c r="R496">
        <v>143437.5</v>
      </c>
      <c r="S496" t="s">
        <v>5397</v>
      </c>
      <c r="T496" t="s">
        <v>5398</v>
      </c>
      <c r="U496" t="s">
        <v>2610</v>
      </c>
      <c r="V496" t="s">
        <v>49</v>
      </c>
      <c r="W496">
        <v>338996155</v>
      </c>
      <c r="X496">
        <v>339500751</v>
      </c>
      <c r="Y496">
        <v>340560751</v>
      </c>
      <c r="Z496">
        <v>341660751</v>
      </c>
      <c r="AA496">
        <v>343660751</v>
      </c>
      <c r="AB496">
        <v>263686756.61147669</v>
      </c>
      <c r="AC496">
        <v>2189.9151612999999</v>
      </c>
      <c r="AD496">
        <v>267248205.5766407</v>
      </c>
      <c r="AE496">
        <v>2193.1748514599999</v>
      </c>
      <c r="AF496">
        <v>280682499.3607409</v>
      </c>
      <c r="AG496">
        <v>2200.02245146</v>
      </c>
      <c r="AH496">
        <v>304116222.1482169</v>
      </c>
      <c r="AI496">
        <v>2207.1284514600002</v>
      </c>
      <c r="AJ496">
        <v>318438199.75629371</v>
      </c>
      <c r="AK496">
        <v>2220.0484514599998</v>
      </c>
    </row>
    <row r="497" spans="1:37" x14ac:dyDescent="0.35">
      <c r="A497" t="s">
        <v>5399</v>
      </c>
      <c r="B497">
        <v>10214.709999999999</v>
      </c>
      <c r="C497" t="s">
        <v>5400</v>
      </c>
      <c r="D497" t="s">
        <v>5401</v>
      </c>
      <c r="E497" t="s">
        <v>5402</v>
      </c>
      <c r="F497">
        <v>7.5000000000000002E-6</v>
      </c>
      <c r="G497" t="s">
        <v>5403</v>
      </c>
      <c r="H497">
        <v>0.3</v>
      </c>
      <c r="I497">
        <v>0.1</v>
      </c>
      <c r="J497" t="s">
        <v>5404</v>
      </c>
      <c r="K497" t="s">
        <v>5405</v>
      </c>
      <c r="L497" t="s">
        <v>5406</v>
      </c>
      <c r="M497" t="s">
        <v>5407</v>
      </c>
      <c r="N497">
        <v>33578.2696316535</v>
      </c>
      <c r="O497">
        <v>33981.208867233341</v>
      </c>
      <c r="P497">
        <v>35578.325683993309</v>
      </c>
      <c r="Q497">
        <v>38424.591738712777</v>
      </c>
      <c r="R497">
        <v>40000</v>
      </c>
      <c r="S497" t="s">
        <v>5408</v>
      </c>
      <c r="T497" t="s">
        <v>5409</v>
      </c>
      <c r="U497" t="s">
        <v>5410</v>
      </c>
      <c r="V497" t="s">
        <v>94</v>
      </c>
      <c r="W497">
        <v>265472419.80000001</v>
      </c>
      <c r="X497">
        <v>266439117.80000001</v>
      </c>
      <c r="Y497">
        <v>267499117.80000001</v>
      </c>
      <c r="Z497">
        <v>268599117.80000001</v>
      </c>
      <c r="AA497">
        <v>270179117.80000001</v>
      </c>
      <c r="AB497">
        <v>66855783.68858932</v>
      </c>
      <c r="AC497">
        <v>1991.0431484999999</v>
      </c>
      <c r="AD497">
        <v>67904424.842723921</v>
      </c>
      <c r="AE497">
        <v>1998.2933834999999</v>
      </c>
      <c r="AF497">
        <v>71378780.499519706</v>
      </c>
      <c r="AG497">
        <v>2006.2433834999999</v>
      </c>
      <c r="AH497">
        <v>77406085.82132566</v>
      </c>
      <c r="AI497">
        <v>2014.4933834999999</v>
      </c>
      <c r="AJ497">
        <v>81053735.340000004</v>
      </c>
      <c r="AK497">
        <v>2026.3433835000001</v>
      </c>
    </row>
    <row r="498" spans="1:37" x14ac:dyDescent="0.35">
      <c r="A498" t="s">
        <v>5411</v>
      </c>
      <c r="B498">
        <v>10214.709999999999</v>
      </c>
      <c r="C498" t="s">
        <v>5412</v>
      </c>
      <c r="D498" t="s">
        <v>5413</v>
      </c>
      <c r="E498" t="s">
        <v>5414</v>
      </c>
      <c r="F498">
        <v>4.375E-5</v>
      </c>
      <c r="G498" t="s">
        <v>5415</v>
      </c>
      <c r="H498">
        <v>30.5</v>
      </c>
      <c r="I498">
        <v>20255.099999999999</v>
      </c>
      <c r="J498" t="s">
        <v>5416</v>
      </c>
      <c r="K498" t="s">
        <v>5417</v>
      </c>
      <c r="L498" t="s">
        <v>5418</v>
      </c>
      <c r="M498" t="s">
        <v>5419</v>
      </c>
      <c r="N498">
        <v>20986.418519783441</v>
      </c>
      <c r="O498">
        <v>21238.255542020841</v>
      </c>
      <c r="P498">
        <v>22236.453552495819</v>
      </c>
      <c r="Q498">
        <v>24015.369836695489</v>
      </c>
      <c r="R498">
        <v>25000</v>
      </c>
      <c r="S498" t="s">
        <v>5420</v>
      </c>
      <c r="T498" t="s">
        <v>3680</v>
      </c>
      <c r="U498" t="s">
        <v>5421</v>
      </c>
      <c r="V498" t="s">
        <v>94</v>
      </c>
      <c r="W498">
        <v>265472419.80000001</v>
      </c>
      <c r="X498">
        <v>266439117.80000001</v>
      </c>
      <c r="Y498">
        <v>267499117.80000001</v>
      </c>
      <c r="Z498">
        <v>268599117.80000001</v>
      </c>
      <c r="AA498">
        <v>270179117.80000001</v>
      </c>
      <c r="AB498">
        <v>243745044.69798189</v>
      </c>
      <c r="AC498">
        <v>11614.41836625</v>
      </c>
      <c r="AD498">
        <v>247568215.572431</v>
      </c>
      <c r="AE498">
        <v>11656.71140375</v>
      </c>
      <c r="AF498">
        <v>260235137.23783231</v>
      </c>
      <c r="AG498">
        <v>11703.08640375</v>
      </c>
      <c r="AH498">
        <v>282209687.89024979</v>
      </c>
      <c r="AI498">
        <v>11751.21140375</v>
      </c>
      <c r="AJ498">
        <v>295508410.09375</v>
      </c>
      <c r="AK498">
        <v>11820.33640375</v>
      </c>
    </row>
    <row r="499" spans="1:37" x14ac:dyDescent="0.35">
      <c r="A499" t="s">
        <v>5422</v>
      </c>
      <c r="B499">
        <v>8760.7199999999993</v>
      </c>
      <c r="C499" t="s">
        <v>1126</v>
      </c>
      <c r="D499" t="s">
        <v>5423</v>
      </c>
      <c r="E499" t="s">
        <v>5424</v>
      </c>
      <c r="F499">
        <v>3.8000000000000002E-4</v>
      </c>
      <c r="G499" t="s">
        <v>5425</v>
      </c>
      <c r="H499">
        <v>0.3</v>
      </c>
      <c r="I499">
        <v>0.01</v>
      </c>
      <c r="J499" t="s">
        <v>5426</v>
      </c>
      <c r="K499" t="s">
        <v>5427</v>
      </c>
      <c r="L499" t="s">
        <v>5428</v>
      </c>
      <c r="M499" t="s">
        <v>5429</v>
      </c>
      <c r="N499">
        <v>14270.764593452741</v>
      </c>
      <c r="O499">
        <v>14442.01376857417</v>
      </c>
      <c r="P499">
        <v>15120.78841569716</v>
      </c>
      <c r="Q499">
        <v>16330.451488952929</v>
      </c>
      <c r="R499">
        <v>17000</v>
      </c>
      <c r="S499" t="s">
        <v>1977</v>
      </c>
      <c r="T499" t="s">
        <v>5430</v>
      </c>
      <c r="U499" t="s">
        <v>5431</v>
      </c>
      <c r="V499" t="s">
        <v>49</v>
      </c>
      <c r="W499">
        <v>338996155</v>
      </c>
      <c r="X499">
        <v>339500751</v>
      </c>
      <c r="Y499">
        <v>340560751</v>
      </c>
      <c r="Z499">
        <v>341660751</v>
      </c>
      <c r="AA499">
        <v>343660751</v>
      </c>
      <c r="AB499">
        <v>1838339043.9144349</v>
      </c>
      <c r="AC499">
        <v>128818.5389</v>
      </c>
      <c r="AD499">
        <v>1863168317.7456429</v>
      </c>
      <c r="AE499">
        <v>129010.28538</v>
      </c>
      <c r="AF499">
        <v>1956827882.253531</v>
      </c>
      <c r="AG499">
        <v>129413.08538</v>
      </c>
      <c r="AH499">
        <v>2120200241.556196</v>
      </c>
      <c r="AI499">
        <v>129831.08538</v>
      </c>
      <c r="AJ499">
        <v>2220048451.46</v>
      </c>
      <c r="AK499">
        <v>130591.08538</v>
      </c>
    </row>
    <row r="500" spans="1:37" x14ac:dyDescent="0.35">
      <c r="A500" t="s">
        <v>5432</v>
      </c>
      <c r="B500">
        <v>2462.31</v>
      </c>
      <c r="C500" t="s">
        <v>4903</v>
      </c>
      <c r="D500" t="s">
        <v>5433</v>
      </c>
      <c r="E500" t="s">
        <v>5434</v>
      </c>
      <c r="F500">
        <v>5.0000000000000004E-6</v>
      </c>
      <c r="G500" t="s">
        <v>5435</v>
      </c>
      <c r="H500">
        <v>10.3</v>
      </c>
      <c r="I500">
        <v>5.0999999999999996</v>
      </c>
      <c r="J500" t="s">
        <v>5436</v>
      </c>
      <c r="K500" t="s">
        <v>5437</v>
      </c>
      <c r="L500" t="s">
        <v>5438</v>
      </c>
      <c r="M500" t="s">
        <v>5439</v>
      </c>
      <c r="N500">
        <v>2969.578220549357</v>
      </c>
      <c r="O500">
        <v>3005.2131591959492</v>
      </c>
      <c r="P500">
        <v>3146.4581776781588</v>
      </c>
      <c r="Q500">
        <v>3398.174831892411</v>
      </c>
      <c r="R500">
        <v>3537.5</v>
      </c>
      <c r="S500" t="s">
        <v>5440</v>
      </c>
      <c r="T500" t="s">
        <v>5441</v>
      </c>
      <c r="U500" t="s">
        <v>5442</v>
      </c>
      <c r="V500" t="s">
        <v>94</v>
      </c>
      <c r="W500">
        <v>265472419.80000001</v>
      </c>
      <c r="X500">
        <v>266439117.80000001</v>
      </c>
      <c r="Y500">
        <v>267499117.80000001</v>
      </c>
      <c r="Z500">
        <v>268599117.80000001</v>
      </c>
      <c r="AA500">
        <v>270179117.80000001</v>
      </c>
      <c r="AB500">
        <v>3941705.5799730802</v>
      </c>
      <c r="AC500">
        <v>1327.3620989999999</v>
      </c>
      <c r="AD500">
        <v>4003531.7146855989</v>
      </c>
      <c r="AE500">
        <v>1332.1955889999999</v>
      </c>
      <c r="AF500">
        <v>4208373.9336175164</v>
      </c>
      <c r="AG500">
        <v>1337.4955890000001</v>
      </c>
      <c r="AH500">
        <v>4563733.8098823251</v>
      </c>
      <c r="AI500">
        <v>1342.9955890000001</v>
      </c>
      <c r="AJ500">
        <v>4778793.1460875003</v>
      </c>
      <c r="AK500">
        <v>1350.895589</v>
      </c>
    </row>
    <row r="501" spans="1:37" x14ac:dyDescent="0.35">
      <c r="A501" t="s">
        <v>5443</v>
      </c>
      <c r="B501">
        <v>19285.419999999998</v>
      </c>
      <c r="C501" t="s">
        <v>255</v>
      </c>
      <c r="D501" t="s">
        <v>5444</v>
      </c>
      <c r="E501" t="s">
        <v>5445</v>
      </c>
      <c r="F501">
        <v>4.1999999999999998E-5</v>
      </c>
      <c r="G501" t="s">
        <v>5446</v>
      </c>
      <c r="H501">
        <v>0.55000000000000004</v>
      </c>
      <c r="I501">
        <v>30530.65</v>
      </c>
      <c r="J501" t="s">
        <v>5447</v>
      </c>
      <c r="K501" t="s">
        <v>5448</v>
      </c>
      <c r="L501" t="s">
        <v>5449</v>
      </c>
      <c r="M501" t="s">
        <v>5450</v>
      </c>
      <c r="N501">
        <v>118710.1325836446</v>
      </c>
      <c r="O501">
        <v>120134.6541746483</v>
      </c>
      <c r="P501">
        <v>125780.9829208568</v>
      </c>
      <c r="Q501">
        <v>135843.46155452539</v>
      </c>
      <c r="R501">
        <v>141413.04347826089</v>
      </c>
      <c r="S501" t="s">
        <v>5451</v>
      </c>
      <c r="T501" t="s">
        <v>5452</v>
      </c>
      <c r="U501" t="s">
        <v>5453</v>
      </c>
      <c r="V501" t="s">
        <v>94</v>
      </c>
      <c r="W501">
        <v>265472419.80000001</v>
      </c>
      <c r="X501">
        <v>266439117.80000001</v>
      </c>
      <c r="Y501">
        <v>267499117.80000001</v>
      </c>
      <c r="Z501">
        <v>268599117.80000001</v>
      </c>
      <c r="AA501">
        <v>270179117.80000001</v>
      </c>
      <c r="AB501">
        <v>1323599178.3738761</v>
      </c>
      <c r="AC501">
        <v>11149.8416316</v>
      </c>
      <c r="AD501">
        <v>1344359993.571058</v>
      </c>
      <c r="AE501">
        <v>11190.4429476</v>
      </c>
      <c r="AF501">
        <v>1413144682.628535</v>
      </c>
      <c r="AG501">
        <v>11234.962947599999</v>
      </c>
      <c r="AH501">
        <v>1532472225.162637</v>
      </c>
      <c r="AI501">
        <v>11281.1629476</v>
      </c>
      <c r="AJ501">
        <v>1604687755.959522</v>
      </c>
      <c r="AK501">
        <v>11347.5229476</v>
      </c>
    </row>
    <row r="502" spans="1:37" x14ac:dyDescent="0.35">
      <c r="A502" t="s">
        <v>5454</v>
      </c>
      <c r="B502">
        <v>27867.78</v>
      </c>
      <c r="C502" t="s">
        <v>4958</v>
      </c>
      <c r="D502" t="s">
        <v>5455</v>
      </c>
      <c r="E502" t="s">
        <v>5456</v>
      </c>
      <c r="F502">
        <v>4.5300000000000003E-5</v>
      </c>
      <c r="G502" t="s">
        <v>5457</v>
      </c>
      <c r="H502">
        <v>0.25</v>
      </c>
      <c r="I502">
        <v>2.0499999999999998</v>
      </c>
      <c r="J502" t="s">
        <v>5458</v>
      </c>
      <c r="K502" t="s">
        <v>5459</v>
      </c>
      <c r="L502" t="s">
        <v>5460</v>
      </c>
      <c r="M502" t="s">
        <v>5461</v>
      </c>
      <c r="N502">
        <v>109129.3763028739</v>
      </c>
      <c r="O502">
        <v>110438.9288185084</v>
      </c>
      <c r="P502">
        <v>115629.5584729783</v>
      </c>
      <c r="Q502">
        <v>124879.9231508165</v>
      </c>
      <c r="R502">
        <v>130000</v>
      </c>
      <c r="S502" t="s">
        <v>5462</v>
      </c>
      <c r="T502" t="s">
        <v>5463</v>
      </c>
      <c r="U502" t="s">
        <v>5464</v>
      </c>
      <c r="V502" t="s">
        <v>94</v>
      </c>
      <c r="W502">
        <v>265472419.80000001</v>
      </c>
      <c r="X502">
        <v>266439117.80000001</v>
      </c>
      <c r="Y502">
        <v>267499117.80000001</v>
      </c>
      <c r="Z502">
        <v>268599117.80000001</v>
      </c>
      <c r="AA502">
        <v>270179117.80000001</v>
      </c>
      <c r="AB502">
        <v>1312379033.807009</v>
      </c>
      <c r="AC502">
        <v>12025.90061694</v>
      </c>
      <c r="AD502">
        <v>1332963859.6626711</v>
      </c>
      <c r="AE502">
        <v>12069.69203634</v>
      </c>
      <c r="AF502">
        <v>1401165461.2055719</v>
      </c>
      <c r="AG502">
        <v>12117.71003634</v>
      </c>
      <c r="AH502">
        <v>1519481464.6726229</v>
      </c>
      <c r="AI502">
        <v>12167.54003634</v>
      </c>
      <c r="AJ502">
        <v>1591084824.7242</v>
      </c>
      <c r="AK502">
        <v>12239.114036340001</v>
      </c>
    </row>
    <row r="503" spans="1:37" x14ac:dyDescent="0.35">
      <c r="A503" t="s">
        <v>5465</v>
      </c>
      <c r="B503">
        <v>269.35000000000002</v>
      </c>
      <c r="C503" t="s">
        <v>1724</v>
      </c>
      <c r="D503" t="s">
        <v>5466</v>
      </c>
      <c r="E503" t="s">
        <v>5467</v>
      </c>
      <c r="F503">
        <v>4.0000000000000003E-5</v>
      </c>
      <c r="G503" t="s">
        <v>5468</v>
      </c>
      <c r="H503">
        <v>102030.5</v>
      </c>
      <c r="I503">
        <v>520.5</v>
      </c>
      <c r="J503" t="s">
        <v>5469</v>
      </c>
      <c r="K503" t="s">
        <v>5470</v>
      </c>
      <c r="L503" t="s">
        <v>5471</v>
      </c>
      <c r="M503" t="s">
        <v>5472</v>
      </c>
      <c r="N503">
        <v>3612.8926651750271</v>
      </c>
      <c r="O503">
        <v>3656.2473771571272</v>
      </c>
      <c r="P503">
        <v>3828.0910038835118</v>
      </c>
      <c r="Q503">
        <v>4134.338284194193</v>
      </c>
      <c r="R503">
        <v>4303.8461538461543</v>
      </c>
      <c r="S503" t="s">
        <v>5473</v>
      </c>
      <c r="T503" t="s">
        <v>5474</v>
      </c>
      <c r="U503" t="s">
        <v>5475</v>
      </c>
      <c r="V503" t="s">
        <v>49</v>
      </c>
      <c r="W503">
        <v>338996155</v>
      </c>
      <c r="X503">
        <v>339500751</v>
      </c>
      <c r="Y503">
        <v>340560751</v>
      </c>
      <c r="Z503">
        <v>341660751</v>
      </c>
      <c r="AA503">
        <v>343660751</v>
      </c>
      <c r="AB503">
        <v>48990268.876881473</v>
      </c>
      <c r="AC503">
        <v>13559.8462</v>
      </c>
      <c r="AD503">
        <v>49651949.215465002</v>
      </c>
      <c r="AE503">
        <v>13580.03004</v>
      </c>
      <c r="AF503">
        <v>52147901.887156516</v>
      </c>
      <c r="AG503">
        <v>13622.430039999999</v>
      </c>
      <c r="AH503">
        <v>56501644.922633581</v>
      </c>
      <c r="AI503">
        <v>13666.430039999999</v>
      </c>
      <c r="AJ503">
        <v>59162520.056769237</v>
      </c>
      <c r="AK503">
        <v>13746.430039999999</v>
      </c>
    </row>
    <row r="504" spans="1:37" x14ac:dyDescent="0.35">
      <c r="A504" t="s">
        <v>5476</v>
      </c>
      <c r="B504">
        <v>95.48</v>
      </c>
      <c r="C504" t="s">
        <v>290</v>
      </c>
      <c r="D504" t="s">
        <v>5477</v>
      </c>
      <c r="E504" t="s">
        <v>5478</v>
      </c>
      <c r="F504">
        <v>1.6E-2</v>
      </c>
      <c r="G504" t="s">
        <v>5479</v>
      </c>
      <c r="H504">
        <v>0.3</v>
      </c>
      <c r="I504">
        <v>1.02</v>
      </c>
      <c r="J504" t="s">
        <v>5480</v>
      </c>
      <c r="K504" t="s">
        <v>5481</v>
      </c>
      <c r="L504" t="s">
        <v>5482</v>
      </c>
      <c r="M504" t="s">
        <v>5483</v>
      </c>
      <c r="N504">
        <v>582.68173772575199</v>
      </c>
      <c r="O504">
        <v>589.67391857846098</v>
      </c>
      <c r="P504">
        <v>617.38859275164862</v>
      </c>
      <c r="Q504">
        <v>666.77968017178057</v>
      </c>
      <c r="R504">
        <v>694.11764705882354</v>
      </c>
      <c r="S504" t="s">
        <v>5484</v>
      </c>
      <c r="T504" t="s">
        <v>5485</v>
      </c>
      <c r="U504" t="s">
        <v>5486</v>
      </c>
      <c r="V504" t="s">
        <v>49</v>
      </c>
      <c r="W504">
        <v>338996155</v>
      </c>
      <c r="X504">
        <v>339500751</v>
      </c>
      <c r="Y504">
        <v>340560751</v>
      </c>
      <c r="Z504">
        <v>341660751</v>
      </c>
      <c r="AA504">
        <v>343660751</v>
      </c>
      <c r="AB504">
        <v>3160429898.8439741</v>
      </c>
      <c r="AC504">
        <v>5423938.4800000004</v>
      </c>
      <c r="AD504">
        <v>3203115811.240005</v>
      </c>
      <c r="AE504">
        <v>5432012.0159999998</v>
      </c>
      <c r="AF504">
        <v>3364133164.9013538</v>
      </c>
      <c r="AG504">
        <v>5448972.0159999998</v>
      </c>
      <c r="AH504">
        <v>3644999140.4644861</v>
      </c>
      <c r="AI504">
        <v>5466572.0159999998</v>
      </c>
      <c r="AJ504">
        <v>3816655869.9294109</v>
      </c>
      <c r="AK504">
        <v>5498572.0159999998</v>
      </c>
    </row>
    <row r="505" spans="1:37" x14ac:dyDescent="0.35">
      <c r="A505" t="s">
        <v>5487</v>
      </c>
      <c r="B505">
        <v>153.33000000000001</v>
      </c>
      <c r="C505" t="s">
        <v>1055</v>
      </c>
      <c r="D505" t="s">
        <v>5488</v>
      </c>
      <c r="E505" t="s">
        <v>5489</v>
      </c>
      <c r="F505">
        <v>5.1999999999999998E-3</v>
      </c>
      <c r="G505" t="s">
        <v>5490</v>
      </c>
      <c r="H505">
        <v>0.3</v>
      </c>
      <c r="I505">
        <v>700002020.29999995</v>
      </c>
      <c r="J505" t="s">
        <v>5491</v>
      </c>
      <c r="K505" t="s">
        <v>5492</v>
      </c>
      <c r="L505" t="s">
        <v>5493</v>
      </c>
      <c r="M505" t="s">
        <v>5494</v>
      </c>
      <c r="N505">
        <v>470.62043530614358</v>
      </c>
      <c r="O505">
        <v>476.26788052981732</v>
      </c>
      <c r="P505">
        <v>498.65247091471872</v>
      </c>
      <c r="Q505">
        <v>538.54466858789624</v>
      </c>
      <c r="R505">
        <v>560.625</v>
      </c>
      <c r="S505" t="s">
        <v>5495</v>
      </c>
      <c r="T505" t="s">
        <v>5496</v>
      </c>
      <c r="U505" t="s">
        <v>3884</v>
      </c>
      <c r="V505" t="s">
        <v>49</v>
      </c>
      <c r="W505">
        <v>338996155</v>
      </c>
      <c r="X505">
        <v>339500751</v>
      </c>
      <c r="Y505">
        <v>340560751</v>
      </c>
      <c r="Z505">
        <v>341660751</v>
      </c>
      <c r="AA505">
        <v>343660751</v>
      </c>
      <c r="AB505">
        <v>829600293.77268636</v>
      </c>
      <c r="AC505">
        <v>1762780.0060000001</v>
      </c>
      <c r="AD505">
        <v>840805176.20866656</v>
      </c>
      <c r="AE505">
        <v>1765403.9051999999</v>
      </c>
      <c r="AF505">
        <v>883071591.91015577</v>
      </c>
      <c r="AG505">
        <v>1770915.9051999999</v>
      </c>
      <c r="AH505">
        <v>956797794.76729095</v>
      </c>
      <c r="AI505">
        <v>1776635.9051999999</v>
      </c>
      <c r="AJ505">
        <v>1001857004.3527499</v>
      </c>
      <c r="AK505">
        <v>1787035.9051999999</v>
      </c>
    </row>
    <row r="506" spans="1:37" x14ac:dyDescent="0.35">
      <c r="A506" t="s">
        <v>5497</v>
      </c>
      <c r="B506">
        <v>165.83</v>
      </c>
      <c r="C506" t="s">
        <v>290</v>
      </c>
      <c r="D506" t="s">
        <v>5498</v>
      </c>
      <c r="E506" t="s">
        <v>5499</v>
      </c>
      <c r="F506">
        <v>1.6E-2</v>
      </c>
      <c r="G506" t="s">
        <v>5500</v>
      </c>
      <c r="H506">
        <v>0.2</v>
      </c>
      <c r="I506">
        <v>3.01</v>
      </c>
      <c r="J506" t="s">
        <v>5501</v>
      </c>
      <c r="K506" t="s">
        <v>5502</v>
      </c>
      <c r="L506" t="s">
        <v>5503</v>
      </c>
      <c r="M506" t="s">
        <v>5504</v>
      </c>
      <c r="N506">
        <v>582.68173772575199</v>
      </c>
      <c r="O506">
        <v>589.67391857846098</v>
      </c>
      <c r="P506">
        <v>617.38859275164862</v>
      </c>
      <c r="Q506">
        <v>666.77968017178057</v>
      </c>
      <c r="R506">
        <v>694.11764705882354</v>
      </c>
      <c r="S506" t="s">
        <v>5505</v>
      </c>
      <c r="T506" t="s">
        <v>5506</v>
      </c>
      <c r="U506" t="s">
        <v>5507</v>
      </c>
      <c r="V506" t="s">
        <v>49</v>
      </c>
      <c r="W506">
        <v>338996155</v>
      </c>
      <c r="X506">
        <v>339500751</v>
      </c>
      <c r="Y506">
        <v>340560751</v>
      </c>
      <c r="Z506">
        <v>341660751</v>
      </c>
      <c r="AA506">
        <v>343660751</v>
      </c>
      <c r="AB506">
        <v>3160429898.8439741</v>
      </c>
      <c r="AC506">
        <v>5423938.4800000004</v>
      </c>
      <c r="AD506">
        <v>3203115811.240005</v>
      </c>
      <c r="AE506">
        <v>5432012.0159999998</v>
      </c>
      <c r="AF506">
        <v>3364133164.9013538</v>
      </c>
      <c r="AG506">
        <v>5448972.0159999998</v>
      </c>
      <c r="AH506">
        <v>3644999140.4644861</v>
      </c>
      <c r="AI506">
        <v>5466572.0159999998</v>
      </c>
      <c r="AJ506">
        <v>3816655869.9294109</v>
      </c>
      <c r="AK506">
        <v>5498572.0159999998</v>
      </c>
    </row>
    <row r="507" spans="1:37" x14ac:dyDescent="0.35">
      <c r="A507" t="s">
        <v>5508</v>
      </c>
      <c r="B507">
        <v>433.87</v>
      </c>
      <c r="C507" t="s">
        <v>208</v>
      </c>
      <c r="D507" t="s">
        <v>5509</v>
      </c>
      <c r="E507" t="s">
        <v>5510</v>
      </c>
      <c r="F507">
        <v>3.1E-2</v>
      </c>
      <c r="G507" t="s">
        <v>5511</v>
      </c>
      <c r="H507">
        <v>30.4</v>
      </c>
      <c r="I507">
        <v>0.02</v>
      </c>
      <c r="J507" t="s">
        <v>5512</v>
      </c>
      <c r="K507" t="s">
        <v>5513</v>
      </c>
      <c r="L507" t="s">
        <v>5514</v>
      </c>
      <c r="M507" t="s">
        <v>5515</v>
      </c>
      <c r="N507">
        <v>1106.1651733936201</v>
      </c>
      <c r="O507">
        <v>1119.4391554743429</v>
      </c>
      <c r="P507">
        <v>1172.0527957816371</v>
      </c>
      <c r="Q507">
        <v>1265.817019444168</v>
      </c>
      <c r="R507">
        <v>1317.7155172413791</v>
      </c>
      <c r="S507" t="s">
        <v>5516</v>
      </c>
      <c r="T507" t="s">
        <v>5517</v>
      </c>
      <c r="U507" t="s">
        <v>530</v>
      </c>
      <c r="V507" t="s">
        <v>94</v>
      </c>
      <c r="W507">
        <v>265472419.80000001</v>
      </c>
      <c r="X507">
        <v>266439117.80000001</v>
      </c>
      <c r="Y507">
        <v>267499117.80000001</v>
      </c>
      <c r="Z507">
        <v>268599117.80000001</v>
      </c>
      <c r="AA507">
        <v>270179117.80000001</v>
      </c>
      <c r="AB507">
        <v>9103346703.6580143</v>
      </c>
      <c r="AC507">
        <v>8229645.0138000008</v>
      </c>
      <c r="AD507">
        <v>9246133811.4761925</v>
      </c>
      <c r="AE507">
        <v>8259612.6518000001</v>
      </c>
      <c r="AF507">
        <v>9719215755.4849567</v>
      </c>
      <c r="AG507">
        <v>8292472.6518000001</v>
      </c>
      <c r="AH507">
        <v>10539917376.2868</v>
      </c>
      <c r="AI507">
        <v>8326572.6518000001</v>
      </c>
      <c r="AJ507">
        <v>11036595694.749041</v>
      </c>
      <c r="AK507">
        <v>8375552.6518000001</v>
      </c>
    </row>
    <row r="508" spans="1:37" x14ac:dyDescent="0.35">
      <c r="A508" t="s">
        <v>5518</v>
      </c>
      <c r="B508">
        <v>274.54000000000002</v>
      </c>
      <c r="C508" t="s">
        <v>208</v>
      </c>
      <c r="D508" t="s">
        <v>5519</v>
      </c>
      <c r="E508" t="s">
        <v>5520</v>
      </c>
      <c r="F508">
        <v>3.1E-2</v>
      </c>
      <c r="G508" t="s">
        <v>5521</v>
      </c>
      <c r="H508">
        <v>0.3</v>
      </c>
      <c r="J508" t="s">
        <v>5522</v>
      </c>
      <c r="K508" t="s">
        <v>5523</v>
      </c>
      <c r="L508" t="s">
        <v>5524</v>
      </c>
      <c r="M508" t="s">
        <v>5525</v>
      </c>
      <c r="N508">
        <v>1106.1651733936201</v>
      </c>
      <c r="O508">
        <v>1119.4391554743429</v>
      </c>
      <c r="P508">
        <v>1172.0527957816371</v>
      </c>
      <c r="Q508">
        <v>1265.817019444168</v>
      </c>
      <c r="R508">
        <v>1317.7155172413791</v>
      </c>
      <c r="S508" t="s">
        <v>5526</v>
      </c>
      <c r="T508" t="s">
        <v>5527</v>
      </c>
      <c r="U508" t="s">
        <v>1534</v>
      </c>
      <c r="V508" t="s">
        <v>94</v>
      </c>
      <c r="W508">
        <v>265472419.80000001</v>
      </c>
      <c r="X508">
        <v>266439117.80000001</v>
      </c>
      <c r="Y508">
        <v>267499117.80000001</v>
      </c>
      <c r="Z508">
        <v>268599117.80000001</v>
      </c>
      <c r="AA508">
        <v>270179117.80000001</v>
      </c>
      <c r="AB508">
        <v>9103346703.6580143</v>
      </c>
      <c r="AC508">
        <v>8229645.0138000008</v>
      </c>
      <c r="AD508">
        <v>9246133811.4761925</v>
      </c>
      <c r="AE508">
        <v>8259612.6518000001</v>
      </c>
      <c r="AF508">
        <v>9719215755.4849567</v>
      </c>
      <c r="AG508">
        <v>8292472.6518000001</v>
      </c>
      <c r="AH508">
        <v>10539917376.2868</v>
      </c>
      <c r="AI508">
        <v>8326572.6518000001</v>
      </c>
      <c r="AJ508">
        <v>11036595694.749041</v>
      </c>
      <c r="AK508">
        <v>8375552.6518000001</v>
      </c>
    </row>
    <row r="509" spans="1:37" x14ac:dyDescent="0.35">
      <c r="A509" t="s">
        <v>5528</v>
      </c>
      <c r="B509">
        <v>342.02</v>
      </c>
      <c r="C509" t="s">
        <v>208</v>
      </c>
      <c r="D509" t="s">
        <v>5529</v>
      </c>
      <c r="E509" t="s">
        <v>5530</v>
      </c>
      <c r="F509">
        <v>3.1E-2</v>
      </c>
      <c r="G509" t="s">
        <v>5531</v>
      </c>
      <c r="H509">
        <v>40.299999999999997</v>
      </c>
      <c r="I509">
        <v>0.2</v>
      </c>
      <c r="J509" t="s">
        <v>5532</v>
      </c>
      <c r="K509" t="s">
        <v>5533</v>
      </c>
      <c r="L509" t="s">
        <v>5534</v>
      </c>
      <c r="M509" t="s">
        <v>5535</v>
      </c>
      <c r="N509">
        <v>1106.1651733936201</v>
      </c>
      <c r="O509">
        <v>1119.4391554743429</v>
      </c>
      <c r="P509">
        <v>1172.0527957816371</v>
      </c>
      <c r="Q509">
        <v>1265.817019444168</v>
      </c>
      <c r="R509">
        <v>1317.7155172413791</v>
      </c>
      <c r="S509" t="s">
        <v>5536</v>
      </c>
      <c r="T509" t="s">
        <v>5537</v>
      </c>
      <c r="U509" t="s">
        <v>241</v>
      </c>
      <c r="V509" t="s">
        <v>94</v>
      </c>
      <c r="W509">
        <v>265472419.80000001</v>
      </c>
      <c r="X509">
        <v>266439117.80000001</v>
      </c>
      <c r="Y509">
        <v>267499117.80000001</v>
      </c>
      <c r="Z509">
        <v>268599117.80000001</v>
      </c>
      <c r="AA509">
        <v>270179117.80000001</v>
      </c>
      <c r="AB509">
        <v>9103346703.6580143</v>
      </c>
      <c r="AC509">
        <v>8229645.0138000008</v>
      </c>
      <c r="AD509">
        <v>9246133811.4761925</v>
      </c>
      <c r="AE509">
        <v>8259612.6518000001</v>
      </c>
      <c r="AF509">
        <v>9719215755.4849567</v>
      </c>
      <c r="AG509">
        <v>8292472.6518000001</v>
      </c>
      <c r="AH509">
        <v>10539917376.2868</v>
      </c>
      <c r="AI509">
        <v>8326572.6518000001</v>
      </c>
      <c r="AJ509">
        <v>11036595694.749041</v>
      </c>
      <c r="AK509">
        <v>8375552.6518000001</v>
      </c>
    </row>
    <row r="510" spans="1:37" x14ac:dyDescent="0.35">
      <c r="A510" t="s">
        <v>5538</v>
      </c>
      <c r="B510">
        <v>333.26</v>
      </c>
      <c r="C510" t="s">
        <v>208</v>
      </c>
      <c r="D510" t="s">
        <v>5539</v>
      </c>
      <c r="E510" t="s">
        <v>5540</v>
      </c>
      <c r="F510">
        <v>3.1E-2</v>
      </c>
      <c r="G510" t="s">
        <v>5541</v>
      </c>
      <c r="H510">
        <v>0.4</v>
      </c>
      <c r="J510" t="s">
        <v>5542</v>
      </c>
      <c r="K510" t="s">
        <v>5543</v>
      </c>
      <c r="L510" t="s">
        <v>5544</v>
      </c>
      <c r="M510" t="s">
        <v>5545</v>
      </c>
      <c r="N510">
        <v>1106.1651733936201</v>
      </c>
      <c r="O510">
        <v>1119.4391554743429</v>
      </c>
      <c r="P510">
        <v>1172.0527957816371</v>
      </c>
      <c r="Q510">
        <v>1265.817019444168</v>
      </c>
      <c r="R510">
        <v>1317.7155172413791</v>
      </c>
      <c r="S510" t="s">
        <v>5546</v>
      </c>
      <c r="T510" t="s">
        <v>5547</v>
      </c>
      <c r="U510" t="s">
        <v>241</v>
      </c>
      <c r="V510" t="s">
        <v>94</v>
      </c>
      <c r="W510">
        <v>265472419.80000001</v>
      </c>
      <c r="X510">
        <v>266439117.80000001</v>
      </c>
      <c r="Y510">
        <v>267499117.80000001</v>
      </c>
      <c r="Z510">
        <v>268599117.80000001</v>
      </c>
      <c r="AA510">
        <v>270179117.80000001</v>
      </c>
      <c r="AB510">
        <v>9103346703.6580143</v>
      </c>
      <c r="AC510">
        <v>8229645.0138000008</v>
      </c>
      <c r="AD510">
        <v>9246133811.4761925</v>
      </c>
      <c r="AE510">
        <v>8259612.6518000001</v>
      </c>
      <c r="AF510">
        <v>9719215755.4849567</v>
      </c>
      <c r="AG510">
        <v>8292472.6518000001</v>
      </c>
      <c r="AH510">
        <v>10539917376.2868</v>
      </c>
      <c r="AI510">
        <v>8326572.6518000001</v>
      </c>
      <c r="AJ510">
        <v>11036595694.749041</v>
      </c>
      <c r="AK510">
        <v>8375552.6518000001</v>
      </c>
    </row>
    <row r="511" spans="1:37" x14ac:dyDescent="0.35">
      <c r="A511" t="s">
        <v>5548</v>
      </c>
      <c r="B511">
        <v>414.68</v>
      </c>
      <c r="C511" t="s">
        <v>208</v>
      </c>
      <c r="D511" t="s">
        <v>3102</v>
      </c>
      <c r="E511" t="s">
        <v>5549</v>
      </c>
      <c r="F511">
        <v>3.1E-2</v>
      </c>
      <c r="G511" t="s">
        <v>5550</v>
      </c>
      <c r="H511">
        <v>0.36</v>
      </c>
      <c r="I511">
        <v>0.01</v>
      </c>
      <c r="J511" t="s">
        <v>5551</v>
      </c>
      <c r="K511" t="s">
        <v>5552</v>
      </c>
      <c r="L511" t="s">
        <v>5553</v>
      </c>
      <c r="M511" t="s">
        <v>5554</v>
      </c>
      <c r="N511">
        <v>1106.1651733936201</v>
      </c>
      <c r="O511">
        <v>1119.4391554743429</v>
      </c>
      <c r="P511">
        <v>1172.0527957816371</v>
      </c>
      <c r="Q511">
        <v>1265.817019444168</v>
      </c>
      <c r="R511">
        <v>1317.7155172413791</v>
      </c>
      <c r="S511" t="s">
        <v>5555</v>
      </c>
      <c r="T511" t="s">
        <v>5556</v>
      </c>
      <c r="U511" t="s">
        <v>241</v>
      </c>
      <c r="V511" t="s">
        <v>94</v>
      </c>
      <c r="W511">
        <v>265472419.80000001</v>
      </c>
      <c r="X511">
        <v>266439117.80000001</v>
      </c>
      <c r="Y511">
        <v>267499117.80000001</v>
      </c>
      <c r="Z511">
        <v>268599117.80000001</v>
      </c>
      <c r="AA511">
        <v>270179117.80000001</v>
      </c>
      <c r="AB511">
        <v>9103346703.6580143</v>
      </c>
      <c r="AC511">
        <v>8229645.0138000008</v>
      </c>
      <c r="AD511">
        <v>9246133811.4761925</v>
      </c>
      <c r="AE511">
        <v>8259612.6518000001</v>
      </c>
      <c r="AF511">
        <v>9719215755.4849567</v>
      </c>
      <c r="AG511">
        <v>8292472.6518000001</v>
      </c>
      <c r="AH511">
        <v>10539917376.2868</v>
      </c>
      <c r="AI511">
        <v>8326572.6518000001</v>
      </c>
      <c r="AJ511">
        <v>11036595694.749041</v>
      </c>
      <c r="AK511">
        <v>8375552.6518000001</v>
      </c>
    </row>
    <row r="512" spans="1:37" x14ac:dyDescent="0.35">
      <c r="A512" t="s">
        <v>5557</v>
      </c>
      <c r="B512">
        <v>550.39</v>
      </c>
      <c r="C512" t="s">
        <v>208</v>
      </c>
      <c r="D512" t="s">
        <v>5558</v>
      </c>
      <c r="E512" t="s">
        <v>5559</v>
      </c>
      <c r="F512">
        <v>3.1E-2</v>
      </c>
      <c r="G512" t="s">
        <v>5560</v>
      </c>
      <c r="H512">
        <v>0.3</v>
      </c>
      <c r="I512">
        <v>0.2</v>
      </c>
      <c r="J512" t="s">
        <v>5561</v>
      </c>
      <c r="K512" t="s">
        <v>5562</v>
      </c>
      <c r="L512" t="s">
        <v>5563</v>
      </c>
      <c r="M512" t="s">
        <v>5564</v>
      </c>
      <c r="N512">
        <v>1106.1651733936201</v>
      </c>
      <c r="O512">
        <v>1119.4391554743429</v>
      </c>
      <c r="P512">
        <v>1172.0527957816371</v>
      </c>
      <c r="Q512">
        <v>1265.817019444168</v>
      </c>
      <c r="R512">
        <v>1317.7155172413791</v>
      </c>
      <c r="S512" t="s">
        <v>5565</v>
      </c>
      <c r="T512" t="s">
        <v>5566</v>
      </c>
      <c r="U512" t="s">
        <v>241</v>
      </c>
      <c r="V512" t="s">
        <v>94</v>
      </c>
      <c r="W512">
        <v>265472419.80000001</v>
      </c>
      <c r="X512">
        <v>266439117.80000001</v>
      </c>
      <c r="Y512">
        <v>267499117.80000001</v>
      </c>
      <c r="Z512">
        <v>268599117.80000001</v>
      </c>
      <c r="AA512">
        <v>270179117.80000001</v>
      </c>
      <c r="AB512">
        <v>9103346703.6580143</v>
      </c>
      <c r="AC512">
        <v>8229645.0138000008</v>
      </c>
      <c r="AD512">
        <v>9246133811.4761925</v>
      </c>
      <c r="AE512">
        <v>8259612.6518000001</v>
      </c>
      <c r="AF512">
        <v>9719215755.4849567</v>
      </c>
      <c r="AG512">
        <v>8292472.6518000001</v>
      </c>
      <c r="AH512">
        <v>10539917376.2868</v>
      </c>
      <c r="AI512">
        <v>8326572.6518000001</v>
      </c>
      <c r="AJ512">
        <v>11036595694.749041</v>
      </c>
      <c r="AK512">
        <v>8375552.6518000001</v>
      </c>
    </row>
    <row r="513" spans="1:37" x14ac:dyDescent="0.35">
      <c r="A513" t="s">
        <v>5567</v>
      </c>
      <c r="B513">
        <v>825.5</v>
      </c>
      <c r="C513" t="s">
        <v>208</v>
      </c>
      <c r="D513" t="s">
        <v>5568</v>
      </c>
      <c r="E513" t="s">
        <v>5569</v>
      </c>
      <c r="F513">
        <v>3.1E-2</v>
      </c>
      <c r="G513" t="s">
        <v>5570</v>
      </c>
      <c r="H513">
        <v>0.4</v>
      </c>
      <c r="J513" t="s">
        <v>5571</v>
      </c>
      <c r="K513" t="s">
        <v>5572</v>
      </c>
      <c r="L513" t="s">
        <v>5573</v>
      </c>
      <c r="M513" t="s">
        <v>5574</v>
      </c>
      <c r="N513">
        <v>1106.1651733936201</v>
      </c>
      <c r="O513">
        <v>1119.4391554743429</v>
      </c>
      <c r="P513">
        <v>1172.0527957816371</v>
      </c>
      <c r="Q513">
        <v>1265.817019444168</v>
      </c>
      <c r="R513">
        <v>1317.7155172413791</v>
      </c>
      <c r="S513" t="s">
        <v>5575</v>
      </c>
      <c r="T513" t="s">
        <v>5576</v>
      </c>
      <c r="U513" t="s">
        <v>218</v>
      </c>
      <c r="V513" t="s">
        <v>94</v>
      </c>
      <c r="W513">
        <v>265472419.80000001</v>
      </c>
      <c r="X513">
        <v>266439117.80000001</v>
      </c>
      <c r="Y513">
        <v>267499117.80000001</v>
      </c>
      <c r="Z513">
        <v>268599117.80000001</v>
      </c>
      <c r="AA513">
        <v>270179117.80000001</v>
      </c>
      <c r="AB513">
        <v>9103346703.6580143</v>
      </c>
      <c r="AC513">
        <v>8229645.0138000008</v>
      </c>
      <c r="AD513">
        <v>9246133811.4761925</v>
      </c>
      <c r="AE513">
        <v>8259612.6518000001</v>
      </c>
      <c r="AF513">
        <v>9719215755.4849567</v>
      </c>
      <c r="AG513">
        <v>8292472.6518000001</v>
      </c>
      <c r="AH513">
        <v>10539917376.2868</v>
      </c>
      <c r="AI513">
        <v>8326572.6518000001</v>
      </c>
      <c r="AJ513">
        <v>11036595694.749041</v>
      </c>
      <c r="AK513">
        <v>8375552.6518000001</v>
      </c>
    </row>
    <row r="514" spans="1:37" x14ac:dyDescent="0.35">
      <c r="A514" t="s">
        <v>5577</v>
      </c>
      <c r="B514">
        <v>456.37</v>
      </c>
      <c r="C514" t="s">
        <v>208</v>
      </c>
      <c r="D514" t="s">
        <v>5578</v>
      </c>
      <c r="E514" t="s">
        <v>5579</v>
      </c>
      <c r="F514">
        <v>3.1E-2</v>
      </c>
      <c r="G514" t="s">
        <v>5580</v>
      </c>
      <c r="H514">
        <v>0.3</v>
      </c>
      <c r="I514">
        <v>0.02</v>
      </c>
      <c r="J514" t="s">
        <v>5581</v>
      </c>
      <c r="K514" t="s">
        <v>5582</v>
      </c>
      <c r="L514" t="s">
        <v>5583</v>
      </c>
      <c r="M514" t="s">
        <v>5584</v>
      </c>
      <c r="N514">
        <v>1106.1651733936201</v>
      </c>
      <c r="O514">
        <v>1119.4391554743429</v>
      </c>
      <c r="P514">
        <v>1172.0527957816371</v>
      </c>
      <c r="Q514">
        <v>1265.817019444168</v>
      </c>
      <c r="R514">
        <v>1317.7155172413791</v>
      </c>
      <c r="S514" t="s">
        <v>5585</v>
      </c>
      <c r="T514" t="s">
        <v>5586</v>
      </c>
      <c r="U514" t="s">
        <v>5587</v>
      </c>
      <c r="V514" t="s">
        <v>94</v>
      </c>
      <c r="W514">
        <v>265472419.80000001</v>
      </c>
      <c r="X514">
        <v>266439117.80000001</v>
      </c>
      <c r="Y514">
        <v>267499117.80000001</v>
      </c>
      <c r="Z514">
        <v>268599117.80000001</v>
      </c>
      <c r="AA514">
        <v>270179117.80000001</v>
      </c>
      <c r="AB514">
        <v>9103346703.6580143</v>
      </c>
      <c r="AC514">
        <v>8229645.0138000008</v>
      </c>
      <c r="AD514">
        <v>9246133811.4761925</v>
      </c>
      <c r="AE514">
        <v>8259612.6518000001</v>
      </c>
      <c r="AF514">
        <v>9719215755.4849567</v>
      </c>
      <c r="AG514">
        <v>8292472.6518000001</v>
      </c>
      <c r="AH514">
        <v>10539917376.2868</v>
      </c>
      <c r="AI514">
        <v>8326572.6518000001</v>
      </c>
      <c r="AJ514">
        <v>11036595694.749041</v>
      </c>
      <c r="AK514">
        <v>8375552.6518000001</v>
      </c>
    </row>
    <row r="515" spans="1:37" x14ac:dyDescent="0.35">
      <c r="A515" t="s">
        <v>5588</v>
      </c>
      <c r="B515">
        <v>237.17</v>
      </c>
      <c r="C515" t="s">
        <v>208</v>
      </c>
      <c r="D515" t="s">
        <v>5589</v>
      </c>
      <c r="E515" t="s">
        <v>5590</v>
      </c>
      <c r="F515">
        <v>3.1E-2</v>
      </c>
      <c r="G515" t="s">
        <v>5591</v>
      </c>
      <c r="H515">
        <v>30.4</v>
      </c>
      <c r="I515">
        <v>0.02</v>
      </c>
      <c r="J515" t="s">
        <v>5592</v>
      </c>
      <c r="K515" t="s">
        <v>5593</v>
      </c>
      <c r="L515" t="s">
        <v>5594</v>
      </c>
      <c r="M515" t="s">
        <v>5595</v>
      </c>
      <c r="N515">
        <v>1106.1651733936201</v>
      </c>
      <c r="O515">
        <v>1119.4391554743429</v>
      </c>
      <c r="P515">
        <v>1172.0527957816371</v>
      </c>
      <c r="Q515">
        <v>1265.817019444168</v>
      </c>
      <c r="R515">
        <v>1317.7155172413791</v>
      </c>
      <c r="S515" t="s">
        <v>5596</v>
      </c>
      <c r="T515" t="s">
        <v>5597</v>
      </c>
      <c r="U515" t="s">
        <v>1248</v>
      </c>
      <c r="V515" t="s">
        <v>94</v>
      </c>
      <c r="W515">
        <v>265472419.80000001</v>
      </c>
      <c r="X515">
        <v>266439117.80000001</v>
      </c>
      <c r="Y515">
        <v>267499117.80000001</v>
      </c>
      <c r="Z515">
        <v>268599117.80000001</v>
      </c>
      <c r="AA515">
        <v>270179117.80000001</v>
      </c>
      <c r="AB515">
        <v>9103346703.6580143</v>
      </c>
      <c r="AC515">
        <v>8229645.0138000008</v>
      </c>
      <c r="AD515">
        <v>9246133811.4761925</v>
      </c>
      <c r="AE515">
        <v>8259612.6518000001</v>
      </c>
      <c r="AF515">
        <v>9719215755.4849567</v>
      </c>
      <c r="AG515">
        <v>8292472.6518000001</v>
      </c>
      <c r="AH515">
        <v>10539917376.2868</v>
      </c>
      <c r="AI515">
        <v>8326572.6518000001</v>
      </c>
      <c r="AJ515">
        <v>11036595694.749041</v>
      </c>
      <c r="AK515">
        <v>8375552.6518000001</v>
      </c>
    </row>
    <row r="516" spans="1:37" x14ac:dyDescent="0.35">
      <c r="A516" t="s">
        <v>5598</v>
      </c>
      <c r="B516">
        <v>905.03</v>
      </c>
      <c r="C516" t="s">
        <v>1172</v>
      </c>
      <c r="D516" t="s">
        <v>5599</v>
      </c>
      <c r="E516" t="s">
        <v>5600</v>
      </c>
      <c r="F516">
        <v>0.02</v>
      </c>
      <c r="G516" t="s">
        <v>5601</v>
      </c>
      <c r="H516">
        <v>20.3</v>
      </c>
      <c r="I516">
        <v>0.05</v>
      </c>
      <c r="J516" t="s">
        <v>5602</v>
      </c>
      <c r="K516" t="s">
        <v>5603</v>
      </c>
      <c r="L516" t="s">
        <v>5604</v>
      </c>
      <c r="M516" t="s">
        <v>5605</v>
      </c>
      <c r="N516">
        <v>5009.5815501930119</v>
      </c>
      <c r="O516">
        <v>5069.696528795328</v>
      </c>
      <c r="P516">
        <v>5307.9722656487083</v>
      </c>
      <c r="Q516">
        <v>5732.6100469006051</v>
      </c>
      <c r="R516">
        <v>5967.6470588235297</v>
      </c>
      <c r="S516" t="s">
        <v>5606</v>
      </c>
      <c r="T516" t="s">
        <v>5607</v>
      </c>
      <c r="U516" t="s">
        <v>5608</v>
      </c>
      <c r="V516" t="s">
        <v>94</v>
      </c>
      <c r="W516">
        <v>265472419.80000001</v>
      </c>
      <c r="X516">
        <v>266439117.80000001</v>
      </c>
      <c r="Y516">
        <v>267499117.80000001</v>
      </c>
      <c r="Z516">
        <v>268599117.80000001</v>
      </c>
      <c r="AA516">
        <v>270179117.80000001</v>
      </c>
      <c r="AB516">
        <v>26598114726.303478</v>
      </c>
      <c r="AC516">
        <v>5309448.3960000006</v>
      </c>
      <c r="AD516">
        <v>27015309412.918991</v>
      </c>
      <c r="AE516">
        <v>5328782.3560000006</v>
      </c>
      <c r="AF516">
        <v>28397557967.357941</v>
      </c>
      <c r="AG516">
        <v>5349982.3560000006</v>
      </c>
      <c r="AH516">
        <v>30795480025.778389</v>
      </c>
      <c r="AI516">
        <v>5371982.3560000006</v>
      </c>
      <c r="AJ516">
        <v>32246672353.894119</v>
      </c>
      <c r="AK516">
        <v>5403582.3560000006</v>
      </c>
    </row>
    <row r="517" spans="1:37" x14ac:dyDescent="0.35">
      <c r="A517" t="s">
        <v>5609</v>
      </c>
      <c r="B517">
        <v>905.03</v>
      </c>
      <c r="C517" t="s">
        <v>1172</v>
      </c>
      <c r="D517" t="s">
        <v>5610</v>
      </c>
      <c r="E517" t="s">
        <v>5611</v>
      </c>
      <c r="F517">
        <v>0.02</v>
      </c>
      <c r="G517" t="s">
        <v>5612</v>
      </c>
      <c r="H517">
        <v>3025.1</v>
      </c>
      <c r="I517">
        <v>1.05</v>
      </c>
      <c r="J517" t="s">
        <v>5613</v>
      </c>
      <c r="K517" t="s">
        <v>5614</v>
      </c>
      <c r="L517" t="s">
        <v>5615</v>
      </c>
      <c r="M517" t="s">
        <v>5616</v>
      </c>
      <c r="N517">
        <v>5009.5815501930119</v>
      </c>
      <c r="O517">
        <v>5069.696528795328</v>
      </c>
      <c r="P517">
        <v>5307.9722656487083</v>
      </c>
      <c r="Q517">
        <v>5732.6100469006051</v>
      </c>
      <c r="R517">
        <v>5967.6470588235297</v>
      </c>
      <c r="S517" t="s">
        <v>5617</v>
      </c>
      <c r="T517" t="s">
        <v>5618</v>
      </c>
      <c r="U517" t="s">
        <v>5608</v>
      </c>
      <c r="V517" t="s">
        <v>94</v>
      </c>
      <c r="W517">
        <v>265472419.80000001</v>
      </c>
      <c r="X517">
        <v>266439117.80000001</v>
      </c>
      <c r="Y517">
        <v>267499117.80000001</v>
      </c>
      <c r="Z517">
        <v>268599117.80000001</v>
      </c>
      <c r="AA517">
        <v>270179117.80000001</v>
      </c>
      <c r="AB517">
        <v>26598114726.303478</v>
      </c>
      <c r="AC517">
        <v>5309448.3960000006</v>
      </c>
      <c r="AD517">
        <v>27015309412.918991</v>
      </c>
      <c r="AE517">
        <v>5328782.3560000006</v>
      </c>
      <c r="AF517">
        <v>28397557967.357941</v>
      </c>
      <c r="AG517">
        <v>5349982.3560000006</v>
      </c>
      <c r="AH517">
        <v>30795480025.778389</v>
      </c>
      <c r="AI517">
        <v>5371982.3560000006</v>
      </c>
      <c r="AJ517">
        <v>32246672353.894119</v>
      </c>
      <c r="AK517">
        <v>5403582.3560000006</v>
      </c>
    </row>
    <row r="518" spans="1:37" x14ac:dyDescent="0.35">
      <c r="A518" t="s">
        <v>5619</v>
      </c>
      <c r="B518">
        <v>905.03</v>
      </c>
      <c r="C518" t="s">
        <v>1172</v>
      </c>
      <c r="D518" t="s">
        <v>5620</v>
      </c>
      <c r="E518" t="s">
        <v>5621</v>
      </c>
      <c r="F518">
        <v>0.02</v>
      </c>
      <c r="G518" t="s">
        <v>5622</v>
      </c>
      <c r="H518">
        <v>0.25</v>
      </c>
      <c r="I518">
        <v>0.01</v>
      </c>
      <c r="J518" t="s">
        <v>5623</v>
      </c>
      <c r="K518" t="s">
        <v>5624</v>
      </c>
      <c r="L518" t="s">
        <v>5625</v>
      </c>
      <c r="M518" t="s">
        <v>5626</v>
      </c>
      <c r="N518">
        <v>5009.5815501930119</v>
      </c>
      <c r="O518">
        <v>5069.696528795328</v>
      </c>
      <c r="P518">
        <v>5307.9722656487083</v>
      </c>
      <c r="Q518">
        <v>5732.6100469006051</v>
      </c>
      <c r="R518">
        <v>5967.6470588235297</v>
      </c>
      <c r="S518" t="s">
        <v>5627</v>
      </c>
      <c r="T518" t="s">
        <v>5628</v>
      </c>
      <c r="U518" t="s">
        <v>5629</v>
      </c>
      <c r="V518" t="s">
        <v>94</v>
      </c>
      <c r="W518">
        <v>265472419.80000001</v>
      </c>
      <c r="X518">
        <v>266439117.80000001</v>
      </c>
      <c r="Y518">
        <v>267499117.80000001</v>
      </c>
      <c r="Z518">
        <v>268599117.80000001</v>
      </c>
      <c r="AA518">
        <v>270179117.80000001</v>
      </c>
      <c r="AB518">
        <v>26598114726.303478</v>
      </c>
      <c r="AC518">
        <v>5309448.3960000006</v>
      </c>
      <c r="AD518">
        <v>27015309412.918991</v>
      </c>
      <c r="AE518">
        <v>5328782.3560000006</v>
      </c>
      <c r="AF518">
        <v>28397557967.357941</v>
      </c>
      <c r="AG518">
        <v>5349982.3560000006</v>
      </c>
      <c r="AH518">
        <v>30795480025.778389</v>
      </c>
      <c r="AI518">
        <v>5371982.3560000006</v>
      </c>
      <c r="AJ518">
        <v>32246672353.894119</v>
      </c>
      <c r="AK518">
        <v>5403582.3560000006</v>
      </c>
    </row>
    <row r="519" spans="1:37" x14ac:dyDescent="0.35">
      <c r="A519" t="s">
        <v>5630</v>
      </c>
      <c r="B519">
        <v>740.54</v>
      </c>
      <c r="C519" t="s">
        <v>1172</v>
      </c>
      <c r="D519" t="s">
        <v>5631</v>
      </c>
      <c r="E519" t="s">
        <v>5632</v>
      </c>
      <c r="F519">
        <v>0.02</v>
      </c>
      <c r="G519" t="s">
        <v>5633</v>
      </c>
      <c r="H519">
        <v>0.4</v>
      </c>
      <c r="I519">
        <v>0.01</v>
      </c>
      <c r="J519" t="s">
        <v>5634</v>
      </c>
      <c r="K519" t="s">
        <v>5635</v>
      </c>
      <c r="L519" t="s">
        <v>5636</v>
      </c>
      <c r="M519" t="s">
        <v>5637</v>
      </c>
      <c r="N519">
        <v>5009.5815501930119</v>
      </c>
      <c r="O519">
        <v>5069.696528795328</v>
      </c>
      <c r="P519">
        <v>5307.9722656487083</v>
      </c>
      <c r="Q519">
        <v>5732.6100469006051</v>
      </c>
      <c r="R519">
        <v>5967.6470588235297</v>
      </c>
      <c r="S519" t="s">
        <v>5638</v>
      </c>
      <c r="T519" t="s">
        <v>5639</v>
      </c>
      <c r="U519" t="s">
        <v>5640</v>
      </c>
      <c r="V519" t="s">
        <v>94</v>
      </c>
      <c r="W519">
        <v>265472419.80000001</v>
      </c>
      <c r="X519">
        <v>266439117.80000001</v>
      </c>
      <c r="Y519">
        <v>267499117.80000001</v>
      </c>
      <c r="Z519">
        <v>268599117.80000001</v>
      </c>
      <c r="AA519">
        <v>270179117.80000001</v>
      </c>
      <c r="AB519">
        <v>26598114726.303478</v>
      </c>
      <c r="AC519">
        <v>5309448.3960000006</v>
      </c>
      <c r="AD519">
        <v>27015309412.918991</v>
      </c>
      <c r="AE519">
        <v>5328782.3560000006</v>
      </c>
      <c r="AF519">
        <v>28397557967.357941</v>
      </c>
      <c r="AG519">
        <v>5349982.3560000006</v>
      </c>
      <c r="AH519">
        <v>30795480025.778389</v>
      </c>
      <c r="AI519">
        <v>5371982.3560000006</v>
      </c>
      <c r="AJ519">
        <v>32246672353.894119</v>
      </c>
      <c r="AK519">
        <v>5403582.3560000006</v>
      </c>
    </row>
    <row r="520" spans="1:37" x14ac:dyDescent="0.35">
      <c r="A520" t="s">
        <v>5641</v>
      </c>
      <c r="B520">
        <v>740.54</v>
      </c>
      <c r="C520" t="s">
        <v>1172</v>
      </c>
      <c r="D520" t="s">
        <v>5642</v>
      </c>
      <c r="E520" t="s">
        <v>5643</v>
      </c>
      <c r="F520">
        <v>0.02</v>
      </c>
      <c r="G520" t="s">
        <v>5644</v>
      </c>
      <c r="H520">
        <v>5060304020</v>
      </c>
      <c r="I520">
        <v>110</v>
      </c>
      <c r="J520" t="s">
        <v>5645</v>
      </c>
      <c r="K520" t="s">
        <v>5646</v>
      </c>
      <c r="L520" t="s">
        <v>5647</v>
      </c>
      <c r="M520" t="s">
        <v>5648</v>
      </c>
      <c r="N520">
        <v>5009.5815501930119</v>
      </c>
      <c r="O520">
        <v>5069.696528795328</v>
      </c>
      <c r="P520">
        <v>5307.9722656487083</v>
      </c>
      <c r="Q520">
        <v>5732.6100469006051</v>
      </c>
      <c r="R520">
        <v>5967.6470588235297</v>
      </c>
      <c r="S520" t="s">
        <v>5649</v>
      </c>
      <c r="T520" t="s">
        <v>5650</v>
      </c>
      <c r="U520" t="s">
        <v>5651</v>
      </c>
      <c r="V520" t="s">
        <v>94</v>
      </c>
      <c r="W520">
        <v>265472419.80000001</v>
      </c>
      <c r="X520">
        <v>266439117.80000001</v>
      </c>
      <c r="Y520">
        <v>267499117.80000001</v>
      </c>
      <c r="Z520">
        <v>268599117.80000001</v>
      </c>
      <c r="AA520">
        <v>270179117.80000001</v>
      </c>
      <c r="AB520">
        <v>26598114726.303478</v>
      </c>
      <c r="AC520">
        <v>5309448.3960000006</v>
      </c>
      <c r="AD520">
        <v>27015309412.918991</v>
      </c>
      <c r="AE520">
        <v>5328782.3560000006</v>
      </c>
      <c r="AF520">
        <v>28397557967.357941</v>
      </c>
      <c r="AG520">
        <v>5349982.3560000006</v>
      </c>
      <c r="AH520">
        <v>30795480025.778389</v>
      </c>
      <c r="AI520">
        <v>5371982.3560000006</v>
      </c>
      <c r="AJ520">
        <v>32246672353.894119</v>
      </c>
      <c r="AK520">
        <v>5403582.3560000006</v>
      </c>
    </row>
    <row r="521" spans="1:37" x14ac:dyDescent="0.35">
      <c r="A521" t="s">
        <v>5652</v>
      </c>
      <c r="B521">
        <v>740.54</v>
      </c>
      <c r="C521" t="s">
        <v>1172</v>
      </c>
      <c r="D521" t="s">
        <v>5653</v>
      </c>
      <c r="E521" t="s">
        <v>5654</v>
      </c>
      <c r="F521">
        <v>0.02</v>
      </c>
      <c r="G521" t="s">
        <v>5655</v>
      </c>
      <c r="H521">
        <v>0.3</v>
      </c>
      <c r="I521">
        <v>0.05</v>
      </c>
      <c r="J521" t="s">
        <v>5656</v>
      </c>
      <c r="K521" t="s">
        <v>5657</v>
      </c>
      <c r="L521" t="s">
        <v>5658</v>
      </c>
      <c r="M521" t="s">
        <v>5659</v>
      </c>
      <c r="N521">
        <v>5009.5815501930119</v>
      </c>
      <c r="O521">
        <v>5069.696528795328</v>
      </c>
      <c r="P521">
        <v>5307.9722656487083</v>
      </c>
      <c r="Q521">
        <v>5732.6100469006051</v>
      </c>
      <c r="R521">
        <v>5967.6470588235297</v>
      </c>
      <c r="S521" t="s">
        <v>5660</v>
      </c>
      <c r="T521" t="s">
        <v>5661</v>
      </c>
      <c r="U521" t="s">
        <v>1623</v>
      </c>
      <c r="V521" t="s">
        <v>94</v>
      </c>
      <c r="W521">
        <v>265472419.80000001</v>
      </c>
      <c r="X521">
        <v>266439117.80000001</v>
      </c>
      <c r="Y521">
        <v>267499117.80000001</v>
      </c>
      <c r="Z521">
        <v>268599117.80000001</v>
      </c>
      <c r="AA521">
        <v>270179117.80000001</v>
      </c>
      <c r="AB521">
        <v>26598114726.303478</v>
      </c>
      <c r="AC521">
        <v>5309448.3960000006</v>
      </c>
      <c r="AD521">
        <v>27015309412.918991</v>
      </c>
      <c r="AE521">
        <v>5328782.3560000006</v>
      </c>
      <c r="AF521">
        <v>28397557967.357941</v>
      </c>
      <c r="AG521">
        <v>5349982.3560000006</v>
      </c>
      <c r="AH521">
        <v>30795480025.778389</v>
      </c>
      <c r="AI521">
        <v>5371982.3560000006</v>
      </c>
      <c r="AJ521">
        <v>32246672353.894119</v>
      </c>
      <c r="AK521">
        <v>5403582.3560000006</v>
      </c>
    </row>
    <row r="522" spans="1:37" x14ac:dyDescent="0.35">
      <c r="A522" t="s">
        <v>5652</v>
      </c>
      <c r="B522">
        <v>740.54</v>
      </c>
      <c r="C522" t="s">
        <v>1825</v>
      </c>
      <c r="D522" t="s">
        <v>5653</v>
      </c>
      <c r="E522" t="s">
        <v>5654</v>
      </c>
      <c r="F522">
        <v>0.1</v>
      </c>
      <c r="G522" t="s">
        <v>5655</v>
      </c>
      <c r="H522">
        <v>0.3</v>
      </c>
      <c r="I522">
        <v>0.05</v>
      </c>
      <c r="J522" t="s">
        <v>5656</v>
      </c>
      <c r="K522" t="s">
        <v>5657</v>
      </c>
      <c r="L522" t="s">
        <v>5658</v>
      </c>
      <c r="M522" t="s">
        <v>5659</v>
      </c>
      <c r="N522">
        <v>4310.6103639635176</v>
      </c>
      <c r="O522">
        <v>4362.3376883310812</v>
      </c>
      <c r="P522">
        <v>4567.3675596826424</v>
      </c>
      <c r="Q522">
        <v>4932.7569644572532</v>
      </c>
      <c r="R522">
        <v>5135</v>
      </c>
      <c r="S522" t="s">
        <v>5660</v>
      </c>
      <c r="T522" t="s">
        <v>5661</v>
      </c>
      <c r="U522" t="s">
        <v>1623</v>
      </c>
      <c r="V522" t="s">
        <v>49</v>
      </c>
      <c r="W522">
        <v>338996155</v>
      </c>
      <c r="X522">
        <v>339500751</v>
      </c>
      <c r="Y522">
        <v>340560751</v>
      </c>
      <c r="Z522">
        <v>341660751</v>
      </c>
      <c r="AA522">
        <v>343660751</v>
      </c>
      <c r="AB522">
        <v>146128033908.67831</v>
      </c>
      <c r="AC522">
        <v>33899615.5</v>
      </c>
      <c r="AD522">
        <v>148101692130.4006</v>
      </c>
      <c r="AE522">
        <v>33950075.100000001</v>
      </c>
      <c r="AF522">
        <v>155546612621.8558</v>
      </c>
      <c r="AG522">
        <v>34056075.100000001</v>
      </c>
      <c r="AH522">
        <v>168532944897.69449</v>
      </c>
      <c r="AI522">
        <v>34166075.100000001</v>
      </c>
      <c r="AJ522">
        <v>176469795638.5</v>
      </c>
      <c r="AK522">
        <v>34366075.100000001</v>
      </c>
    </row>
    <row r="523" spans="1:37" x14ac:dyDescent="0.35">
      <c r="A523" t="s">
        <v>5662</v>
      </c>
      <c r="B523">
        <v>740.54</v>
      </c>
      <c r="C523" t="s">
        <v>1172</v>
      </c>
      <c r="D523" t="s">
        <v>5663</v>
      </c>
      <c r="E523" t="s">
        <v>5664</v>
      </c>
      <c r="F523">
        <v>0.02</v>
      </c>
      <c r="G523" t="s">
        <v>5665</v>
      </c>
      <c r="H523">
        <v>3040.5</v>
      </c>
      <c r="I523">
        <v>0.12</v>
      </c>
      <c r="J523" t="s">
        <v>5666</v>
      </c>
      <c r="K523" t="s">
        <v>5667</v>
      </c>
      <c r="L523" t="s">
        <v>5668</v>
      </c>
      <c r="M523" t="s">
        <v>5669</v>
      </c>
      <c r="N523">
        <v>5009.5815501930119</v>
      </c>
      <c r="O523">
        <v>5069.696528795328</v>
      </c>
      <c r="P523">
        <v>5307.9722656487083</v>
      </c>
      <c r="Q523">
        <v>5732.6100469006051</v>
      </c>
      <c r="R523">
        <v>5967.6470588235297</v>
      </c>
      <c r="S523" t="s">
        <v>5670</v>
      </c>
      <c r="T523" t="s">
        <v>5671</v>
      </c>
      <c r="U523" t="s">
        <v>5672</v>
      </c>
      <c r="V523" t="s">
        <v>94</v>
      </c>
      <c r="W523">
        <v>265472419.80000001</v>
      </c>
      <c r="X523">
        <v>266439117.80000001</v>
      </c>
      <c r="Y523">
        <v>267499117.80000001</v>
      </c>
      <c r="Z523">
        <v>268599117.80000001</v>
      </c>
      <c r="AA523">
        <v>270179117.80000001</v>
      </c>
      <c r="AB523">
        <v>26598114726.303478</v>
      </c>
      <c r="AC523">
        <v>5309448.3960000006</v>
      </c>
      <c r="AD523">
        <v>27015309412.918991</v>
      </c>
      <c r="AE523">
        <v>5328782.3560000006</v>
      </c>
      <c r="AF523">
        <v>28397557967.357941</v>
      </c>
      <c r="AG523">
        <v>5349982.3560000006</v>
      </c>
      <c r="AH523">
        <v>30795480025.778389</v>
      </c>
      <c r="AI523">
        <v>5371982.3560000006</v>
      </c>
      <c r="AJ523">
        <v>32246672353.894119</v>
      </c>
      <c r="AK523">
        <v>5403582.3560000006</v>
      </c>
    </row>
    <row r="524" spans="1:37" x14ac:dyDescent="0.35">
      <c r="A524" t="s">
        <v>5673</v>
      </c>
      <c r="B524">
        <v>1036.77</v>
      </c>
      <c r="C524" t="s">
        <v>1172</v>
      </c>
      <c r="D524" t="s">
        <v>5674</v>
      </c>
      <c r="E524" t="s">
        <v>5675</v>
      </c>
      <c r="F524">
        <v>0.02</v>
      </c>
      <c r="G524" t="s">
        <v>5676</v>
      </c>
      <c r="H524">
        <v>4030.3</v>
      </c>
      <c r="I524">
        <v>0.25</v>
      </c>
      <c r="J524" t="s">
        <v>5677</v>
      </c>
      <c r="K524" t="s">
        <v>5678</v>
      </c>
      <c r="L524" t="s">
        <v>5679</v>
      </c>
      <c r="M524" t="s">
        <v>5680</v>
      </c>
      <c r="N524">
        <v>5009.5815501930119</v>
      </c>
      <c r="O524">
        <v>5069.696528795328</v>
      </c>
      <c r="P524">
        <v>5307.9722656487083</v>
      </c>
      <c r="Q524">
        <v>5732.6100469006051</v>
      </c>
      <c r="R524">
        <v>5967.6470588235297</v>
      </c>
      <c r="S524" t="s">
        <v>5681</v>
      </c>
      <c r="T524" t="s">
        <v>5682</v>
      </c>
      <c r="U524" t="s">
        <v>5683</v>
      </c>
      <c r="V524" t="s">
        <v>94</v>
      </c>
      <c r="W524">
        <v>265472419.80000001</v>
      </c>
      <c r="X524">
        <v>266439117.80000001</v>
      </c>
      <c r="Y524">
        <v>267499117.80000001</v>
      </c>
      <c r="Z524">
        <v>268599117.80000001</v>
      </c>
      <c r="AA524">
        <v>270179117.80000001</v>
      </c>
      <c r="AB524">
        <v>26598114726.303478</v>
      </c>
      <c r="AC524">
        <v>5309448.3960000006</v>
      </c>
      <c r="AD524">
        <v>27015309412.918991</v>
      </c>
      <c r="AE524">
        <v>5328782.3560000006</v>
      </c>
      <c r="AF524">
        <v>28397557967.357941</v>
      </c>
      <c r="AG524">
        <v>5349982.3560000006</v>
      </c>
      <c r="AH524">
        <v>30795480025.778389</v>
      </c>
      <c r="AI524">
        <v>5371982.3560000006</v>
      </c>
      <c r="AJ524">
        <v>32246672353.894119</v>
      </c>
      <c r="AK524">
        <v>5403582.3560000006</v>
      </c>
    </row>
    <row r="525" spans="1:37" x14ac:dyDescent="0.35">
      <c r="A525" t="s">
        <v>5684</v>
      </c>
      <c r="B525">
        <v>170</v>
      </c>
      <c r="C525" t="s">
        <v>290</v>
      </c>
      <c r="D525" t="s">
        <v>5685</v>
      </c>
      <c r="E525" t="s">
        <v>5686</v>
      </c>
      <c r="F525">
        <v>1.6E-2</v>
      </c>
      <c r="G525" t="s">
        <v>5687</v>
      </c>
      <c r="H525">
        <v>0.2</v>
      </c>
      <c r="I525">
        <v>10.029999999999999</v>
      </c>
      <c r="J525" t="s">
        <v>5688</v>
      </c>
      <c r="K525" t="s">
        <v>5689</v>
      </c>
      <c r="L525" t="s">
        <v>5690</v>
      </c>
      <c r="M525" t="s">
        <v>5691</v>
      </c>
      <c r="N525">
        <v>582.68173772575199</v>
      </c>
      <c r="O525">
        <v>589.67391857846098</v>
      </c>
      <c r="P525">
        <v>617.38859275164862</v>
      </c>
      <c r="Q525">
        <v>666.77968017178057</v>
      </c>
      <c r="R525">
        <v>694.11764705882354</v>
      </c>
      <c r="S525" t="s">
        <v>5692</v>
      </c>
      <c r="T525" t="s">
        <v>5693</v>
      </c>
      <c r="U525" t="s">
        <v>5694</v>
      </c>
      <c r="V525" t="s">
        <v>49</v>
      </c>
      <c r="W525">
        <v>338996155</v>
      </c>
      <c r="X525">
        <v>339500751</v>
      </c>
      <c r="Y525">
        <v>340560751</v>
      </c>
      <c r="Z525">
        <v>341660751</v>
      </c>
      <c r="AA525">
        <v>343660751</v>
      </c>
      <c r="AB525">
        <v>3160429898.8439741</v>
      </c>
      <c r="AC525">
        <v>5423938.4800000004</v>
      </c>
      <c r="AD525">
        <v>3203115811.240005</v>
      </c>
      <c r="AE525">
        <v>5432012.0159999998</v>
      </c>
      <c r="AF525">
        <v>3364133164.9013538</v>
      </c>
      <c r="AG525">
        <v>5448972.0159999998</v>
      </c>
      <c r="AH525">
        <v>3644999140.4644861</v>
      </c>
      <c r="AI525">
        <v>5466572.0159999998</v>
      </c>
      <c r="AJ525">
        <v>3816655869.9294109</v>
      </c>
      <c r="AK525">
        <v>5498572.0159999998</v>
      </c>
    </row>
    <row r="526" spans="1:37" x14ac:dyDescent="0.35">
      <c r="A526" t="s">
        <v>5695</v>
      </c>
      <c r="B526">
        <v>170</v>
      </c>
      <c r="C526" t="s">
        <v>290</v>
      </c>
      <c r="D526" t="s">
        <v>5696</v>
      </c>
      <c r="E526" t="s">
        <v>5697</v>
      </c>
      <c r="F526">
        <v>1.6E-2</v>
      </c>
      <c r="G526" t="s">
        <v>5698</v>
      </c>
      <c r="H526">
        <v>0.2</v>
      </c>
      <c r="I526">
        <v>0.02</v>
      </c>
      <c r="J526" t="s">
        <v>5699</v>
      </c>
      <c r="K526" t="s">
        <v>5700</v>
      </c>
      <c r="L526" t="s">
        <v>5701</v>
      </c>
      <c r="M526" t="s">
        <v>5702</v>
      </c>
      <c r="N526">
        <v>582.68173772575199</v>
      </c>
      <c r="O526">
        <v>589.67391857846098</v>
      </c>
      <c r="P526">
        <v>617.38859275164862</v>
      </c>
      <c r="Q526">
        <v>666.77968017178057</v>
      </c>
      <c r="R526">
        <v>694.11764705882354</v>
      </c>
      <c r="S526" t="s">
        <v>5703</v>
      </c>
      <c r="T526" t="s">
        <v>5704</v>
      </c>
      <c r="U526" t="s">
        <v>5705</v>
      </c>
      <c r="V526" t="s">
        <v>49</v>
      </c>
      <c r="W526">
        <v>338996155</v>
      </c>
      <c r="X526">
        <v>339500751</v>
      </c>
      <c r="Y526">
        <v>340560751</v>
      </c>
      <c r="Z526">
        <v>341660751</v>
      </c>
      <c r="AA526">
        <v>343660751</v>
      </c>
      <c r="AB526">
        <v>3160429898.8439741</v>
      </c>
      <c r="AC526">
        <v>5423938.4800000004</v>
      </c>
      <c r="AD526">
        <v>3203115811.240005</v>
      </c>
      <c r="AE526">
        <v>5432012.0159999998</v>
      </c>
      <c r="AF526">
        <v>3364133164.9013538</v>
      </c>
      <c r="AG526">
        <v>5448972.0159999998</v>
      </c>
      <c r="AH526">
        <v>3644999140.4644861</v>
      </c>
      <c r="AI526">
        <v>5466572.0159999998</v>
      </c>
      <c r="AJ526">
        <v>3816655869.9294109</v>
      </c>
      <c r="AK526">
        <v>5498572.0159999998</v>
      </c>
    </row>
    <row r="527" spans="1:37" x14ac:dyDescent="0.35">
      <c r="A527" t="s">
        <v>5706</v>
      </c>
      <c r="B527">
        <v>183.33</v>
      </c>
      <c r="C527" t="s">
        <v>290</v>
      </c>
      <c r="D527" t="s">
        <v>5707</v>
      </c>
      <c r="E527" t="s">
        <v>5708</v>
      </c>
      <c r="F527">
        <v>1.6E-2</v>
      </c>
      <c r="G527" t="s">
        <v>5709</v>
      </c>
      <c r="H527">
        <v>0.5</v>
      </c>
      <c r="I527">
        <v>1.02</v>
      </c>
      <c r="J527" t="s">
        <v>5710</v>
      </c>
      <c r="K527" t="s">
        <v>5711</v>
      </c>
      <c r="L527" t="s">
        <v>5712</v>
      </c>
      <c r="M527" t="s">
        <v>5713</v>
      </c>
      <c r="N527">
        <v>582.68173772575199</v>
      </c>
      <c r="O527">
        <v>589.67391857846098</v>
      </c>
      <c r="P527">
        <v>617.38859275164862</v>
      </c>
      <c r="Q527">
        <v>666.77968017178057</v>
      </c>
      <c r="R527">
        <v>694.11764705882354</v>
      </c>
      <c r="S527" t="s">
        <v>5714</v>
      </c>
      <c r="T527" t="s">
        <v>5715</v>
      </c>
      <c r="U527" t="s">
        <v>5716</v>
      </c>
      <c r="V527" t="s">
        <v>49</v>
      </c>
      <c r="W527">
        <v>338996155</v>
      </c>
      <c r="X527">
        <v>339500751</v>
      </c>
      <c r="Y527">
        <v>340560751</v>
      </c>
      <c r="Z527">
        <v>341660751</v>
      </c>
      <c r="AA527">
        <v>343660751</v>
      </c>
      <c r="AB527">
        <v>3160429898.8439741</v>
      </c>
      <c r="AC527">
        <v>5423938.4800000004</v>
      </c>
      <c r="AD527">
        <v>3203115811.240005</v>
      </c>
      <c r="AE527">
        <v>5432012.0159999998</v>
      </c>
      <c r="AF527">
        <v>3364133164.9013538</v>
      </c>
      <c r="AG527">
        <v>5448972.0159999998</v>
      </c>
      <c r="AH527">
        <v>3644999140.4644861</v>
      </c>
      <c r="AI527">
        <v>5466572.0159999998</v>
      </c>
      <c r="AJ527">
        <v>3816655869.9294109</v>
      </c>
      <c r="AK527">
        <v>5498572.0159999998</v>
      </c>
    </row>
    <row r="528" spans="1:37" x14ac:dyDescent="0.35">
      <c r="A528" t="s">
        <v>5717</v>
      </c>
      <c r="B528">
        <v>2308.34</v>
      </c>
      <c r="C528" t="s">
        <v>578</v>
      </c>
      <c r="D528" t="s">
        <v>5718</v>
      </c>
      <c r="E528" t="s">
        <v>5719</v>
      </c>
      <c r="F528">
        <v>2.3400000000000001E-2</v>
      </c>
      <c r="G528" t="s">
        <v>5720</v>
      </c>
      <c r="H528">
        <v>0.25</v>
      </c>
      <c r="I528">
        <v>0</v>
      </c>
      <c r="J528" t="s">
        <v>5721</v>
      </c>
      <c r="K528" t="s">
        <v>5722</v>
      </c>
      <c r="L528" t="s">
        <v>5723</v>
      </c>
      <c r="M528" t="s">
        <v>5724</v>
      </c>
      <c r="N528">
        <v>5456.4688151436949</v>
      </c>
      <c r="O528">
        <v>5521.9464409254197</v>
      </c>
      <c r="P528">
        <v>5781.4779236489139</v>
      </c>
      <c r="Q528">
        <v>6243.996157540827</v>
      </c>
      <c r="R528">
        <v>6500</v>
      </c>
      <c r="S528" t="s">
        <v>5725</v>
      </c>
      <c r="T528" t="s">
        <v>587</v>
      </c>
      <c r="U528" t="s">
        <v>5726</v>
      </c>
      <c r="V528" t="s">
        <v>94</v>
      </c>
      <c r="W528">
        <v>265472419.80000001</v>
      </c>
      <c r="X528">
        <v>266439117.80000001</v>
      </c>
      <c r="Y528">
        <v>267499117.80000001</v>
      </c>
      <c r="Z528">
        <v>268599117.80000001</v>
      </c>
      <c r="AA528">
        <v>270179117.80000001</v>
      </c>
      <c r="AB528">
        <v>33895882330.114799</v>
      </c>
      <c r="AC528">
        <v>6212054.6233200002</v>
      </c>
      <c r="AD528">
        <v>34427543395.26104</v>
      </c>
      <c r="AE528">
        <v>6234675.3565200008</v>
      </c>
      <c r="AF528">
        <v>36189041713.256493</v>
      </c>
      <c r="AG528">
        <v>6259479.3565200008</v>
      </c>
      <c r="AH528">
        <v>39244885511.412109</v>
      </c>
      <c r="AI528">
        <v>6285219.3565200008</v>
      </c>
      <c r="AJ528">
        <v>41094243817.379997</v>
      </c>
      <c r="AK528">
        <v>6322191.3565200008</v>
      </c>
    </row>
    <row r="529" spans="1:37" x14ac:dyDescent="0.35">
      <c r="A529" t="s">
        <v>5727</v>
      </c>
      <c r="B529">
        <v>147.74</v>
      </c>
      <c r="C529" t="s">
        <v>1019</v>
      </c>
      <c r="D529" t="s">
        <v>5728</v>
      </c>
      <c r="E529" t="s">
        <v>5729</v>
      </c>
      <c r="F529">
        <v>0.28999999999999998</v>
      </c>
      <c r="G529" t="s">
        <v>5730</v>
      </c>
      <c r="H529">
        <v>15.3</v>
      </c>
      <c r="I529">
        <v>0</v>
      </c>
      <c r="J529" t="s">
        <v>5731</v>
      </c>
      <c r="K529" t="s">
        <v>5732</v>
      </c>
      <c r="L529" t="s">
        <v>5733</v>
      </c>
      <c r="M529" t="s">
        <v>1965</v>
      </c>
      <c r="N529">
        <v>349.3072771403954</v>
      </c>
      <c r="O529">
        <v>353.49896446608022</v>
      </c>
      <c r="P529">
        <v>370.11341579598587</v>
      </c>
      <c r="Q529">
        <v>399.72248905966478</v>
      </c>
      <c r="R529">
        <v>416.11111111111109</v>
      </c>
      <c r="S529" t="s">
        <v>5734</v>
      </c>
      <c r="T529" t="s">
        <v>587</v>
      </c>
      <c r="U529" t="s">
        <v>5735</v>
      </c>
      <c r="V529" t="s">
        <v>1029</v>
      </c>
      <c r="W529">
        <v>139921842</v>
      </c>
      <c r="X529">
        <v>139603232</v>
      </c>
      <c r="Y529">
        <v>140663232</v>
      </c>
      <c r="Z529">
        <v>141763232</v>
      </c>
      <c r="AA529">
        <v>143763232</v>
      </c>
      <c r="AB529">
        <v>14173958116.0317</v>
      </c>
      <c r="AC529">
        <v>40577334.18</v>
      </c>
      <c r="AD529">
        <v>14311383404.954201</v>
      </c>
      <c r="AE529">
        <v>40484937.279999986</v>
      </c>
      <c r="AF529">
        <v>15097791289.002741</v>
      </c>
      <c r="AG529">
        <v>40792337.279999986</v>
      </c>
      <c r="AH529">
        <v>16433126066.13299</v>
      </c>
      <c r="AI529">
        <v>41111337.279999986</v>
      </c>
      <c r="AJ529">
        <v>17348228679.288891</v>
      </c>
      <c r="AK529">
        <v>41691337.279999986</v>
      </c>
    </row>
    <row r="530" spans="1:37" x14ac:dyDescent="0.35">
      <c r="A530" t="s">
        <v>5736</v>
      </c>
      <c r="B530">
        <v>19.05</v>
      </c>
      <c r="C530" t="s">
        <v>1272</v>
      </c>
      <c r="D530" t="s">
        <v>5737</v>
      </c>
      <c r="E530" t="s">
        <v>5738</v>
      </c>
      <c r="F530">
        <v>5.0000000000000001E-3</v>
      </c>
      <c r="G530" t="s">
        <v>5739</v>
      </c>
      <c r="H530">
        <v>0.3</v>
      </c>
      <c r="I530">
        <v>0</v>
      </c>
      <c r="J530" t="s">
        <v>5740</v>
      </c>
      <c r="K530" t="s">
        <v>5741</v>
      </c>
      <c r="L530" t="s">
        <v>5742</v>
      </c>
      <c r="M530" t="s">
        <v>5743</v>
      </c>
      <c r="N530">
        <v>251.8370222374013</v>
      </c>
      <c r="O530">
        <v>254.85906650425011</v>
      </c>
      <c r="P530">
        <v>266.83744262994992</v>
      </c>
      <c r="Q530">
        <v>288.18443804034592</v>
      </c>
      <c r="R530">
        <v>300</v>
      </c>
      <c r="S530" t="s">
        <v>5744</v>
      </c>
      <c r="T530" t="s">
        <v>5745</v>
      </c>
      <c r="U530" t="s">
        <v>5746</v>
      </c>
      <c r="V530" t="s">
        <v>49</v>
      </c>
      <c r="W530">
        <v>338996155</v>
      </c>
      <c r="X530">
        <v>339500751</v>
      </c>
      <c r="Y530">
        <v>340560751</v>
      </c>
      <c r="Z530">
        <v>341660751</v>
      </c>
      <c r="AA530">
        <v>343660751</v>
      </c>
      <c r="AB530">
        <v>426858911.12564278</v>
      </c>
      <c r="AC530">
        <v>1694980.7749999999</v>
      </c>
      <c r="AD530">
        <v>432624222.38675928</v>
      </c>
      <c r="AE530">
        <v>1697503.7549999999</v>
      </c>
      <c r="AF530">
        <v>454371799.28487581</v>
      </c>
      <c r="AG530">
        <v>1702803.7549999999</v>
      </c>
      <c r="AH530">
        <v>492306557.63688773</v>
      </c>
      <c r="AI530">
        <v>1708303.7549999999</v>
      </c>
      <c r="AJ530">
        <v>515491126.5</v>
      </c>
      <c r="AK530">
        <v>1718303.7549999999</v>
      </c>
    </row>
    <row r="531" spans="1:37" x14ac:dyDescent="0.35">
      <c r="A531" t="s">
        <v>5747</v>
      </c>
      <c r="B531">
        <v>3.94</v>
      </c>
      <c r="C531" t="s">
        <v>5748</v>
      </c>
      <c r="D531" t="s">
        <v>5749</v>
      </c>
      <c r="E531" t="s">
        <v>5750</v>
      </c>
      <c r="F531">
        <v>0.15</v>
      </c>
      <c r="G531" t="s">
        <v>5751</v>
      </c>
      <c r="H531">
        <v>0.3</v>
      </c>
      <c r="I531">
        <v>0</v>
      </c>
      <c r="J531" t="s">
        <v>5752</v>
      </c>
      <c r="K531" t="s">
        <v>5753</v>
      </c>
      <c r="L531" t="s">
        <v>5754</v>
      </c>
      <c r="M531" t="s">
        <v>5755</v>
      </c>
      <c r="N531">
        <v>120.0423139331613</v>
      </c>
      <c r="O531">
        <v>121.4828217003592</v>
      </c>
      <c r="P531">
        <v>127.1925143202761</v>
      </c>
      <c r="Q531">
        <v>137.36791546589819</v>
      </c>
      <c r="R531">
        <v>143</v>
      </c>
      <c r="S531" t="s">
        <v>5756</v>
      </c>
      <c r="T531" t="s">
        <v>5757</v>
      </c>
      <c r="U531" t="s">
        <v>5758</v>
      </c>
      <c r="V531" t="s">
        <v>49</v>
      </c>
      <c r="W531">
        <v>338996155</v>
      </c>
      <c r="X531">
        <v>339500751</v>
      </c>
      <c r="Y531">
        <v>340560751</v>
      </c>
      <c r="Z531">
        <v>341660751</v>
      </c>
      <c r="AA531">
        <v>343660751</v>
      </c>
      <c r="AB531">
        <v>6104082429.0966892</v>
      </c>
      <c r="AC531">
        <v>50849423.25</v>
      </c>
      <c r="AD531">
        <v>6186526380.1306562</v>
      </c>
      <c r="AE531">
        <v>50925112.649999999</v>
      </c>
      <c r="AF531">
        <v>6497516729.7737217</v>
      </c>
      <c r="AG531">
        <v>51084112.649999999</v>
      </c>
      <c r="AH531">
        <v>7039983774.2074928</v>
      </c>
      <c r="AI531">
        <v>51249112.649999999</v>
      </c>
      <c r="AJ531">
        <v>7371523108.9499998</v>
      </c>
      <c r="AK531">
        <v>51549112.649999999</v>
      </c>
    </row>
    <row r="532" spans="1:37" x14ac:dyDescent="0.35">
      <c r="A532" t="s">
        <v>5759</v>
      </c>
      <c r="B532">
        <v>62.31</v>
      </c>
      <c r="C532" t="s">
        <v>1825</v>
      </c>
      <c r="D532" t="s">
        <v>5760</v>
      </c>
      <c r="E532" t="s">
        <v>5761</v>
      </c>
      <c r="F532">
        <v>0.1</v>
      </c>
      <c r="G532" t="s">
        <v>5762</v>
      </c>
      <c r="H532">
        <v>30.5</v>
      </c>
      <c r="J532" t="s">
        <v>5763</v>
      </c>
      <c r="K532" t="s">
        <v>5764</v>
      </c>
      <c r="L532" t="s">
        <v>5765</v>
      </c>
      <c r="M532" t="s">
        <v>5766</v>
      </c>
      <c r="N532">
        <v>4310.6103639635176</v>
      </c>
      <c r="O532">
        <v>4362.3376883310812</v>
      </c>
      <c r="P532">
        <v>4567.3675596826424</v>
      </c>
      <c r="Q532">
        <v>4932.7569644572532</v>
      </c>
      <c r="R532">
        <v>5135</v>
      </c>
      <c r="S532" t="s">
        <v>5767</v>
      </c>
      <c r="T532" t="s">
        <v>5768</v>
      </c>
      <c r="U532" t="s">
        <v>5769</v>
      </c>
      <c r="V532" t="s">
        <v>49</v>
      </c>
      <c r="W532">
        <v>338996155</v>
      </c>
      <c r="X532">
        <v>339500751</v>
      </c>
      <c r="Y532">
        <v>340560751</v>
      </c>
      <c r="Z532">
        <v>341660751</v>
      </c>
      <c r="AA532">
        <v>343660751</v>
      </c>
      <c r="AB532">
        <v>146128033908.67831</v>
      </c>
      <c r="AC532">
        <v>33899615.5</v>
      </c>
      <c r="AD532">
        <v>148101692130.4006</v>
      </c>
      <c r="AE532">
        <v>33950075.100000001</v>
      </c>
      <c r="AF532">
        <v>155546612621.8558</v>
      </c>
      <c r="AG532">
        <v>34056075.100000001</v>
      </c>
      <c r="AH532">
        <v>168532944897.69449</v>
      </c>
      <c r="AI532">
        <v>34166075.100000001</v>
      </c>
      <c r="AJ532">
        <v>176469795638.5</v>
      </c>
      <c r="AK532">
        <v>34366075.100000001</v>
      </c>
    </row>
    <row r="533" spans="1:37" x14ac:dyDescent="0.35">
      <c r="A533" t="s">
        <v>5770</v>
      </c>
      <c r="B533">
        <v>4260.43</v>
      </c>
      <c r="C533" t="s">
        <v>3897</v>
      </c>
      <c r="D533" t="s">
        <v>5771</v>
      </c>
      <c r="E533" t="s">
        <v>5772</v>
      </c>
      <c r="F533">
        <v>4.6E-5</v>
      </c>
      <c r="G533" t="s">
        <v>5773</v>
      </c>
      <c r="H533">
        <v>0.5</v>
      </c>
      <c r="I533">
        <v>0.7</v>
      </c>
      <c r="J533" t="s">
        <v>5774</v>
      </c>
      <c r="K533" t="s">
        <v>5775</v>
      </c>
      <c r="L533" t="s">
        <v>5776</v>
      </c>
      <c r="M533" t="s">
        <v>5777</v>
      </c>
      <c r="N533">
        <v>83246.126795140968</v>
      </c>
      <c r="O533">
        <v>84245.080316682666</v>
      </c>
      <c r="P533">
        <v>88204.59909156675</v>
      </c>
      <c r="Q533">
        <v>95260.967018892101</v>
      </c>
      <c r="R533">
        <v>99166.666666666672</v>
      </c>
      <c r="S533" t="s">
        <v>5778</v>
      </c>
      <c r="T533" t="s">
        <v>5779</v>
      </c>
      <c r="U533" t="s">
        <v>5780</v>
      </c>
      <c r="V533" t="s">
        <v>49</v>
      </c>
      <c r="W533">
        <v>338996155</v>
      </c>
      <c r="X533">
        <v>339500751</v>
      </c>
      <c r="Y533">
        <v>340560751</v>
      </c>
      <c r="Z533">
        <v>341660751</v>
      </c>
      <c r="AA533">
        <v>343660751</v>
      </c>
      <c r="AB533">
        <v>1298125377.500982</v>
      </c>
      <c r="AC533">
        <v>15593.823130000001</v>
      </c>
      <c r="AD533">
        <v>1315658329.636178</v>
      </c>
      <c r="AE533">
        <v>15617.034546000001</v>
      </c>
      <c r="AF533">
        <v>1381795127.3807831</v>
      </c>
      <c r="AG533">
        <v>15665.794545999999</v>
      </c>
      <c r="AH533">
        <v>1497158942.5024021</v>
      </c>
      <c r="AI533">
        <v>15716.394546</v>
      </c>
      <c r="AJ533">
        <v>1567665792.478333</v>
      </c>
      <c r="AK533">
        <v>15808.394546</v>
      </c>
    </row>
    <row r="534" spans="1:37" x14ac:dyDescent="0.35">
      <c r="A534" t="s">
        <v>5781</v>
      </c>
      <c r="B534">
        <v>5491.67</v>
      </c>
      <c r="C534" t="s">
        <v>255</v>
      </c>
      <c r="D534" t="s">
        <v>5782</v>
      </c>
      <c r="E534" t="s">
        <v>5783</v>
      </c>
      <c r="F534">
        <v>4.1999999999999998E-5</v>
      </c>
      <c r="G534" t="s">
        <v>5784</v>
      </c>
      <c r="H534">
        <v>0.7</v>
      </c>
      <c r="I534">
        <v>30530.400000000001</v>
      </c>
      <c r="J534" t="s">
        <v>5785</v>
      </c>
      <c r="K534" t="s">
        <v>5786</v>
      </c>
      <c r="L534" t="s">
        <v>5787</v>
      </c>
      <c r="M534" t="s">
        <v>5788</v>
      </c>
      <c r="N534">
        <v>118710.1325836446</v>
      </c>
      <c r="O534">
        <v>120134.6541746483</v>
      </c>
      <c r="P534">
        <v>125780.9829208568</v>
      </c>
      <c r="Q534">
        <v>135843.46155452539</v>
      </c>
      <c r="R534">
        <v>141413.04347826089</v>
      </c>
      <c r="S534" t="s">
        <v>5789</v>
      </c>
      <c r="T534" t="s">
        <v>5790</v>
      </c>
      <c r="U534" t="s">
        <v>5791</v>
      </c>
      <c r="V534" t="s">
        <v>94</v>
      </c>
      <c r="W534">
        <v>265472419.80000001</v>
      </c>
      <c r="X534">
        <v>266439117.80000001</v>
      </c>
      <c r="Y534">
        <v>267499117.80000001</v>
      </c>
      <c r="Z534">
        <v>268599117.80000001</v>
      </c>
      <c r="AA534">
        <v>270179117.80000001</v>
      </c>
      <c r="AB534">
        <v>1323599178.3738761</v>
      </c>
      <c r="AC534">
        <v>11149.8416316</v>
      </c>
      <c r="AD534">
        <v>1344359993.571058</v>
      </c>
      <c r="AE534">
        <v>11190.4429476</v>
      </c>
      <c r="AF534">
        <v>1413144682.628535</v>
      </c>
      <c r="AG534">
        <v>11234.962947599999</v>
      </c>
      <c r="AH534">
        <v>1532472225.162637</v>
      </c>
      <c r="AI534">
        <v>11281.1629476</v>
      </c>
      <c r="AJ534">
        <v>1604687755.959522</v>
      </c>
      <c r="AK534">
        <v>11347.5229476</v>
      </c>
    </row>
    <row r="535" spans="1:37" x14ac:dyDescent="0.35">
      <c r="A535" t="s">
        <v>5792</v>
      </c>
      <c r="B535">
        <v>423.13</v>
      </c>
      <c r="C535" t="s">
        <v>2634</v>
      </c>
      <c r="D535" t="s">
        <v>5793</v>
      </c>
      <c r="E535" t="s">
        <v>5794</v>
      </c>
      <c r="F535">
        <v>6.5000000000000003E-9</v>
      </c>
      <c r="G535" t="s">
        <v>5795</v>
      </c>
      <c r="H535">
        <v>1</v>
      </c>
      <c r="I535">
        <v>1</v>
      </c>
      <c r="J535" t="s">
        <v>5796</v>
      </c>
      <c r="K535" t="s">
        <v>5797</v>
      </c>
      <c r="L535" t="s">
        <v>5798</v>
      </c>
      <c r="M535" t="s">
        <v>5799</v>
      </c>
      <c r="N535">
        <v>2560.3430594135798</v>
      </c>
      <c r="O535">
        <v>2591.067176126543</v>
      </c>
      <c r="P535">
        <v>2712.8473334044902</v>
      </c>
      <c r="Q535">
        <v>2929.8751200768488</v>
      </c>
      <c r="R535">
        <v>3050</v>
      </c>
      <c r="S535" t="s">
        <v>5800</v>
      </c>
      <c r="T535" t="s">
        <v>5801</v>
      </c>
      <c r="U535" t="s">
        <v>5802</v>
      </c>
      <c r="V535" t="s">
        <v>49</v>
      </c>
      <c r="W535">
        <v>338996155</v>
      </c>
      <c r="X535">
        <v>339500751</v>
      </c>
      <c r="Y535">
        <v>340560751</v>
      </c>
      <c r="Z535">
        <v>341660751</v>
      </c>
      <c r="AA535">
        <v>343660751</v>
      </c>
      <c r="AB535">
        <v>5641.6519420439108</v>
      </c>
      <c r="AC535">
        <v>2.2034750074999998</v>
      </c>
      <c r="AD535">
        <v>5717.8501392116686</v>
      </c>
      <c r="AE535">
        <v>2.2067548815000002</v>
      </c>
      <c r="AF535">
        <v>6005.2806138817732</v>
      </c>
      <c r="AG535">
        <v>2.2136448815000001</v>
      </c>
      <c r="AH535">
        <v>6506.651670100865</v>
      </c>
      <c r="AI535">
        <v>2.2207948814999998</v>
      </c>
      <c r="AJ535">
        <v>6813.0743885749998</v>
      </c>
      <c r="AK535">
        <v>2.2337948815000002</v>
      </c>
    </row>
    <row r="536" spans="1:37" x14ac:dyDescent="0.35">
      <c r="A536" t="s">
        <v>5803</v>
      </c>
      <c r="B536">
        <v>26.15</v>
      </c>
      <c r="C536" t="s">
        <v>5804</v>
      </c>
      <c r="D536" t="s">
        <v>5805</v>
      </c>
      <c r="E536" t="s">
        <v>5806</v>
      </c>
      <c r="F536">
        <v>0.03</v>
      </c>
      <c r="G536" t="s">
        <v>5807</v>
      </c>
      <c r="H536">
        <v>0.3</v>
      </c>
      <c r="I536">
        <v>10.199999999999999</v>
      </c>
      <c r="J536" t="s">
        <v>5808</v>
      </c>
      <c r="K536" t="s">
        <v>5809</v>
      </c>
      <c r="L536" t="s">
        <v>5810</v>
      </c>
      <c r="M536" t="s">
        <v>5811</v>
      </c>
      <c r="N536">
        <v>17418.72737142026</v>
      </c>
      <c r="O536">
        <v>17627.7520998773</v>
      </c>
      <c r="P536">
        <v>18456.25644857153</v>
      </c>
      <c r="Q536">
        <v>19932.75696445725</v>
      </c>
      <c r="R536">
        <v>20750</v>
      </c>
      <c r="S536" t="s">
        <v>5812</v>
      </c>
      <c r="T536" t="s">
        <v>5813</v>
      </c>
      <c r="U536" t="s">
        <v>5814</v>
      </c>
      <c r="V536" t="s">
        <v>49</v>
      </c>
      <c r="W536">
        <v>338996155</v>
      </c>
      <c r="X536">
        <v>339500751</v>
      </c>
      <c r="Y536">
        <v>340560751</v>
      </c>
      <c r="Z536">
        <v>341660751</v>
      </c>
      <c r="AA536">
        <v>343660751</v>
      </c>
      <c r="AB536">
        <v>177146448117.14169</v>
      </c>
      <c r="AC536">
        <v>10169884.65</v>
      </c>
      <c r="AD536">
        <v>179539052290.5051</v>
      </c>
      <c r="AE536">
        <v>10185022.529999999</v>
      </c>
      <c r="AF536">
        <v>188564296703.22339</v>
      </c>
      <c r="AG536">
        <v>10216822.529999999</v>
      </c>
      <c r="AH536">
        <v>204307221419.30841</v>
      </c>
      <c r="AI536">
        <v>10249822.529999999</v>
      </c>
      <c r="AJ536">
        <v>213928817497.5</v>
      </c>
      <c r="AK536">
        <v>10309822.529999999</v>
      </c>
    </row>
    <row r="537" spans="1:37" x14ac:dyDescent="0.35">
      <c r="A537" t="s">
        <v>5815</v>
      </c>
      <c r="B537">
        <v>160.80000000000001</v>
      </c>
      <c r="C537" t="s">
        <v>1402</v>
      </c>
      <c r="D537" t="s">
        <v>5816</v>
      </c>
      <c r="E537" t="s">
        <v>5817</v>
      </c>
      <c r="F537">
        <v>0.3</v>
      </c>
      <c r="G537" t="s">
        <v>5818</v>
      </c>
      <c r="H537">
        <v>0.25</v>
      </c>
      <c r="I537">
        <v>0</v>
      </c>
      <c r="J537" t="s">
        <v>5819</v>
      </c>
      <c r="K537" t="s">
        <v>5820</v>
      </c>
      <c r="L537" t="s">
        <v>5821</v>
      </c>
      <c r="M537" t="s">
        <v>5822</v>
      </c>
      <c r="N537">
        <v>245.54109668146631</v>
      </c>
      <c r="O537">
        <v>248.48758984164391</v>
      </c>
      <c r="P537">
        <v>260.16650656420109</v>
      </c>
      <c r="Q537">
        <v>280.97982708933722</v>
      </c>
      <c r="R537">
        <v>292.5</v>
      </c>
      <c r="S537" t="s">
        <v>5823</v>
      </c>
      <c r="T537" t="s">
        <v>5824</v>
      </c>
      <c r="U537" t="s">
        <v>5825</v>
      </c>
      <c r="V537" t="s">
        <v>49</v>
      </c>
      <c r="W537">
        <v>338996155</v>
      </c>
      <c r="X537">
        <v>339500751</v>
      </c>
      <c r="Y537">
        <v>340560751</v>
      </c>
      <c r="Z537">
        <v>341660751</v>
      </c>
      <c r="AA537">
        <v>343660751</v>
      </c>
      <c r="AB537">
        <v>24971246300.85009</v>
      </c>
      <c r="AC537">
        <v>101698846.5</v>
      </c>
      <c r="AD537">
        <v>25308517009.62542</v>
      </c>
      <c r="AE537">
        <v>101850225.3</v>
      </c>
      <c r="AF537">
        <v>26580750258.165218</v>
      </c>
      <c r="AG537">
        <v>102168225.3</v>
      </c>
      <c r="AH537">
        <v>28799933621.757931</v>
      </c>
      <c r="AI537">
        <v>102498225.3</v>
      </c>
      <c r="AJ537">
        <v>30156230900.25</v>
      </c>
      <c r="AK537">
        <v>103098225.3</v>
      </c>
    </row>
    <row r="538" spans="1:37" x14ac:dyDescent="0.35">
      <c r="A538" t="s">
        <v>5826</v>
      </c>
      <c r="B538">
        <v>1011.11</v>
      </c>
      <c r="C538" t="s">
        <v>1736</v>
      </c>
      <c r="D538" t="s">
        <v>5827</v>
      </c>
      <c r="E538" t="s">
        <v>5828</v>
      </c>
      <c r="F538">
        <v>0.03</v>
      </c>
      <c r="G538" t="s">
        <v>5829</v>
      </c>
      <c r="H538">
        <v>0.25</v>
      </c>
      <c r="I538">
        <v>0</v>
      </c>
      <c r="J538" t="s">
        <v>5830</v>
      </c>
      <c r="K538" t="s">
        <v>5831</v>
      </c>
      <c r="L538" t="s">
        <v>5832</v>
      </c>
      <c r="M538" t="s">
        <v>5833</v>
      </c>
      <c r="N538">
        <v>755.51106671220373</v>
      </c>
      <c r="O538">
        <v>764.57719951275021</v>
      </c>
      <c r="P538">
        <v>800.51232788984942</v>
      </c>
      <c r="Q538">
        <v>864.55331412103749</v>
      </c>
      <c r="R538">
        <v>900</v>
      </c>
      <c r="S538" t="s">
        <v>5834</v>
      </c>
      <c r="T538" t="s">
        <v>5835</v>
      </c>
      <c r="U538" t="s">
        <v>1890</v>
      </c>
      <c r="V538" t="s">
        <v>94</v>
      </c>
      <c r="W538">
        <v>265472419.80000001</v>
      </c>
      <c r="X538">
        <v>266439117.80000001</v>
      </c>
      <c r="Y538">
        <v>267499117.80000001</v>
      </c>
      <c r="Z538">
        <v>268599117.80000001</v>
      </c>
      <c r="AA538">
        <v>270179117.80000001</v>
      </c>
      <c r="AB538">
        <v>6017020531.9730387</v>
      </c>
      <c r="AC538">
        <v>7964172.5940000014</v>
      </c>
      <c r="AD538">
        <v>6111398235.8451529</v>
      </c>
      <c r="AE538">
        <v>7993173.534</v>
      </c>
      <c r="AF538">
        <v>6424090244.9567719</v>
      </c>
      <c r="AG538">
        <v>8024973.534</v>
      </c>
      <c r="AH538">
        <v>6966547723.9193087</v>
      </c>
      <c r="AI538">
        <v>8057973.534</v>
      </c>
      <c r="AJ538">
        <v>7294836180.6000004</v>
      </c>
      <c r="AK538">
        <v>8105373.534</v>
      </c>
    </row>
    <row r="539" spans="1:37" x14ac:dyDescent="0.35">
      <c r="A539" t="s">
        <v>5836</v>
      </c>
      <c r="B539">
        <v>149.6</v>
      </c>
      <c r="C539" t="s">
        <v>1402</v>
      </c>
      <c r="D539" t="s">
        <v>5837</v>
      </c>
      <c r="E539" t="s">
        <v>5838</v>
      </c>
      <c r="F539">
        <v>0.3</v>
      </c>
      <c r="G539" t="s">
        <v>5839</v>
      </c>
      <c r="H539">
        <v>0.2</v>
      </c>
      <c r="I539">
        <v>0</v>
      </c>
      <c r="J539" t="s">
        <v>5840</v>
      </c>
      <c r="K539" t="s">
        <v>5841</v>
      </c>
      <c r="L539" t="s">
        <v>5842</v>
      </c>
      <c r="M539" t="s">
        <v>5843</v>
      </c>
      <c r="N539">
        <v>245.54109668146631</v>
      </c>
      <c r="O539">
        <v>248.48758984164391</v>
      </c>
      <c r="P539">
        <v>260.16650656420109</v>
      </c>
      <c r="Q539">
        <v>280.97982708933722</v>
      </c>
      <c r="R539">
        <v>292.5</v>
      </c>
      <c r="S539" t="s">
        <v>5844</v>
      </c>
      <c r="T539" t="s">
        <v>5845</v>
      </c>
      <c r="U539" t="s">
        <v>5846</v>
      </c>
      <c r="V539" t="s">
        <v>49</v>
      </c>
      <c r="W539">
        <v>338996155</v>
      </c>
      <c r="X539">
        <v>339500751</v>
      </c>
      <c r="Y539">
        <v>340560751</v>
      </c>
      <c r="Z539">
        <v>341660751</v>
      </c>
      <c r="AA539">
        <v>343660751</v>
      </c>
      <c r="AB539">
        <v>24971246300.85009</v>
      </c>
      <c r="AC539">
        <v>101698846.5</v>
      </c>
      <c r="AD539">
        <v>25308517009.62542</v>
      </c>
      <c r="AE539">
        <v>101850225.3</v>
      </c>
      <c r="AF539">
        <v>26580750258.165218</v>
      </c>
      <c r="AG539">
        <v>102168225.3</v>
      </c>
      <c r="AH539">
        <v>28799933621.757931</v>
      </c>
      <c r="AI539">
        <v>102498225.3</v>
      </c>
      <c r="AJ539">
        <v>30156230900.25</v>
      </c>
      <c r="AK539">
        <v>103098225.3</v>
      </c>
    </row>
    <row r="540" spans="1:37" x14ac:dyDescent="0.35">
      <c r="A540" t="s">
        <v>5847</v>
      </c>
      <c r="B540">
        <v>163.08000000000001</v>
      </c>
      <c r="C540" t="s">
        <v>1019</v>
      </c>
      <c r="D540" t="s">
        <v>5848</v>
      </c>
      <c r="E540" t="s">
        <v>5849</v>
      </c>
      <c r="F540">
        <v>0.28999999999999998</v>
      </c>
      <c r="G540" t="s">
        <v>5850</v>
      </c>
      <c r="H540">
        <v>0.3</v>
      </c>
      <c r="I540">
        <v>0.01</v>
      </c>
      <c r="J540" t="s">
        <v>5851</v>
      </c>
      <c r="K540" t="s">
        <v>5852</v>
      </c>
      <c r="L540" t="s">
        <v>5853</v>
      </c>
      <c r="M540" t="s">
        <v>5854</v>
      </c>
      <c r="N540">
        <v>349.3072771403954</v>
      </c>
      <c r="O540">
        <v>353.49896446608022</v>
      </c>
      <c r="P540">
        <v>370.11341579598587</v>
      </c>
      <c r="Q540">
        <v>399.72248905966478</v>
      </c>
      <c r="R540">
        <v>416.11111111111109</v>
      </c>
      <c r="S540" t="s">
        <v>5855</v>
      </c>
      <c r="T540" t="s">
        <v>587</v>
      </c>
      <c r="U540" t="s">
        <v>5856</v>
      </c>
      <c r="V540" t="s">
        <v>1029</v>
      </c>
      <c r="W540">
        <v>139921842</v>
      </c>
      <c r="X540">
        <v>139603232</v>
      </c>
      <c r="Y540">
        <v>140663232</v>
      </c>
      <c r="Z540">
        <v>141763232</v>
      </c>
      <c r="AA540">
        <v>143763232</v>
      </c>
      <c r="AB540">
        <v>14173958116.0317</v>
      </c>
      <c r="AC540">
        <v>40577334.18</v>
      </c>
      <c r="AD540">
        <v>14311383404.954201</v>
      </c>
      <c r="AE540">
        <v>40484937.279999986</v>
      </c>
      <c r="AF540">
        <v>15097791289.002741</v>
      </c>
      <c r="AG540">
        <v>40792337.279999986</v>
      </c>
      <c r="AH540">
        <v>16433126066.13299</v>
      </c>
      <c r="AI540">
        <v>41111337.279999986</v>
      </c>
      <c r="AJ540">
        <v>17348228679.288891</v>
      </c>
      <c r="AK540">
        <v>41691337.279999986</v>
      </c>
    </row>
    <row r="541" spans="1:37" x14ac:dyDescent="0.35">
      <c r="A541" t="s">
        <v>5857</v>
      </c>
      <c r="B541">
        <v>0.01</v>
      </c>
      <c r="C541" t="s">
        <v>4253</v>
      </c>
      <c r="D541" t="s">
        <v>5858</v>
      </c>
      <c r="E541" t="s">
        <v>5859</v>
      </c>
      <c r="F541">
        <v>0.25</v>
      </c>
      <c r="G541" t="s">
        <v>5860</v>
      </c>
      <c r="H541">
        <v>0.2</v>
      </c>
      <c r="I541">
        <v>0.04</v>
      </c>
      <c r="J541" t="s">
        <v>5861</v>
      </c>
      <c r="K541" t="s">
        <v>5862</v>
      </c>
      <c r="L541" t="s">
        <v>5863</v>
      </c>
      <c r="M541" t="s">
        <v>5864</v>
      </c>
      <c r="N541">
        <v>6104.049729468441</v>
      </c>
      <c r="O541">
        <v>6177.2983262220623</v>
      </c>
      <c r="P541">
        <v>6467.6313475544976</v>
      </c>
      <c r="Q541">
        <v>6985.0418553588588</v>
      </c>
      <c r="R541">
        <v>7271.4285714285716</v>
      </c>
      <c r="S541" t="s">
        <v>5865</v>
      </c>
      <c r="T541" t="s">
        <v>5866</v>
      </c>
      <c r="U541" t="s">
        <v>5867</v>
      </c>
      <c r="V541" t="s">
        <v>4264</v>
      </c>
      <c r="W541">
        <v>256761605</v>
      </c>
      <c r="X541">
        <v>257719695</v>
      </c>
      <c r="Y541">
        <v>258779695</v>
      </c>
      <c r="Z541">
        <v>259879695</v>
      </c>
      <c r="AA541">
        <v>261179695</v>
      </c>
      <c r="AB541">
        <v>391821401384.5332</v>
      </c>
      <c r="AC541">
        <v>64190401.25</v>
      </c>
      <c r="AD541">
        <v>398002860139.49011</v>
      </c>
      <c r="AE541">
        <v>64429923.75</v>
      </c>
      <c r="AF541">
        <v>418422916873.14801</v>
      </c>
      <c r="AG541">
        <v>64694923.75</v>
      </c>
      <c r="AH541">
        <v>453817636733.22357</v>
      </c>
      <c r="AI541">
        <v>64969923.75</v>
      </c>
      <c r="AJ541">
        <v>474787374125</v>
      </c>
      <c r="AK541">
        <v>65294923.75</v>
      </c>
    </row>
    <row r="542" spans="1:37" x14ac:dyDescent="0.35">
      <c r="A542" t="s">
        <v>5868</v>
      </c>
      <c r="B542">
        <v>30180.41</v>
      </c>
      <c r="C542" t="s">
        <v>5869</v>
      </c>
      <c r="D542" t="s">
        <v>5870</v>
      </c>
      <c r="E542" t="s">
        <v>5871</v>
      </c>
      <c r="F542">
        <v>3.3330000000000001E-5</v>
      </c>
      <c r="G542" t="s">
        <v>5872</v>
      </c>
      <c r="H542">
        <v>0.4</v>
      </c>
      <c r="I542">
        <v>0.05</v>
      </c>
      <c r="J542" t="s">
        <v>5873</v>
      </c>
      <c r="K542" t="s">
        <v>5874</v>
      </c>
      <c r="L542" t="s">
        <v>5875</v>
      </c>
      <c r="M542" t="s">
        <v>4218</v>
      </c>
      <c r="N542">
        <v>178384.55741815921</v>
      </c>
      <c r="O542">
        <v>180525.17210717709</v>
      </c>
      <c r="P542">
        <v>189009.85519621451</v>
      </c>
      <c r="Q542">
        <v>204130.6436119116</v>
      </c>
      <c r="R542">
        <v>212500</v>
      </c>
      <c r="S542" t="s">
        <v>5876</v>
      </c>
      <c r="T542" t="s">
        <v>5877</v>
      </c>
      <c r="U542" t="s">
        <v>5878</v>
      </c>
      <c r="V542" t="s">
        <v>49</v>
      </c>
      <c r="W542">
        <v>338996155</v>
      </c>
      <c r="X542">
        <v>339500751</v>
      </c>
      <c r="Y542">
        <v>340560751</v>
      </c>
      <c r="Z542">
        <v>341660751</v>
      </c>
      <c r="AA542">
        <v>343660751</v>
      </c>
      <c r="AB542">
        <v>2015521063.6075029</v>
      </c>
      <c r="AC542">
        <v>11298.74184615</v>
      </c>
      <c r="AD542">
        <v>2042743422.0546811</v>
      </c>
      <c r="AE542">
        <v>11315.56003083</v>
      </c>
      <c r="AF542">
        <v>2145430043.2733619</v>
      </c>
      <c r="AG542">
        <v>11350.889830829999</v>
      </c>
      <c r="AH542">
        <v>2324548488.5219741</v>
      </c>
      <c r="AI542">
        <v>11387.55283083</v>
      </c>
      <c r="AJ542">
        <v>2434020226.5513749</v>
      </c>
      <c r="AK542">
        <v>11454.21283083</v>
      </c>
    </row>
    <row r="543" spans="1:37" x14ac:dyDescent="0.35">
      <c r="A543" t="s">
        <v>5879</v>
      </c>
      <c r="B543">
        <v>28.27</v>
      </c>
      <c r="C543" t="s">
        <v>5804</v>
      </c>
      <c r="D543" t="s">
        <v>5880</v>
      </c>
      <c r="E543" t="s">
        <v>5881</v>
      </c>
      <c r="F543">
        <v>0.03</v>
      </c>
      <c r="G543" t="s">
        <v>5882</v>
      </c>
      <c r="H543">
        <v>0.3</v>
      </c>
      <c r="I543">
        <v>0.5</v>
      </c>
      <c r="J543" t="s">
        <v>5883</v>
      </c>
      <c r="K543" t="s">
        <v>5884</v>
      </c>
      <c r="L543" t="s">
        <v>5885</v>
      </c>
      <c r="M543" t="s">
        <v>5886</v>
      </c>
      <c r="N543">
        <v>17418.72737142026</v>
      </c>
      <c r="O543">
        <v>17627.7520998773</v>
      </c>
      <c r="P543">
        <v>18456.25644857153</v>
      </c>
      <c r="Q543">
        <v>19932.75696445725</v>
      </c>
      <c r="R543">
        <v>20750</v>
      </c>
      <c r="S543" t="s">
        <v>5887</v>
      </c>
      <c r="T543" t="s">
        <v>5888</v>
      </c>
      <c r="U543" t="s">
        <v>5889</v>
      </c>
      <c r="V543" t="s">
        <v>49</v>
      </c>
      <c r="W543">
        <v>338996155</v>
      </c>
      <c r="X543">
        <v>339500751</v>
      </c>
      <c r="Y543">
        <v>340560751</v>
      </c>
      <c r="Z543">
        <v>341660751</v>
      </c>
      <c r="AA543">
        <v>343660751</v>
      </c>
      <c r="AB543">
        <v>177146448117.14169</v>
      </c>
      <c r="AC543">
        <v>10169884.65</v>
      </c>
      <c r="AD543">
        <v>179539052290.5051</v>
      </c>
      <c r="AE543">
        <v>10185022.529999999</v>
      </c>
      <c r="AF543">
        <v>188564296703.22339</v>
      </c>
      <c r="AG543">
        <v>10216822.529999999</v>
      </c>
      <c r="AH543">
        <v>204307221419.30841</v>
      </c>
      <c r="AI543">
        <v>10249822.529999999</v>
      </c>
      <c r="AJ543">
        <v>213928817497.5</v>
      </c>
      <c r="AK543">
        <v>10309822.529999999</v>
      </c>
    </row>
    <row r="544" spans="1:37" x14ac:dyDescent="0.35">
      <c r="A544" t="s">
        <v>5890</v>
      </c>
      <c r="B544">
        <v>326.74</v>
      </c>
      <c r="C544" t="s">
        <v>2634</v>
      </c>
      <c r="D544" t="s">
        <v>5891</v>
      </c>
      <c r="E544" t="s">
        <v>5892</v>
      </c>
      <c r="F544">
        <v>6.5000000000000003E-9</v>
      </c>
      <c r="G544" t="s">
        <v>5893</v>
      </c>
      <c r="H544">
        <v>0</v>
      </c>
      <c r="I544">
        <v>991</v>
      </c>
      <c r="J544" t="s">
        <v>5894</v>
      </c>
      <c r="K544" t="s">
        <v>5895</v>
      </c>
      <c r="L544" t="s">
        <v>5896</v>
      </c>
      <c r="M544" t="s">
        <v>5897</v>
      </c>
      <c r="N544">
        <v>2560.3430594135798</v>
      </c>
      <c r="O544">
        <v>2591.067176126543</v>
      </c>
      <c r="P544">
        <v>2712.8473334044902</v>
      </c>
      <c r="Q544">
        <v>2929.8751200768488</v>
      </c>
      <c r="R544">
        <v>3050</v>
      </c>
      <c r="S544" t="s">
        <v>5898</v>
      </c>
      <c r="T544" t="s">
        <v>5899</v>
      </c>
      <c r="U544" t="s">
        <v>5900</v>
      </c>
      <c r="V544" t="s">
        <v>49</v>
      </c>
      <c r="W544">
        <v>338996155</v>
      </c>
      <c r="X544">
        <v>339500751</v>
      </c>
      <c r="Y544">
        <v>340560751</v>
      </c>
      <c r="Z544">
        <v>341660751</v>
      </c>
      <c r="AA544">
        <v>343660751</v>
      </c>
      <c r="AB544">
        <v>5641.6519420439108</v>
      </c>
      <c r="AC544">
        <v>2.2034750074999998</v>
      </c>
      <c r="AD544">
        <v>5717.8501392116686</v>
      </c>
      <c r="AE544">
        <v>2.2067548815000002</v>
      </c>
      <c r="AF544">
        <v>6005.2806138817732</v>
      </c>
      <c r="AG544">
        <v>2.2136448815000001</v>
      </c>
      <c r="AH544">
        <v>6506.651670100865</v>
      </c>
      <c r="AI544">
        <v>2.2207948814999998</v>
      </c>
      <c r="AJ544">
        <v>6813.0743885749998</v>
      </c>
      <c r="AK544">
        <v>2.2337948815000002</v>
      </c>
    </row>
    <row r="545" spans="1:37" x14ac:dyDescent="0.35">
      <c r="A545" t="s">
        <v>5901</v>
      </c>
      <c r="B545">
        <v>63.63</v>
      </c>
      <c r="C545" t="s">
        <v>5902</v>
      </c>
      <c r="D545" t="s">
        <v>5903</v>
      </c>
      <c r="E545" t="s">
        <v>5904</v>
      </c>
      <c r="F545">
        <v>1.2699999999999999E-2</v>
      </c>
      <c r="G545" t="s">
        <v>5905</v>
      </c>
      <c r="H545">
        <v>0.3</v>
      </c>
      <c r="I545">
        <v>1.01</v>
      </c>
      <c r="J545" t="s">
        <v>5906</v>
      </c>
      <c r="K545" t="s">
        <v>5907</v>
      </c>
      <c r="L545" t="s">
        <v>5908</v>
      </c>
      <c r="M545" t="s">
        <v>5909</v>
      </c>
      <c r="N545">
        <v>125.91851111870071</v>
      </c>
      <c r="O545">
        <v>127.4295332521251</v>
      </c>
      <c r="P545">
        <v>133.4187213149749</v>
      </c>
      <c r="Q545">
        <v>144.09221902017291</v>
      </c>
      <c r="R545">
        <v>150</v>
      </c>
      <c r="S545" t="s">
        <v>5910</v>
      </c>
      <c r="T545" t="s">
        <v>5911</v>
      </c>
      <c r="U545" t="s">
        <v>5912</v>
      </c>
      <c r="V545" t="s">
        <v>49</v>
      </c>
      <c r="W545">
        <v>338996155</v>
      </c>
      <c r="X545">
        <v>339500751</v>
      </c>
      <c r="Y545">
        <v>340560751</v>
      </c>
      <c r="Z545">
        <v>341660751</v>
      </c>
      <c r="AA545">
        <v>343660751</v>
      </c>
      <c r="AB545">
        <v>542110817.12956631</v>
      </c>
      <c r="AC545">
        <v>4305251.1684999997</v>
      </c>
      <c r="AD545">
        <v>549432762.43118441</v>
      </c>
      <c r="AE545">
        <v>4311659.5377000002</v>
      </c>
      <c r="AF545">
        <v>577052185.09179211</v>
      </c>
      <c r="AG545">
        <v>4325121.5377000002</v>
      </c>
      <c r="AH545">
        <v>625229328.19884729</v>
      </c>
      <c r="AI545">
        <v>4339091.5377000002</v>
      </c>
      <c r="AJ545">
        <v>654673730.65499997</v>
      </c>
      <c r="AK545">
        <v>4364491.5377000002</v>
      </c>
    </row>
    <row r="546" spans="1:37" x14ac:dyDescent="0.35">
      <c r="A546" t="s">
        <v>5913</v>
      </c>
      <c r="B546">
        <v>1590.04</v>
      </c>
      <c r="C546" t="s">
        <v>5914</v>
      </c>
      <c r="D546" t="s">
        <v>5915</v>
      </c>
      <c r="E546" t="s">
        <v>5916</v>
      </c>
      <c r="F546">
        <v>5.0000000000000002E-5</v>
      </c>
      <c r="G546" t="s">
        <v>5917</v>
      </c>
      <c r="H546">
        <v>10.199999999999999</v>
      </c>
      <c r="I546">
        <v>103.01</v>
      </c>
      <c r="J546" t="s">
        <v>5918</v>
      </c>
      <c r="K546" t="s">
        <v>5919</v>
      </c>
      <c r="L546" t="s">
        <v>5920</v>
      </c>
      <c r="M546" t="s">
        <v>5921</v>
      </c>
      <c r="N546">
        <v>381.95281706005858</v>
      </c>
      <c r="O546">
        <v>386.53625086477928</v>
      </c>
      <c r="P546">
        <v>404.70345465542391</v>
      </c>
      <c r="Q546">
        <v>437.07973102785792</v>
      </c>
      <c r="R546">
        <v>455</v>
      </c>
      <c r="S546" t="s">
        <v>5922</v>
      </c>
      <c r="T546" t="s">
        <v>5923</v>
      </c>
      <c r="U546" t="s">
        <v>5924</v>
      </c>
      <c r="V546" t="s">
        <v>1017</v>
      </c>
      <c r="W546">
        <v>331357816</v>
      </c>
      <c r="X546">
        <v>331968553.60000002</v>
      </c>
      <c r="Y546">
        <v>333028553.60000002</v>
      </c>
      <c r="Z546">
        <v>334128553.60000002</v>
      </c>
      <c r="AA546">
        <v>336128553.60000002</v>
      </c>
      <c r="AB546">
        <v>6328152.5638034288</v>
      </c>
      <c r="AC546">
        <v>16567.890800000001</v>
      </c>
      <c r="AD546">
        <v>6415894.0056773778</v>
      </c>
      <c r="AE546">
        <v>16598.427680000001</v>
      </c>
      <c r="AF546">
        <v>6738890.3070409512</v>
      </c>
      <c r="AG546">
        <v>16651.427680000001</v>
      </c>
      <c r="AH546">
        <v>7302040.9168107612</v>
      </c>
      <c r="AI546">
        <v>16706.427680000001</v>
      </c>
      <c r="AJ546">
        <v>7646924.5944000008</v>
      </c>
      <c r="AK546">
        <v>16806.427680000001</v>
      </c>
    </row>
    <row r="547" spans="1:37" x14ac:dyDescent="0.35">
      <c r="A547" t="s">
        <v>5925</v>
      </c>
      <c r="B547">
        <v>99.69</v>
      </c>
      <c r="C547" t="s">
        <v>5914</v>
      </c>
      <c r="D547" t="s">
        <v>5926</v>
      </c>
      <c r="E547" t="s">
        <v>5927</v>
      </c>
      <c r="F547">
        <v>5.0000000000000002E-5</v>
      </c>
      <c r="G547" t="s">
        <v>5928</v>
      </c>
      <c r="H547">
        <v>12.3</v>
      </c>
      <c r="I547">
        <v>103.01</v>
      </c>
      <c r="J547" t="s">
        <v>5929</v>
      </c>
      <c r="K547" t="s">
        <v>5930</v>
      </c>
      <c r="L547" t="s">
        <v>5931</v>
      </c>
      <c r="M547" t="s">
        <v>5932</v>
      </c>
      <c r="N547">
        <v>381.95281706005858</v>
      </c>
      <c r="O547">
        <v>386.53625086477928</v>
      </c>
      <c r="P547">
        <v>404.70345465542391</v>
      </c>
      <c r="Q547">
        <v>437.07973102785792</v>
      </c>
      <c r="R547">
        <v>455</v>
      </c>
      <c r="S547" t="s">
        <v>5933</v>
      </c>
      <c r="T547" t="s">
        <v>5934</v>
      </c>
      <c r="U547" t="s">
        <v>5924</v>
      </c>
      <c r="V547" t="s">
        <v>1017</v>
      </c>
      <c r="W547">
        <v>331357816</v>
      </c>
      <c r="X547">
        <v>331968553.60000002</v>
      </c>
      <c r="Y547">
        <v>333028553.60000002</v>
      </c>
      <c r="Z547">
        <v>334128553.60000002</v>
      </c>
      <c r="AA547">
        <v>336128553.60000002</v>
      </c>
      <c r="AB547">
        <v>6328152.5638034288</v>
      </c>
      <c r="AC547">
        <v>16567.890800000001</v>
      </c>
      <c r="AD547">
        <v>6415894.0056773778</v>
      </c>
      <c r="AE547">
        <v>16598.427680000001</v>
      </c>
      <c r="AF547">
        <v>6738890.3070409512</v>
      </c>
      <c r="AG547">
        <v>16651.427680000001</v>
      </c>
      <c r="AH547">
        <v>7302040.9168107612</v>
      </c>
      <c r="AI547">
        <v>16706.427680000001</v>
      </c>
      <c r="AJ547">
        <v>7646924.5944000008</v>
      </c>
      <c r="AK547">
        <v>16806.427680000001</v>
      </c>
    </row>
    <row r="548" spans="1:37" x14ac:dyDescent="0.35">
      <c r="A548" t="s">
        <v>5935</v>
      </c>
      <c r="B548">
        <v>741.95</v>
      </c>
      <c r="C548" t="s">
        <v>5936</v>
      </c>
      <c r="D548" t="s">
        <v>5937</v>
      </c>
      <c r="E548" t="s">
        <v>5938</v>
      </c>
      <c r="F548">
        <v>9.9999999999999995E-8</v>
      </c>
      <c r="G548" t="s">
        <v>5939</v>
      </c>
      <c r="H548">
        <v>0.5</v>
      </c>
      <c r="I548">
        <v>20.5</v>
      </c>
      <c r="J548" t="s">
        <v>5940</v>
      </c>
      <c r="K548" t="s">
        <v>5941</v>
      </c>
      <c r="L548" t="s">
        <v>5942</v>
      </c>
      <c r="M548" t="s">
        <v>5943</v>
      </c>
      <c r="N548">
        <v>188.8777666780509</v>
      </c>
      <c r="O548">
        <v>191.14429987818761</v>
      </c>
      <c r="P548">
        <v>200.12808197246241</v>
      </c>
      <c r="Q548">
        <v>216.1383285302594</v>
      </c>
      <c r="R548">
        <v>225</v>
      </c>
      <c r="S548" t="s">
        <v>5944</v>
      </c>
      <c r="T548" t="s">
        <v>5945</v>
      </c>
      <c r="U548" t="s">
        <v>5946</v>
      </c>
      <c r="V548" t="s">
        <v>49</v>
      </c>
      <c r="W548">
        <v>338996155</v>
      </c>
      <c r="X548">
        <v>339500751</v>
      </c>
      <c r="Y548">
        <v>340560751</v>
      </c>
      <c r="Z548">
        <v>341660751</v>
      </c>
      <c r="AA548">
        <v>343660751</v>
      </c>
      <c r="AB548">
        <v>6402.8836668846388</v>
      </c>
      <c r="AC548">
        <v>33.899615500000003</v>
      </c>
      <c r="AD548">
        <v>6489.3633358013876</v>
      </c>
      <c r="AE548">
        <v>33.950075099999999</v>
      </c>
      <c r="AF548">
        <v>6815.5769892731341</v>
      </c>
      <c r="AG548">
        <v>34.056075100000001</v>
      </c>
      <c r="AH548">
        <v>7384.5983645533142</v>
      </c>
      <c r="AI548">
        <v>34.1660751</v>
      </c>
      <c r="AJ548">
        <v>7732.3668974999991</v>
      </c>
      <c r="AK548">
        <v>34.366075100000003</v>
      </c>
    </row>
    <row r="549" spans="1:37" x14ac:dyDescent="0.35">
      <c r="A549" t="s">
        <v>5947</v>
      </c>
      <c r="B549">
        <v>37117.379999999997</v>
      </c>
      <c r="C549" t="s">
        <v>5869</v>
      </c>
      <c r="D549" t="s">
        <v>5948</v>
      </c>
      <c r="E549" t="s">
        <v>5949</v>
      </c>
      <c r="F549">
        <v>3.3330000000000001E-5</v>
      </c>
      <c r="G549" t="s">
        <v>5950</v>
      </c>
      <c r="H549">
        <v>60.8</v>
      </c>
      <c r="I549">
        <v>0.1</v>
      </c>
      <c r="J549" t="s">
        <v>5951</v>
      </c>
      <c r="K549" t="s">
        <v>5952</v>
      </c>
      <c r="L549" t="s">
        <v>5953</v>
      </c>
      <c r="M549" t="s">
        <v>5954</v>
      </c>
      <c r="N549">
        <v>178384.55741815921</v>
      </c>
      <c r="O549">
        <v>180525.17210717709</v>
      </c>
      <c r="P549">
        <v>189009.85519621451</v>
      </c>
      <c r="Q549">
        <v>204130.6436119116</v>
      </c>
      <c r="R549">
        <v>212500</v>
      </c>
      <c r="S549" t="s">
        <v>5955</v>
      </c>
      <c r="T549" t="s">
        <v>5956</v>
      </c>
      <c r="U549" t="s">
        <v>5957</v>
      </c>
      <c r="V549" t="s">
        <v>49</v>
      </c>
      <c r="W549">
        <v>338996155</v>
      </c>
      <c r="X549">
        <v>339500751</v>
      </c>
      <c r="Y549">
        <v>340560751</v>
      </c>
      <c r="Z549">
        <v>341660751</v>
      </c>
      <c r="AA549">
        <v>343660751</v>
      </c>
      <c r="AB549">
        <v>2015521063.6075029</v>
      </c>
      <c r="AC549">
        <v>11298.74184615</v>
      </c>
      <c r="AD549">
        <v>2042743422.0546811</v>
      </c>
      <c r="AE549">
        <v>11315.56003083</v>
      </c>
      <c r="AF549">
        <v>2145430043.2733619</v>
      </c>
      <c r="AG549">
        <v>11350.889830829999</v>
      </c>
      <c r="AH549">
        <v>2324548488.5219741</v>
      </c>
      <c r="AI549">
        <v>11387.55283083</v>
      </c>
      <c r="AJ549">
        <v>2434020226.5513749</v>
      </c>
      <c r="AK549">
        <v>11454.21283083</v>
      </c>
    </row>
    <row r="550" spans="1:37" x14ac:dyDescent="0.35">
      <c r="A550" t="s">
        <v>5958</v>
      </c>
      <c r="B550">
        <v>40.200000000000003</v>
      </c>
      <c r="C550" t="s">
        <v>5959</v>
      </c>
      <c r="D550" t="s">
        <v>5960</v>
      </c>
      <c r="E550" t="s">
        <v>5961</v>
      </c>
      <c r="F550">
        <v>0.47199999999999998</v>
      </c>
      <c r="G550" t="s">
        <v>5962</v>
      </c>
      <c r="H550">
        <v>0.2</v>
      </c>
      <c r="J550" t="s">
        <v>5963</v>
      </c>
      <c r="K550" t="s">
        <v>5964</v>
      </c>
      <c r="L550" t="s">
        <v>5965</v>
      </c>
      <c r="M550" t="s">
        <v>5966</v>
      </c>
      <c r="N550">
        <v>136.41172037859241</v>
      </c>
      <c r="O550">
        <v>138.04866102313551</v>
      </c>
      <c r="P550">
        <v>144.5369480912228</v>
      </c>
      <c r="Q550">
        <v>156.0999039385207</v>
      </c>
      <c r="R550">
        <v>162.5</v>
      </c>
      <c r="S550" t="s">
        <v>5967</v>
      </c>
      <c r="T550" t="s">
        <v>5968</v>
      </c>
      <c r="U550" t="s">
        <v>5969</v>
      </c>
      <c r="V550" t="s">
        <v>49</v>
      </c>
      <c r="W550">
        <v>338996155</v>
      </c>
      <c r="X550">
        <v>339500751</v>
      </c>
      <c r="Y550">
        <v>340560751</v>
      </c>
      <c r="Z550">
        <v>341660751</v>
      </c>
      <c r="AA550">
        <v>343660751</v>
      </c>
      <c r="AB550">
        <v>21826718988.891201</v>
      </c>
      <c r="AC550">
        <v>160006185.16</v>
      </c>
      <c r="AD550">
        <v>22121518571.376289</v>
      </c>
      <c r="AE550">
        <v>160244354.472</v>
      </c>
      <c r="AF550">
        <v>23233544670.099972</v>
      </c>
      <c r="AG550">
        <v>160744674.472</v>
      </c>
      <c r="AH550">
        <v>25173275313.832859</v>
      </c>
      <c r="AI550">
        <v>161263874.472</v>
      </c>
      <c r="AJ550">
        <v>26358779601.700001</v>
      </c>
      <c r="AK550">
        <v>162207874.472</v>
      </c>
    </row>
    <row r="551" spans="1:37" x14ac:dyDescent="0.35">
      <c r="A551" t="s">
        <v>5970</v>
      </c>
      <c r="B551">
        <v>50.38</v>
      </c>
      <c r="C551" t="s">
        <v>1055</v>
      </c>
      <c r="D551" t="s">
        <v>5971</v>
      </c>
      <c r="E551" t="s">
        <v>5972</v>
      </c>
      <c r="F551">
        <v>5.1999999999999998E-3</v>
      </c>
      <c r="G551" t="s">
        <v>5973</v>
      </c>
      <c r="H551">
        <v>0.3</v>
      </c>
      <c r="I551">
        <v>70000.210000000006</v>
      </c>
      <c r="J551" t="s">
        <v>5974</v>
      </c>
      <c r="K551" t="s">
        <v>5975</v>
      </c>
      <c r="L551" t="s">
        <v>5976</v>
      </c>
      <c r="M551" t="s">
        <v>5977</v>
      </c>
      <c r="N551">
        <v>470.62043530614358</v>
      </c>
      <c r="O551">
        <v>476.26788052981732</v>
      </c>
      <c r="P551">
        <v>498.65247091471872</v>
      </c>
      <c r="Q551">
        <v>538.54466858789624</v>
      </c>
      <c r="R551">
        <v>560.625</v>
      </c>
      <c r="S551" t="s">
        <v>5978</v>
      </c>
      <c r="T551" t="s">
        <v>5979</v>
      </c>
      <c r="U551" t="s">
        <v>5980</v>
      </c>
      <c r="V551" t="s">
        <v>49</v>
      </c>
      <c r="W551">
        <v>338996155</v>
      </c>
      <c r="X551">
        <v>339500751</v>
      </c>
      <c r="Y551">
        <v>340560751</v>
      </c>
      <c r="Z551">
        <v>341660751</v>
      </c>
      <c r="AA551">
        <v>343660751</v>
      </c>
      <c r="AB551">
        <v>829600293.77268636</v>
      </c>
      <c r="AC551">
        <v>1762780.0060000001</v>
      </c>
      <c r="AD551">
        <v>840805176.20866656</v>
      </c>
      <c r="AE551">
        <v>1765403.9051999999</v>
      </c>
      <c r="AF551">
        <v>883071591.91015577</v>
      </c>
      <c r="AG551">
        <v>1770915.9051999999</v>
      </c>
      <c r="AH551">
        <v>956797794.76729095</v>
      </c>
      <c r="AI551">
        <v>1776635.9051999999</v>
      </c>
      <c r="AJ551">
        <v>1001857004.3527499</v>
      </c>
      <c r="AK551">
        <v>1787035.9051999999</v>
      </c>
    </row>
    <row r="552" spans="1:37" x14ac:dyDescent="0.35">
      <c r="A552" t="s">
        <v>5981</v>
      </c>
      <c r="B552">
        <v>298.49</v>
      </c>
      <c r="C552" t="s">
        <v>613</v>
      </c>
      <c r="D552" t="s">
        <v>5982</v>
      </c>
      <c r="E552" t="s">
        <v>5983</v>
      </c>
      <c r="F552">
        <v>4.6899999999999997E-2</v>
      </c>
      <c r="G552" t="s">
        <v>5984</v>
      </c>
      <c r="H552">
        <v>0.3</v>
      </c>
      <c r="I552">
        <v>950005.15</v>
      </c>
      <c r="J552" t="s">
        <v>5985</v>
      </c>
      <c r="K552" t="s">
        <v>5986</v>
      </c>
      <c r="L552" t="s">
        <v>5987</v>
      </c>
      <c r="M552" t="s">
        <v>5988</v>
      </c>
      <c r="N552">
        <v>3294.8677076059998</v>
      </c>
      <c r="O552">
        <v>3334.4061200972719</v>
      </c>
      <c r="P552">
        <v>3491.123207741844</v>
      </c>
      <c r="Q552">
        <v>3770.413064361192</v>
      </c>
      <c r="R552">
        <v>3925</v>
      </c>
      <c r="S552" t="s">
        <v>5989</v>
      </c>
      <c r="T552" t="s">
        <v>5990</v>
      </c>
      <c r="U552" t="s">
        <v>5991</v>
      </c>
      <c r="V552" t="s">
        <v>94</v>
      </c>
      <c r="W552">
        <v>265472419.80000001</v>
      </c>
      <c r="X552">
        <v>266439117.80000001</v>
      </c>
      <c r="Y552">
        <v>267499117.80000001</v>
      </c>
      <c r="Z552">
        <v>268599117.80000001</v>
      </c>
      <c r="AA552">
        <v>270179117.80000001</v>
      </c>
      <c r="AB552">
        <v>41023266002.849152</v>
      </c>
      <c r="AC552">
        <v>12450656.48862</v>
      </c>
      <c r="AD552">
        <v>41666720953.702423</v>
      </c>
      <c r="AE552">
        <v>12495994.62482</v>
      </c>
      <c r="AF552">
        <v>43798614537.676117</v>
      </c>
      <c r="AG552">
        <v>12545708.62482</v>
      </c>
      <c r="AH552">
        <v>47497019310.680603</v>
      </c>
      <c r="AI552">
        <v>12597298.62482</v>
      </c>
      <c r="AJ552">
        <v>49735247452.418503</v>
      </c>
      <c r="AK552">
        <v>12671400.62482</v>
      </c>
    </row>
    <row r="553" spans="1:37" x14ac:dyDescent="0.35">
      <c r="A553" t="s">
        <v>5992</v>
      </c>
      <c r="B553">
        <v>1146.3800000000001</v>
      </c>
      <c r="C553" t="s">
        <v>487</v>
      </c>
      <c r="D553" t="s">
        <v>5993</v>
      </c>
      <c r="E553" t="s">
        <v>5994</v>
      </c>
      <c r="F553">
        <v>2.8000000000000001E-2</v>
      </c>
      <c r="G553" t="s">
        <v>5995</v>
      </c>
      <c r="H553">
        <v>0.3</v>
      </c>
      <c r="I553">
        <v>0.15</v>
      </c>
      <c r="J553" t="s">
        <v>5996</v>
      </c>
      <c r="K553" t="s">
        <v>5997</v>
      </c>
      <c r="L553" t="s">
        <v>5998</v>
      </c>
      <c r="M553" t="s">
        <v>5999</v>
      </c>
      <c r="N553">
        <v>4761.448013576749</v>
      </c>
      <c r="O553">
        <v>4818.5853897396701</v>
      </c>
      <c r="P553">
        <v>5045.0589030574338</v>
      </c>
      <c r="Q553">
        <v>5448.663615302029</v>
      </c>
      <c r="R553">
        <v>5672.0588235294117</v>
      </c>
      <c r="S553" t="s">
        <v>6000</v>
      </c>
      <c r="T553" t="s">
        <v>6001</v>
      </c>
      <c r="U553" t="s">
        <v>6002</v>
      </c>
      <c r="V553" t="s">
        <v>94</v>
      </c>
      <c r="W553">
        <v>265472419.80000001</v>
      </c>
      <c r="X553">
        <v>266439117.80000001</v>
      </c>
      <c r="Y553">
        <v>267499117.80000001</v>
      </c>
      <c r="Z553">
        <v>268599117.80000001</v>
      </c>
      <c r="AA553">
        <v>270179117.80000001</v>
      </c>
      <c r="AB553">
        <v>35392927525.651443</v>
      </c>
      <c r="AC553">
        <v>7433227.7544000009</v>
      </c>
      <c r="AD553">
        <v>35948069928.013786</v>
      </c>
      <c r="AE553">
        <v>7460295.2984000007</v>
      </c>
      <c r="AF553">
        <v>37787366562.873177</v>
      </c>
      <c r="AG553">
        <v>7489975.2984000007</v>
      </c>
      <c r="AH553">
        <v>40978174727.254341</v>
      </c>
      <c r="AI553">
        <v>7520775.2984000007</v>
      </c>
      <c r="AJ553">
        <v>42909211773.424713</v>
      </c>
      <c r="AK553">
        <v>7565015.2984000007</v>
      </c>
    </row>
    <row r="554" spans="1:37" x14ac:dyDescent="0.35">
      <c r="A554" t="s">
        <v>6003</v>
      </c>
      <c r="B554">
        <v>5328.66</v>
      </c>
      <c r="C554" t="s">
        <v>6004</v>
      </c>
      <c r="D554" t="s">
        <v>6005</v>
      </c>
      <c r="E554" t="s">
        <v>6006</v>
      </c>
      <c r="F554">
        <v>5.0000000000000004E-6</v>
      </c>
      <c r="G554" t="s">
        <v>6007</v>
      </c>
      <c r="H554">
        <v>0.3</v>
      </c>
      <c r="I554">
        <v>0.05</v>
      </c>
      <c r="J554" t="s">
        <v>6008</v>
      </c>
      <c r="K554" t="s">
        <v>6009</v>
      </c>
      <c r="L554" t="s">
        <v>6010</v>
      </c>
      <c r="M554" t="s">
        <v>6011</v>
      </c>
      <c r="N554">
        <v>55614.009077426119</v>
      </c>
      <c r="O554">
        <v>56281.377186355232</v>
      </c>
      <c r="P554">
        <v>58926.601914113933</v>
      </c>
      <c r="Q554">
        <v>63640.730067243043</v>
      </c>
      <c r="R554">
        <v>66250</v>
      </c>
      <c r="S554" t="s">
        <v>6012</v>
      </c>
      <c r="T554" t="s">
        <v>6013</v>
      </c>
      <c r="U554" t="s">
        <v>6014</v>
      </c>
      <c r="V554" t="s">
        <v>94</v>
      </c>
      <c r="W554">
        <v>265472419.80000001</v>
      </c>
      <c r="X554">
        <v>266439117.80000001</v>
      </c>
      <c r="Y554">
        <v>267499117.80000001</v>
      </c>
      <c r="Z554">
        <v>268599117.80000001</v>
      </c>
      <c r="AA554">
        <v>270179117.80000001</v>
      </c>
      <c r="AB554">
        <v>73819927.822817385</v>
      </c>
      <c r="AC554">
        <v>1327.3620989999999</v>
      </c>
      <c r="AD554">
        <v>74977802.43050769</v>
      </c>
      <c r="AE554">
        <v>1332.1955889999999</v>
      </c>
      <c r="AF554">
        <v>78814070.134886339</v>
      </c>
      <c r="AG554">
        <v>1337.4955890000001</v>
      </c>
      <c r="AH554">
        <v>85469219.76104708</v>
      </c>
      <c r="AI554">
        <v>1342.9955890000001</v>
      </c>
      <c r="AJ554">
        <v>89496832.77125001</v>
      </c>
      <c r="AK554">
        <v>1350.895589</v>
      </c>
    </row>
    <row r="555" spans="1:37" x14ac:dyDescent="0.35">
      <c r="A555" t="s">
        <v>6015</v>
      </c>
      <c r="B555">
        <v>18.510000000000002</v>
      </c>
      <c r="C555" t="s">
        <v>1558</v>
      </c>
      <c r="D555" t="s">
        <v>6016</v>
      </c>
      <c r="E555" t="s">
        <v>6017</v>
      </c>
      <c r="F555">
        <v>0.03</v>
      </c>
      <c r="G555" t="s">
        <v>6018</v>
      </c>
      <c r="H555">
        <v>0.3</v>
      </c>
      <c r="I555">
        <v>0.03</v>
      </c>
      <c r="J555" t="s">
        <v>6019</v>
      </c>
      <c r="K555" t="s">
        <v>6020</v>
      </c>
      <c r="L555" t="s">
        <v>6021</v>
      </c>
      <c r="M555" t="s">
        <v>6022</v>
      </c>
      <c r="N555">
        <v>102.13390346294609</v>
      </c>
      <c r="O555">
        <v>103.3595103045015</v>
      </c>
      <c r="P555">
        <v>108.21740728881301</v>
      </c>
      <c r="Q555">
        <v>116.8747998719181</v>
      </c>
      <c r="R555">
        <v>121.6666666666667</v>
      </c>
      <c r="S555" t="s">
        <v>6023</v>
      </c>
      <c r="T555" t="s">
        <v>6024</v>
      </c>
      <c r="U555" t="s">
        <v>6025</v>
      </c>
      <c r="V555" t="s">
        <v>49</v>
      </c>
      <c r="W555">
        <v>338996155</v>
      </c>
      <c r="X555">
        <v>339500751</v>
      </c>
      <c r="Y555">
        <v>340560751</v>
      </c>
      <c r="Z555">
        <v>341660751</v>
      </c>
      <c r="AA555">
        <v>343660751</v>
      </c>
      <c r="AB555">
        <v>1038690017.072397</v>
      </c>
      <c r="AC555">
        <v>10169884.65</v>
      </c>
      <c r="AD555">
        <v>1052718941.141114</v>
      </c>
      <c r="AE555">
        <v>10185022.529999999</v>
      </c>
      <c r="AF555">
        <v>1105638044.9265311</v>
      </c>
      <c r="AG555">
        <v>10216822.529999999</v>
      </c>
      <c r="AH555">
        <v>1197945956.9164269</v>
      </c>
      <c r="AI555">
        <v>10249822.529999999</v>
      </c>
      <c r="AJ555">
        <v>1254361741.1500001</v>
      </c>
      <c r="AK555">
        <v>10309822.529999999</v>
      </c>
    </row>
    <row r="556" spans="1:37" x14ac:dyDescent="0.35">
      <c r="A556" t="s">
        <v>6026</v>
      </c>
      <c r="B556">
        <v>9.0399999999999991</v>
      </c>
      <c r="C556" t="s">
        <v>418</v>
      </c>
      <c r="D556" t="s">
        <v>6027</v>
      </c>
      <c r="E556" t="s">
        <v>6028</v>
      </c>
      <c r="F556">
        <v>0.16200000000000001</v>
      </c>
      <c r="G556" t="s">
        <v>6029</v>
      </c>
      <c r="H556">
        <v>0.25</v>
      </c>
      <c r="I556">
        <v>0.01</v>
      </c>
      <c r="J556" t="s">
        <v>6030</v>
      </c>
      <c r="K556" t="s">
        <v>6031</v>
      </c>
      <c r="L556" t="s">
        <v>6032</v>
      </c>
      <c r="M556" t="s">
        <v>6033</v>
      </c>
      <c r="N556">
        <v>76.950201239205967</v>
      </c>
      <c r="O556">
        <v>77.873603654076433</v>
      </c>
      <c r="P556">
        <v>81.533663025818015</v>
      </c>
      <c r="Q556">
        <v>88.056356067883456</v>
      </c>
      <c r="R556">
        <v>91.666666666666671</v>
      </c>
      <c r="S556" t="s">
        <v>6034</v>
      </c>
      <c r="T556" t="s">
        <v>6035</v>
      </c>
      <c r="U556" t="s">
        <v>6036</v>
      </c>
      <c r="V556" t="s">
        <v>49</v>
      </c>
      <c r="W556">
        <v>338996155</v>
      </c>
      <c r="X556">
        <v>339500751</v>
      </c>
      <c r="Y556">
        <v>340560751</v>
      </c>
      <c r="Z556">
        <v>341660751</v>
      </c>
      <c r="AA556">
        <v>343660751</v>
      </c>
      <c r="AB556">
        <v>4225903220.1438642</v>
      </c>
      <c r="AC556">
        <v>54917377.109999999</v>
      </c>
      <c r="AD556">
        <v>4282979801.6289182</v>
      </c>
      <c r="AE556">
        <v>54999121.662</v>
      </c>
      <c r="AF556">
        <v>4498280812.92027</v>
      </c>
      <c r="AG556">
        <v>55170841.662</v>
      </c>
      <c r="AH556">
        <v>4873834920.6051884</v>
      </c>
      <c r="AI556">
        <v>55349041.662</v>
      </c>
      <c r="AJ556">
        <v>5103362152.3500004</v>
      </c>
      <c r="AK556">
        <v>55673041.662</v>
      </c>
    </row>
    <row r="557" spans="1:37" x14ac:dyDescent="0.35">
      <c r="A557" t="s">
        <v>6037</v>
      </c>
      <c r="B557">
        <v>8.59</v>
      </c>
      <c r="C557" t="s">
        <v>1558</v>
      </c>
      <c r="D557" t="s">
        <v>6038</v>
      </c>
      <c r="E557" t="s">
        <v>6039</v>
      </c>
      <c r="F557">
        <v>0.03</v>
      </c>
      <c r="G557" t="s">
        <v>6040</v>
      </c>
      <c r="H557">
        <v>0.3</v>
      </c>
      <c r="I557">
        <v>0.2</v>
      </c>
      <c r="J557" t="s">
        <v>6041</v>
      </c>
      <c r="K557" t="s">
        <v>6042</v>
      </c>
      <c r="L557" t="s">
        <v>6043</v>
      </c>
      <c r="M557" t="s">
        <v>6044</v>
      </c>
      <c r="N557">
        <v>102.13390346294609</v>
      </c>
      <c r="O557">
        <v>103.3595103045015</v>
      </c>
      <c r="P557">
        <v>108.21740728881301</v>
      </c>
      <c r="Q557">
        <v>116.8747998719181</v>
      </c>
      <c r="R557">
        <v>121.6666666666667</v>
      </c>
      <c r="S557" t="s">
        <v>6045</v>
      </c>
      <c r="T557" t="s">
        <v>6046</v>
      </c>
      <c r="U557" t="s">
        <v>6047</v>
      </c>
      <c r="V557" t="s">
        <v>49</v>
      </c>
      <c r="W557">
        <v>338996155</v>
      </c>
      <c r="X557">
        <v>339500751</v>
      </c>
      <c r="Y557">
        <v>340560751</v>
      </c>
      <c r="Z557">
        <v>341660751</v>
      </c>
      <c r="AA557">
        <v>343660751</v>
      </c>
      <c r="AB557">
        <v>1038690017.072397</v>
      </c>
      <c r="AC557">
        <v>10169884.65</v>
      </c>
      <c r="AD557">
        <v>1052718941.141114</v>
      </c>
      <c r="AE557">
        <v>10185022.529999999</v>
      </c>
      <c r="AF557">
        <v>1105638044.9265311</v>
      </c>
      <c r="AG557">
        <v>10216822.529999999</v>
      </c>
      <c r="AH557">
        <v>1197945956.9164269</v>
      </c>
      <c r="AI557">
        <v>10249822.529999999</v>
      </c>
      <c r="AJ557">
        <v>1254361741.1500001</v>
      </c>
      <c r="AK557">
        <v>10309822.529999999</v>
      </c>
    </row>
    <row r="558" spans="1:37" x14ac:dyDescent="0.35">
      <c r="A558" t="s">
        <v>6048</v>
      </c>
      <c r="B558">
        <v>6.25</v>
      </c>
      <c r="C558" t="s">
        <v>418</v>
      </c>
      <c r="D558" t="s">
        <v>6049</v>
      </c>
      <c r="E558" t="s">
        <v>3608</v>
      </c>
      <c r="F558">
        <v>0.16200000000000001</v>
      </c>
      <c r="G558" t="s">
        <v>6050</v>
      </c>
      <c r="H558">
        <v>0.2</v>
      </c>
      <c r="I558">
        <v>0.01</v>
      </c>
      <c r="J558" t="s">
        <v>6051</v>
      </c>
      <c r="K558" t="s">
        <v>6052</v>
      </c>
      <c r="L558" t="s">
        <v>6053</v>
      </c>
      <c r="M558" t="s">
        <v>6054</v>
      </c>
      <c r="N558">
        <v>76.950201239205967</v>
      </c>
      <c r="O558">
        <v>77.873603654076433</v>
      </c>
      <c r="P558">
        <v>81.533663025818015</v>
      </c>
      <c r="Q558">
        <v>88.056356067883456</v>
      </c>
      <c r="R558">
        <v>91.666666666666671</v>
      </c>
      <c r="S558" t="s">
        <v>6055</v>
      </c>
      <c r="T558" t="s">
        <v>6056</v>
      </c>
      <c r="U558" t="s">
        <v>6057</v>
      </c>
      <c r="V558" t="s">
        <v>49</v>
      </c>
      <c r="W558">
        <v>338996155</v>
      </c>
      <c r="X558">
        <v>339500751</v>
      </c>
      <c r="Y558">
        <v>340560751</v>
      </c>
      <c r="Z558">
        <v>341660751</v>
      </c>
      <c r="AA558">
        <v>343660751</v>
      </c>
      <c r="AB558">
        <v>4225903220.1438642</v>
      </c>
      <c r="AC558">
        <v>54917377.109999999</v>
      </c>
      <c r="AD558">
        <v>4282979801.6289182</v>
      </c>
      <c r="AE558">
        <v>54999121.662</v>
      </c>
      <c r="AF558">
        <v>4498280812.92027</v>
      </c>
      <c r="AG558">
        <v>55170841.662</v>
      </c>
      <c r="AH558">
        <v>4873834920.6051884</v>
      </c>
      <c r="AI558">
        <v>55349041.662</v>
      </c>
      <c r="AJ558">
        <v>5103362152.3500004</v>
      </c>
      <c r="AK558">
        <v>55673041.662</v>
      </c>
    </row>
    <row r="559" spans="1:37" x14ac:dyDescent="0.35">
      <c r="A559" t="s">
        <v>6058</v>
      </c>
      <c r="B559">
        <v>209.99</v>
      </c>
      <c r="C559" t="s">
        <v>590</v>
      </c>
      <c r="D559" t="s">
        <v>6059</v>
      </c>
      <c r="E559" t="s">
        <v>6060</v>
      </c>
      <c r="F559">
        <v>2.0000000000000001E-4</v>
      </c>
      <c r="G559" t="s">
        <v>6061</v>
      </c>
      <c r="H559">
        <v>30.25</v>
      </c>
      <c r="I559">
        <v>15.3</v>
      </c>
      <c r="J559" t="s">
        <v>6062</v>
      </c>
      <c r="K559" t="s">
        <v>6063</v>
      </c>
      <c r="L559" t="s">
        <v>6064</v>
      </c>
      <c r="M559" t="s">
        <v>6065</v>
      </c>
      <c r="N559">
        <v>57083.058373810964</v>
      </c>
      <c r="O559">
        <v>57768.055074296688</v>
      </c>
      <c r="P559">
        <v>60483.153662788631</v>
      </c>
      <c r="Q559">
        <v>65321.805955811717</v>
      </c>
      <c r="R559">
        <v>68000</v>
      </c>
      <c r="S559" t="s">
        <v>6066</v>
      </c>
      <c r="T559" t="s">
        <v>6067</v>
      </c>
      <c r="U559" t="s">
        <v>6068</v>
      </c>
      <c r="V559" t="s">
        <v>49</v>
      </c>
      <c r="W559">
        <v>338996155</v>
      </c>
      <c r="X559">
        <v>339500751</v>
      </c>
      <c r="Y559">
        <v>340560751</v>
      </c>
      <c r="Z559">
        <v>341660751</v>
      </c>
      <c r="AA559">
        <v>343660751</v>
      </c>
      <c r="AB559">
        <v>3870187460.8724942</v>
      </c>
      <c r="AC559">
        <v>67799.231</v>
      </c>
      <c r="AD559">
        <v>3922459616.3066182</v>
      </c>
      <c r="AE559">
        <v>67900.150200000004</v>
      </c>
      <c r="AF559">
        <v>4119637646.8495402</v>
      </c>
      <c r="AG559">
        <v>68112.150200000004</v>
      </c>
      <c r="AH559">
        <v>4463579455.9077816</v>
      </c>
      <c r="AI559">
        <v>68332.150200000004</v>
      </c>
      <c r="AJ559">
        <v>4673786213.6000004</v>
      </c>
      <c r="AK559">
        <v>68732.150200000004</v>
      </c>
    </row>
    <row r="560" spans="1:37" x14ac:dyDescent="0.35">
      <c r="A560" t="s">
        <v>6069</v>
      </c>
      <c r="B560">
        <v>194</v>
      </c>
      <c r="C560" t="s">
        <v>290</v>
      </c>
      <c r="D560" t="s">
        <v>6070</v>
      </c>
      <c r="E560" t="s">
        <v>6071</v>
      </c>
      <c r="F560">
        <v>1.6E-2</v>
      </c>
      <c r="G560" t="s">
        <v>6072</v>
      </c>
      <c r="H560">
        <v>0.2</v>
      </c>
      <c r="I560">
        <v>10.02</v>
      </c>
      <c r="J560" t="s">
        <v>6073</v>
      </c>
      <c r="K560" t="s">
        <v>6074</v>
      </c>
      <c r="L560" t="s">
        <v>6075</v>
      </c>
      <c r="M560" t="s">
        <v>6076</v>
      </c>
      <c r="N560">
        <v>582.68173772575199</v>
      </c>
      <c r="O560">
        <v>589.67391857846098</v>
      </c>
      <c r="P560">
        <v>617.38859275164862</v>
      </c>
      <c r="Q560">
        <v>666.77968017178057</v>
      </c>
      <c r="R560">
        <v>694.11764705882354</v>
      </c>
      <c r="S560" t="s">
        <v>6077</v>
      </c>
      <c r="T560" t="s">
        <v>6078</v>
      </c>
      <c r="U560" t="s">
        <v>6079</v>
      </c>
      <c r="V560" t="s">
        <v>49</v>
      </c>
      <c r="W560">
        <v>338996155</v>
      </c>
      <c r="X560">
        <v>339500751</v>
      </c>
      <c r="Y560">
        <v>340560751</v>
      </c>
      <c r="Z560">
        <v>341660751</v>
      </c>
      <c r="AA560">
        <v>343660751</v>
      </c>
      <c r="AB560">
        <v>3160429898.8439741</v>
      </c>
      <c r="AC560">
        <v>5423938.4800000004</v>
      </c>
      <c r="AD560">
        <v>3203115811.240005</v>
      </c>
      <c r="AE560">
        <v>5432012.0159999998</v>
      </c>
      <c r="AF560">
        <v>3364133164.9013538</v>
      </c>
      <c r="AG560">
        <v>5448972.0159999998</v>
      </c>
      <c r="AH560">
        <v>3644999140.4644861</v>
      </c>
      <c r="AI560">
        <v>5466572.0159999998</v>
      </c>
      <c r="AJ560">
        <v>3816655869.9294109</v>
      </c>
      <c r="AK560">
        <v>5498572.0159999998</v>
      </c>
    </row>
    <row r="561" spans="1:37" x14ac:dyDescent="0.35">
      <c r="A561" t="s">
        <v>6080</v>
      </c>
      <c r="B561">
        <v>194</v>
      </c>
      <c r="C561" t="s">
        <v>290</v>
      </c>
      <c r="D561" t="s">
        <v>6081</v>
      </c>
      <c r="E561" t="s">
        <v>6082</v>
      </c>
      <c r="F561">
        <v>1.6E-2</v>
      </c>
      <c r="G561" t="s">
        <v>6083</v>
      </c>
      <c r="H561">
        <v>0.3</v>
      </c>
      <c r="I561">
        <v>2.0099999999999998</v>
      </c>
      <c r="J561" t="s">
        <v>6084</v>
      </c>
      <c r="K561" t="s">
        <v>6085</v>
      </c>
      <c r="L561" t="s">
        <v>6086</v>
      </c>
      <c r="M561" t="s">
        <v>6087</v>
      </c>
      <c r="N561">
        <v>582.68173772575199</v>
      </c>
      <c r="O561">
        <v>589.67391857846098</v>
      </c>
      <c r="P561">
        <v>617.38859275164862</v>
      </c>
      <c r="Q561">
        <v>666.77968017178057</v>
      </c>
      <c r="R561">
        <v>694.11764705882354</v>
      </c>
      <c r="S561" t="s">
        <v>6088</v>
      </c>
      <c r="T561" t="s">
        <v>6089</v>
      </c>
      <c r="U561" t="s">
        <v>1623</v>
      </c>
      <c r="V561" t="s">
        <v>49</v>
      </c>
      <c r="W561">
        <v>338996155</v>
      </c>
      <c r="X561">
        <v>339500751</v>
      </c>
      <c r="Y561">
        <v>340560751</v>
      </c>
      <c r="Z561">
        <v>341660751</v>
      </c>
      <c r="AA561">
        <v>343660751</v>
      </c>
      <c r="AB561">
        <v>3160429898.8439741</v>
      </c>
      <c r="AC561">
        <v>5423938.4800000004</v>
      </c>
      <c r="AD561">
        <v>3203115811.240005</v>
      </c>
      <c r="AE561">
        <v>5432012.0159999998</v>
      </c>
      <c r="AF561">
        <v>3364133164.9013538</v>
      </c>
      <c r="AG561">
        <v>5448972.0159999998</v>
      </c>
      <c r="AH561">
        <v>3644999140.4644861</v>
      </c>
      <c r="AI561">
        <v>5466572.0159999998</v>
      </c>
      <c r="AJ561">
        <v>3816655869.9294109</v>
      </c>
      <c r="AK561">
        <v>5498572.0159999998</v>
      </c>
    </row>
    <row r="562" spans="1:37" x14ac:dyDescent="0.35">
      <c r="A562" t="s">
        <v>6090</v>
      </c>
      <c r="B562">
        <v>392.21</v>
      </c>
      <c r="C562" t="s">
        <v>83</v>
      </c>
      <c r="D562" t="s">
        <v>6091</v>
      </c>
      <c r="E562" t="s">
        <v>6092</v>
      </c>
      <c r="F562">
        <v>4.5999999999999999E-2</v>
      </c>
      <c r="G562" t="s">
        <v>6093</v>
      </c>
      <c r="H562">
        <v>0.1</v>
      </c>
      <c r="I562">
        <v>0.01</v>
      </c>
      <c r="J562" t="s">
        <v>6094</v>
      </c>
      <c r="K562" t="s">
        <v>6095</v>
      </c>
      <c r="L562" t="s">
        <v>6096</v>
      </c>
      <c r="M562" t="s">
        <v>6097</v>
      </c>
      <c r="N562">
        <v>963.93530786561541</v>
      </c>
      <c r="O562">
        <v>975.50253156000281</v>
      </c>
      <c r="P562">
        <v>1021.351150543323</v>
      </c>
      <c r="Q562">
        <v>1103.059242586789</v>
      </c>
      <c r="R562">
        <v>1148.2846715328469</v>
      </c>
      <c r="S562" t="s">
        <v>6098</v>
      </c>
      <c r="T562" t="s">
        <v>6099</v>
      </c>
      <c r="U562" t="s">
        <v>6100</v>
      </c>
      <c r="V562" t="s">
        <v>94</v>
      </c>
      <c r="W562">
        <v>265472419.80000001</v>
      </c>
      <c r="X562">
        <v>266439117.80000001</v>
      </c>
      <c r="Y562">
        <v>267499117.80000001</v>
      </c>
      <c r="Z562">
        <v>268599117.80000001</v>
      </c>
      <c r="AA562">
        <v>270179117.80000001</v>
      </c>
      <c r="AB562">
        <v>11771318980.64817</v>
      </c>
      <c r="AC562">
        <v>12211731.310799999</v>
      </c>
      <c r="AD562">
        <v>11955953560.343639</v>
      </c>
      <c r="AE562">
        <v>12256199.4188</v>
      </c>
      <c r="AF562">
        <v>12567684459.780279</v>
      </c>
      <c r="AG562">
        <v>12304959.4188</v>
      </c>
      <c r="AH562">
        <v>13628914014.237591</v>
      </c>
      <c r="AI562">
        <v>12355559.4188</v>
      </c>
      <c r="AJ562">
        <v>14271156818.748341</v>
      </c>
      <c r="AK562">
        <v>12428239.4188</v>
      </c>
    </row>
    <row r="563" spans="1:37" x14ac:dyDescent="0.35">
      <c r="A563" t="s">
        <v>6101</v>
      </c>
      <c r="B563">
        <v>392.46</v>
      </c>
      <c r="C563" t="s">
        <v>83</v>
      </c>
      <c r="D563" t="s">
        <v>4376</v>
      </c>
      <c r="E563" t="s">
        <v>6102</v>
      </c>
      <c r="F563">
        <v>4.5999999999999999E-2</v>
      </c>
      <c r="G563" t="s">
        <v>6103</v>
      </c>
      <c r="H563">
        <v>0.1</v>
      </c>
      <c r="I563">
        <v>0.02</v>
      </c>
      <c r="J563" t="s">
        <v>6104</v>
      </c>
      <c r="K563" t="s">
        <v>6105</v>
      </c>
      <c r="L563" t="s">
        <v>6106</v>
      </c>
      <c r="M563" t="s">
        <v>6107</v>
      </c>
      <c r="N563">
        <v>963.93530786561541</v>
      </c>
      <c r="O563">
        <v>975.50253156000281</v>
      </c>
      <c r="P563">
        <v>1021.351150543323</v>
      </c>
      <c r="Q563">
        <v>1103.059242586789</v>
      </c>
      <c r="R563">
        <v>1148.2846715328469</v>
      </c>
      <c r="S563" t="s">
        <v>6108</v>
      </c>
      <c r="T563" t="s">
        <v>6109</v>
      </c>
      <c r="U563" t="s">
        <v>6110</v>
      </c>
      <c r="V563" t="s">
        <v>94</v>
      </c>
      <c r="W563">
        <v>265472419.80000001</v>
      </c>
      <c r="X563">
        <v>266439117.80000001</v>
      </c>
      <c r="Y563">
        <v>267499117.80000001</v>
      </c>
      <c r="Z563">
        <v>268599117.80000001</v>
      </c>
      <c r="AA563">
        <v>270179117.80000001</v>
      </c>
      <c r="AB563">
        <v>11771318980.64817</v>
      </c>
      <c r="AC563">
        <v>12211731.310799999</v>
      </c>
      <c r="AD563">
        <v>11955953560.343639</v>
      </c>
      <c r="AE563">
        <v>12256199.4188</v>
      </c>
      <c r="AF563">
        <v>12567684459.780279</v>
      </c>
      <c r="AG563">
        <v>12304959.4188</v>
      </c>
      <c r="AH563">
        <v>13628914014.237591</v>
      </c>
      <c r="AI563">
        <v>12355559.4188</v>
      </c>
      <c r="AJ563">
        <v>14271156818.748341</v>
      </c>
      <c r="AK563">
        <v>12428239.4188</v>
      </c>
    </row>
    <row r="564" spans="1:37" x14ac:dyDescent="0.35">
      <c r="A564" t="s">
        <v>6111</v>
      </c>
      <c r="B564">
        <v>392.9</v>
      </c>
      <c r="C564" t="s">
        <v>83</v>
      </c>
      <c r="D564" t="s">
        <v>6112</v>
      </c>
      <c r="E564" t="s">
        <v>6113</v>
      </c>
      <c r="F564">
        <v>4.5999999999999999E-2</v>
      </c>
      <c r="G564" t="s">
        <v>6114</v>
      </c>
      <c r="H564">
        <v>0.15</v>
      </c>
      <c r="I564">
        <v>0.05</v>
      </c>
      <c r="J564" t="s">
        <v>6115</v>
      </c>
      <c r="K564" t="s">
        <v>6116</v>
      </c>
      <c r="L564" t="s">
        <v>6117</v>
      </c>
      <c r="M564" t="s">
        <v>6118</v>
      </c>
      <c r="N564">
        <v>963.93530786561541</v>
      </c>
      <c r="O564">
        <v>975.50253156000281</v>
      </c>
      <c r="P564">
        <v>1021.351150543323</v>
      </c>
      <c r="Q564">
        <v>1103.059242586789</v>
      </c>
      <c r="R564">
        <v>1148.2846715328469</v>
      </c>
      <c r="S564" t="s">
        <v>6119</v>
      </c>
      <c r="T564" t="s">
        <v>6120</v>
      </c>
      <c r="U564" t="s">
        <v>691</v>
      </c>
      <c r="V564" t="s">
        <v>94</v>
      </c>
      <c r="W564">
        <v>265472419.80000001</v>
      </c>
      <c r="X564">
        <v>266439117.80000001</v>
      </c>
      <c r="Y564">
        <v>267499117.80000001</v>
      </c>
      <c r="Z564">
        <v>268599117.80000001</v>
      </c>
      <c r="AA564">
        <v>270179117.80000001</v>
      </c>
      <c r="AB564">
        <v>11771318980.64817</v>
      </c>
      <c r="AC564">
        <v>12211731.310799999</v>
      </c>
      <c r="AD564">
        <v>11955953560.343639</v>
      </c>
      <c r="AE564">
        <v>12256199.4188</v>
      </c>
      <c r="AF564">
        <v>12567684459.780279</v>
      </c>
      <c r="AG564">
        <v>12304959.4188</v>
      </c>
      <c r="AH564">
        <v>13628914014.237591</v>
      </c>
      <c r="AI564">
        <v>12355559.4188</v>
      </c>
      <c r="AJ564">
        <v>14271156818.748341</v>
      </c>
      <c r="AK564">
        <v>12428239.4188</v>
      </c>
    </row>
    <row r="565" spans="1:37" x14ac:dyDescent="0.35">
      <c r="A565" t="s">
        <v>6121</v>
      </c>
      <c r="B565">
        <v>393.77</v>
      </c>
      <c r="C565" t="s">
        <v>83</v>
      </c>
      <c r="D565" t="s">
        <v>6122</v>
      </c>
      <c r="E565" t="s">
        <v>6123</v>
      </c>
      <c r="F565">
        <v>4.5999999999999999E-2</v>
      </c>
      <c r="G565" t="s">
        <v>6124</v>
      </c>
      <c r="H565">
        <v>0.2</v>
      </c>
      <c r="I565">
        <v>0.1</v>
      </c>
      <c r="J565" t="s">
        <v>6125</v>
      </c>
      <c r="K565" t="s">
        <v>6126</v>
      </c>
      <c r="L565" t="s">
        <v>6127</v>
      </c>
      <c r="M565" t="s">
        <v>6128</v>
      </c>
      <c r="N565">
        <v>963.93530786561541</v>
      </c>
      <c r="O565">
        <v>975.50253156000281</v>
      </c>
      <c r="P565">
        <v>1021.351150543323</v>
      </c>
      <c r="Q565">
        <v>1103.059242586789</v>
      </c>
      <c r="R565">
        <v>1148.2846715328469</v>
      </c>
      <c r="S565" t="s">
        <v>6129</v>
      </c>
      <c r="T565" t="s">
        <v>6130</v>
      </c>
      <c r="U565" t="s">
        <v>6131</v>
      </c>
      <c r="V565" t="s">
        <v>94</v>
      </c>
      <c r="W565">
        <v>265472419.80000001</v>
      </c>
      <c r="X565">
        <v>266439117.80000001</v>
      </c>
      <c r="Y565">
        <v>267499117.80000001</v>
      </c>
      <c r="Z565">
        <v>268599117.80000001</v>
      </c>
      <c r="AA565">
        <v>270179117.80000001</v>
      </c>
      <c r="AB565">
        <v>11771318980.64817</v>
      </c>
      <c r="AC565">
        <v>12211731.310799999</v>
      </c>
      <c r="AD565">
        <v>11955953560.343639</v>
      </c>
      <c r="AE565">
        <v>12256199.4188</v>
      </c>
      <c r="AF565">
        <v>12567684459.780279</v>
      </c>
      <c r="AG565">
        <v>12304959.4188</v>
      </c>
      <c r="AH565">
        <v>13628914014.237591</v>
      </c>
      <c r="AI565">
        <v>12355559.4188</v>
      </c>
      <c r="AJ565">
        <v>14271156818.748341</v>
      </c>
      <c r="AK565">
        <v>12428239.4188</v>
      </c>
    </row>
    <row r="566" spans="1:37" x14ac:dyDescent="0.35">
      <c r="A566" t="s">
        <v>6132</v>
      </c>
      <c r="B566">
        <v>394.44</v>
      </c>
      <c r="C566" t="s">
        <v>83</v>
      </c>
      <c r="D566" t="s">
        <v>6133</v>
      </c>
      <c r="E566" t="s">
        <v>2198</v>
      </c>
      <c r="F566">
        <v>4.5999999999999999E-2</v>
      </c>
      <c r="G566" t="s">
        <v>6134</v>
      </c>
      <c r="H566">
        <v>0.06</v>
      </c>
      <c r="I566">
        <v>0.12</v>
      </c>
      <c r="J566" t="s">
        <v>6135</v>
      </c>
      <c r="K566" t="s">
        <v>6136</v>
      </c>
      <c r="L566" t="s">
        <v>6137</v>
      </c>
      <c r="M566" t="s">
        <v>6138</v>
      </c>
      <c r="N566">
        <v>963.93530786561541</v>
      </c>
      <c r="O566">
        <v>975.50253156000281</v>
      </c>
      <c r="P566">
        <v>1021.351150543323</v>
      </c>
      <c r="Q566">
        <v>1103.059242586789</v>
      </c>
      <c r="R566">
        <v>1148.2846715328469</v>
      </c>
      <c r="S566" t="s">
        <v>6139</v>
      </c>
      <c r="T566" t="s">
        <v>6140</v>
      </c>
      <c r="U566" t="s">
        <v>6141</v>
      </c>
      <c r="V566" t="s">
        <v>94</v>
      </c>
      <c r="W566">
        <v>265472419.80000001</v>
      </c>
      <c r="X566">
        <v>266439117.80000001</v>
      </c>
      <c r="Y566">
        <v>267499117.80000001</v>
      </c>
      <c r="Z566">
        <v>268599117.80000001</v>
      </c>
      <c r="AA566">
        <v>270179117.80000001</v>
      </c>
      <c r="AB566">
        <v>11771318980.64817</v>
      </c>
      <c r="AC566">
        <v>12211731.310799999</v>
      </c>
      <c r="AD566">
        <v>11955953560.343639</v>
      </c>
      <c r="AE566">
        <v>12256199.4188</v>
      </c>
      <c r="AF566">
        <v>12567684459.780279</v>
      </c>
      <c r="AG566">
        <v>12304959.4188</v>
      </c>
      <c r="AH566">
        <v>13628914014.237591</v>
      </c>
      <c r="AI566">
        <v>12355559.4188</v>
      </c>
      <c r="AJ566">
        <v>14271156818.748341</v>
      </c>
      <c r="AK566">
        <v>12428239.4188</v>
      </c>
    </row>
    <row r="567" spans="1:37" x14ac:dyDescent="0.35">
      <c r="A567" t="s">
        <v>6142</v>
      </c>
      <c r="B567">
        <v>395.23</v>
      </c>
      <c r="C567" t="s">
        <v>83</v>
      </c>
      <c r="D567" t="s">
        <v>6143</v>
      </c>
      <c r="E567" t="s">
        <v>6144</v>
      </c>
      <c r="F567">
        <v>4.5999999999999999E-2</v>
      </c>
      <c r="G567" t="s">
        <v>6145</v>
      </c>
      <c r="H567">
        <v>30.3</v>
      </c>
      <c r="I567">
        <v>0.04</v>
      </c>
      <c r="J567" t="s">
        <v>6146</v>
      </c>
      <c r="K567" t="s">
        <v>6147</v>
      </c>
      <c r="L567" t="s">
        <v>6148</v>
      </c>
      <c r="M567" t="s">
        <v>6149</v>
      </c>
      <c r="N567">
        <v>963.93530786561541</v>
      </c>
      <c r="O567">
        <v>975.50253156000281</v>
      </c>
      <c r="P567">
        <v>1021.351150543323</v>
      </c>
      <c r="Q567">
        <v>1103.059242586789</v>
      </c>
      <c r="R567">
        <v>1148.2846715328469</v>
      </c>
      <c r="S567" t="s">
        <v>6150</v>
      </c>
      <c r="T567" t="s">
        <v>6151</v>
      </c>
      <c r="U567" t="s">
        <v>691</v>
      </c>
      <c r="V567" t="s">
        <v>94</v>
      </c>
      <c r="W567">
        <v>265472419.80000001</v>
      </c>
      <c r="X567">
        <v>266439117.80000001</v>
      </c>
      <c r="Y567">
        <v>267499117.80000001</v>
      </c>
      <c r="Z567">
        <v>268599117.80000001</v>
      </c>
      <c r="AA567">
        <v>270179117.80000001</v>
      </c>
      <c r="AB567">
        <v>11771318980.64817</v>
      </c>
      <c r="AC567">
        <v>12211731.310799999</v>
      </c>
      <c r="AD567">
        <v>11955953560.343639</v>
      </c>
      <c r="AE567">
        <v>12256199.4188</v>
      </c>
      <c r="AF567">
        <v>12567684459.780279</v>
      </c>
      <c r="AG567">
        <v>12304959.4188</v>
      </c>
      <c r="AH567">
        <v>13628914014.237591</v>
      </c>
      <c r="AI567">
        <v>12355559.4188</v>
      </c>
      <c r="AJ567">
        <v>14271156818.748341</v>
      </c>
      <c r="AK567">
        <v>12428239.4188</v>
      </c>
    </row>
    <row r="568" spans="1:37" x14ac:dyDescent="0.35">
      <c r="A568" t="s">
        <v>6152</v>
      </c>
      <c r="B568">
        <v>395.89</v>
      </c>
      <c r="C568" t="s">
        <v>83</v>
      </c>
      <c r="D568" t="s">
        <v>6153</v>
      </c>
      <c r="E568" t="s">
        <v>6154</v>
      </c>
      <c r="F568">
        <v>4.5999999999999999E-2</v>
      </c>
      <c r="G568" t="s">
        <v>6155</v>
      </c>
      <c r="H568">
        <v>10.199999999999999</v>
      </c>
      <c r="J568" t="s">
        <v>6156</v>
      </c>
      <c r="K568" t="s">
        <v>6157</v>
      </c>
      <c r="L568" t="s">
        <v>6158</v>
      </c>
      <c r="M568" t="s">
        <v>6159</v>
      </c>
      <c r="N568">
        <v>963.93530786561541</v>
      </c>
      <c r="O568">
        <v>975.50253156000281</v>
      </c>
      <c r="P568">
        <v>1021.351150543323</v>
      </c>
      <c r="Q568">
        <v>1103.059242586789</v>
      </c>
      <c r="R568">
        <v>1148.2846715328469</v>
      </c>
      <c r="S568" t="s">
        <v>6160</v>
      </c>
      <c r="T568" t="s">
        <v>6161</v>
      </c>
      <c r="U568" t="s">
        <v>691</v>
      </c>
      <c r="V568" t="s">
        <v>94</v>
      </c>
      <c r="W568">
        <v>265472419.80000001</v>
      </c>
      <c r="X568">
        <v>266439117.80000001</v>
      </c>
      <c r="Y568">
        <v>267499117.80000001</v>
      </c>
      <c r="Z568">
        <v>268599117.80000001</v>
      </c>
      <c r="AA568">
        <v>270179117.80000001</v>
      </c>
      <c r="AB568">
        <v>11771318980.64817</v>
      </c>
      <c r="AC568">
        <v>12211731.310799999</v>
      </c>
      <c r="AD568">
        <v>11955953560.343639</v>
      </c>
      <c r="AE568">
        <v>12256199.4188</v>
      </c>
      <c r="AF568">
        <v>12567684459.780279</v>
      </c>
      <c r="AG568">
        <v>12304959.4188</v>
      </c>
      <c r="AH568">
        <v>13628914014.237591</v>
      </c>
      <c r="AI568">
        <v>12355559.4188</v>
      </c>
      <c r="AJ568">
        <v>14271156818.748341</v>
      </c>
      <c r="AK568">
        <v>12428239.4188</v>
      </c>
    </row>
    <row r="569" spans="1:37" x14ac:dyDescent="0.35">
      <c r="A569" t="s">
        <v>6162</v>
      </c>
      <c r="B569">
        <v>396.3</v>
      </c>
      <c r="C569" t="s">
        <v>83</v>
      </c>
      <c r="D569" t="s">
        <v>6163</v>
      </c>
      <c r="E569" t="s">
        <v>854</v>
      </c>
      <c r="F569">
        <v>4.5999999999999999E-2</v>
      </c>
      <c r="G569" t="s">
        <v>6164</v>
      </c>
      <c r="H569">
        <v>10.199999999999999</v>
      </c>
      <c r="J569" t="s">
        <v>6165</v>
      </c>
      <c r="K569" t="s">
        <v>5172</v>
      </c>
      <c r="L569" t="s">
        <v>6166</v>
      </c>
      <c r="M569" t="s">
        <v>6167</v>
      </c>
      <c r="N569">
        <v>963.93530786561541</v>
      </c>
      <c r="O569">
        <v>975.50253156000281</v>
      </c>
      <c r="P569">
        <v>1021.351150543323</v>
      </c>
      <c r="Q569">
        <v>1103.059242586789</v>
      </c>
      <c r="R569">
        <v>1148.2846715328469</v>
      </c>
      <c r="S569" t="s">
        <v>6168</v>
      </c>
      <c r="T569" t="s">
        <v>6169</v>
      </c>
      <c r="U569" t="s">
        <v>2132</v>
      </c>
      <c r="V569" t="s">
        <v>94</v>
      </c>
      <c r="W569">
        <v>265472419.80000001</v>
      </c>
      <c r="X569">
        <v>266439117.80000001</v>
      </c>
      <c r="Y569">
        <v>267499117.80000001</v>
      </c>
      <c r="Z569">
        <v>268599117.80000001</v>
      </c>
      <c r="AA569">
        <v>270179117.80000001</v>
      </c>
      <c r="AB569">
        <v>11771318980.64817</v>
      </c>
      <c r="AC569">
        <v>12211731.310799999</v>
      </c>
      <c r="AD569">
        <v>11955953560.343639</v>
      </c>
      <c r="AE569">
        <v>12256199.4188</v>
      </c>
      <c r="AF569">
        <v>12567684459.780279</v>
      </c>
      <c r="AG569">
        <v>12304959.4188</v>
      </c>
      <c r="AH569">
        <v>13628914014.237591</v>
      </c>
      <c r="AI569">
        <v>12355559.4188</v>
      </c>
      <c r="AJ569">
        <v>14271156818.748341</v>
      </c>
      <c r="AK569">
        <v>12428239.4188</v>
      </c>
    </row>
    <row r="570" spans="1:37" x14ac:dyDescent="0.35">
      <c r="A570" t="s">
        <v>6170</v>
      </c>
      <c r="B570">
        <v>396.62</v>
      </c>
      <c r="C570" t="s">
        <v>83</v>
      </c>
      <c r="D570" t="s">
        <v>788</v>
      </c>
      <c r="E570" t="s">
        <v>6171</v>
      </c>
      <c r="F570">
        <v>4.5999999999999999E-2</v>
      </c>
      <c r="G570" t="s">
        <v>6172</v>
      </c>
      <c r="H570">
        <v>0.1</v>
      </c>
      <c r="I570">
        <v>0.05</v>
      </c>
      <c r="J570" t="s">
        <v>6173</v>
      </c>
      <c r="K570" t="s">
        <v>6174</v>
      </c>
      <c r="L570" t="s">
        <v>6175</v>
      </c>
      <c r="M570" t="s">
        <v>6176</v>
      </c>
      <c r="N570">
        <v>963.93530786561541</v>
      </c>
      <c r="O570">
        <v>975.50253156000281</v>
      </c>
      <c r="P570">
        <v>1021.351150543323</v>
      </c>
      <c r="Q570">
        <v>1103.059242586789</v>
      </c>
      <c r="R570">
        <v>1148.2846715328469</v>
      </c>
      <c r="S570" t="s">
        <v>6177</v>
      </c>
      <c r="T570" t="s">
        <v>6178</v>
      </c>
      <c r="U570" t="s">
        <v>797</v>
      </c>
      <c r="V570" t="s">
        <v>94</v>
      </c>
      <c r="W570">
        <v>265472419.80000001</v>
      </c>
      <c r="X570">
        <v>266439117.80000001</v>
      </c>
      <c r="Y570">
        <v>267499117.80000001</v>
      </c>
      <c r="Z570">
        <v>268599117.80000001</v>
      </c>
      <c r="AA570">
        <v>270179117.80000001</v>
      </c>
      <c r="AB570">
        <v>11771318980.64817</v>
      </c>
      <c r="AC570">
        <v>12211731.310799999</v>
      </c>
      <c r="AD570">
        <v>11955953560.343639</v>
      </c>
      <c r="AE570">
        <v>12256199.4188</v>
      </c>
      <c r="AF570">
        <v>12567684459.780279</v>
      </c>
      <c r="AG570">
        <v>12304959.4188</v>
      </c>
      <c r="AH570">
        <v>13628914014.237591</v>
      </c>
      <c r="AI570">
        <v>12355559.4188</v>
      </c>
      <c r="AJ570">
        <v>14271156818.748341</v>
      </c>
      <c r="AK570">
        <v>12428239.4188</v>
      </c>
    </row>
    <row r="571" spans="1:37" x14ac:dyDescent="0.35">
      <c r="A571" t="s">
        <v>6179</v>
      </c>
      <c r="B571">
        <v>397.22</v>
      </c>
      <c r="C571" t="s">
        <v>83</v>
      </c>
      <c r="D571" t="s">
        <v>6180</v>
      </c>
      <c r="E571" t="s">
        <v>6181</v>
      </c>
      <c r="F571">
        <v>4.5999999999999999E-2</v>
      </c>
      <c r="G571" t="s">
        <v>6182</v>
      </c>
      <c r="H571">
        <v>0.1</v>
      </c>
      <c r="I571">
        <v>0.15</v>
      </c>
      <c r="J571" t="s">
        <v>6183</v>
      </c>
      <c r="K571" t="s">
        <v>6184</v>
      </c>
      <c r="L571" t="s">
        <v>6185</v>
      </c>
      <c r="M571" t="s">
        <v>6186</v>
      </c>
      <c r="N571">
        <v>963.93530786561541</v>
      </c>
      <c r="O571">
        <v>975.50253156000281</v>
      </c>
      <c r="P571">
        <v>1021.351150543323</v>
      </c>
      <c r="Q571">
        <v>1103.059242586789</v>
      </c>
      <c r="R571">
        <v>1148.2846715328469</v>
      </c>
      <c r="S571" t="s">
        <v>6187</v>
      </c>
      <c r="T571" t="s">
        <v>6188</v>
      </c>
      <c r="U571" t="s">
        <v>786</v>
      </c>
      <c r="V571" t="s">
        <v>94</v>
      </c>
      <c r="W571">
        <v>265472419.80000001</v>
      </c>
      <c r="X571">
        <v>266439117.80000001</v>
      </c>
      <c r="Y571">
        <v>267499117.80000001</v>
      </c>
      <c r="Z571">
        <v>268599117.80000001</v>
      </c>
      <c r="AA571">
        <v>270179117.80000001</v>
      </c>
      <c r="AB571">
        <v>11771318980.64817</v>
      </c>
      <c r="AC571">
        <v>12211731.310799999</v>
      </c>
      <c r="AD571">
        <v>11955953560.343639</v>
      </c>
      <c r="AE571">
        <v>12256199.4188</v>
      </c>
      <c r="AF571">
        <v>12567684459.780279</v>
      </c>
      <c r="AG571">
        <v>12304959.4188</v>
      </c>
      <c r="AH571">
        <v>13628914014.237591</v>
      </c>
      <c r="AI571">
        <v>12355559.4188</v>
      </c>
      <c r="AJ571">
        <v>14271156818.748341</v>
      </c>
      <c r="AK571">
        <v>12428239.4188</v>
      </c>
    </row>
    <row r="572" spans="1:37" x14ac:dyDescent="0.35">
      <c r="A572" t="s">
        <v>6189</v>
      </c>
      <c r="B572">
        <v>397.6</v>
      </c>
      <c r="C572" t="s">
        <v>83</v>
      </c>
      <c r="D572" t="s">
        <v>6190</v>
      </c>
      <c r="E572" t="s">
        <v>6191</v>
      </c>
      <c r="F572">
        <v>4.5999999999999999E-2</v>
      </c>
      <c r="G572" t="s">
        <v>6192</v>
      </c>
      <c r="H572">
        <v>0.15</v>
      </c>
      <c r="I572">
        <v>0.01</v>
      </c>
      <c r="J572" t="s">
        <v>6193</v>
      </c>
      <c r="K572" t="s">
        <v>6194</v>
      </c>
      <c r="L572" t="s">
        <v>6195</v>
      </c>
      <c r="M572" t="s">
        <v>6196</v>
      </c>
      <c r="N572">
        <v>963.93530786561541</v>
      </c>
      <c r="O572">
        <v>975.50253156000281</v>
      </c>
      <c r="P572">
        <v>1021.351150543323</v>
      </c>
      <c r="Q572">
        <v>1103.059242586789</v>
      </c>
      <c r="R572">
        <v>1148.2846715328469</v>
      </c>
      <c r="S572" t="s">
        <v>6197</v>
      </c>
      <c r="T572" t="s">
        <v>6198</v>
      </c>
      <c r="U572" t="s">
        <v>786</v>
      </c>
      <c r="V572" t="s">
        <v>94</v>
      </c>
      <c r="W572">
        <v>265472419.80000001</v>
      </c>
      <c r="X572">
        <v>266439117.80000001</v>
      </c>
      <c r="Y572">
        <v>267499117.80000001</v>
      </c>
      <c r="Z572">
        <v>268599117.80000001</v>
      </c>
      <c r="AA572">
        <v>270179117.80000001</v>
      </c>
      <c r="AB572">
        <v>11771318980.64817</v>
      </c>
      <c r="AC572">
        <v>12211731.310799999</v>
      </c>
      <c r="AD572">
        <v>11955953560.343639</v>
      </c>
      <c r="AE572">
        <v>12256199.4188</v>
      </c>
      <c r="AF572">
        <v>12567684459.780279</v>
      </c>
      <c r="AG572">
        <v>12304959.4188</v>
      </c>
      <c r="AH572">
        <v>13628914014.237591</v>
      </c>
      <c r="AI572">
        <v>12355559.4188</v>
      </c>
      <c r="AJ572">
        <v>14271156818.748341</v>
      </c>
      <c r="AK572">
        <v>12428239.4188</v>
      </c>
    </row>
    <row r="573" spans="1:37" x14ac:dyDescent="0.35">
      <c r="A573" t="s">
        <v>6199</v>
      </c>
      <c r="B573">
        <v>397.99</v>
      </c>
      <c r="C573" t="s">
        <v>83</v>
      </c>
      <c r="D573" t="s">
        <v>6200</v>
      </c>
      <c r="E573" t="s">
        <v>6201</v>
      </c>
      <c r="F573">
        <v>4.5999999999999999E-2</v>
      </c>
      <c r="G573" t="s">
        <v>6202</v>
      </c>
      <c r="H573">
        <v>0.2</v>
      </c>
      <c r="I573">
        <v>0.25</v>
      </c>
      <c r="J573" t="s">
        <v>6203</v>
      </c>
      <c r="K573" t="s">
        <v>6204</v>
      </c>
      <c r="L573" t="s">
        <v>6205</v>
      </c>
      <c r="M573" t="s">
        <v>6206</v>
      </c>
      <c r="N573">
        <v>963.93530786561541</v>
      </c>
      <c r="O573">
        <v>975.50253156000281</v>
      </c>
      <c r="P573">
        <v>1021.351150543323</v>
      </c>
      <c r="Q573">
        <v>1103.059242586789</v>
      </c>
      <c r="R573">
        <v>1148.2846715328469</v>
      </c>
      <c r="S573" t="s">
        <v>6207</v>
      </c>
      <c r="T573" t="s">
        <v>6208</v>
      </c>
      <c r="U573" t="s">
        <v>691</v>
      </c>
      <c r="V573" t="s">
        <v>94</v>
      </c>
      <c r="W573">
        <v>265472419.80000001</v>
      </c>
      <c r="X573">
        <v>266439117.80000001</v>
      </c>
      <c r="Y573">
        <v>267499117.80000001</v>
      </c>
      <c r="Z573">
        <v>268599117.80000001</v>
      </c>
      <c r="AA573">
        <v>270179117.80000001</v>
      </c>
      <c r="AB573">
        <v>11771318980.64817</v>
      </c>
      <c r="AC573">
        <v>12211731.310799999</v>
      </c>
      <c r="AD573">
        <v>11955953560.343639</v>
      </c>
      <c r="AE573">
        <v>12256199.4188</v>
      </c>
      <c r="AF573">
        <v>12567684459.780279</v>
      </c>
      <c r="AG573">
        <v>12304959.4188</v>
      </c>
      <c r="AH573">
        <v>13628914014.237591</v>
      </c>
      <c r="AI573">
        <v>12355559.4188</v>
      </c>
      <c r="AJ573">
        <v>14271156818.748341</v>
      </c>
      <c r="AK573">
        <v>12428239.4188</v>
      </c>
    </row>
    <row r="574" spans="1:37" x14ac:dyDescent="0.35">
      <c r="A574" t="s">
        <v>6209</v>
      </c>
      <c r="B574">
        <v>266.83</v>
      </c>
      <c r="C574" t="s">
        <v>3178</v>
      </c>
      <c r="D574" t="s">
        <v>6210</v>
      </c>
      <c r="E574" t="s">
        <v>6211</v>
      </c>
      <c r="F574">
        <v>8.0000000000000007E-5</v>
      </c>
      <c r="G574" t="s">
        <v>6212</v>
      </c>
      <c r="H574">
        <v>0.2</v>
      </c>
      <c r="I574">
        <v>0.01</v>
      </c>
      <c r="J574" t="s">
        <v>6213</v>
      </c>
      <c r="K574" t="s">
        <v>6214</v>
      </c>
      <c r="L574" t="s">
        <v>6215</v>
      </c>
      <c r="M574" t="s">
        <v>6216</v>
      </c>
      <c r="N574">
        <v>78331.807125091684</v>
      </c>
      <c r="O574">
        <v>79271.788810592785</v>
      </c>
      <c r="P574">
        <v>82997.562884690647</v>
      </c>
      <c r="Q574">
        <v>89637.367915465904</v>
      </c>
      <c r="R574">
        <v>93312.5</v>
      </c>
      <c r="S574" t="s">
        <v>6217</v>
      </c>
      <c r="T574" t="s">
        <v>6218</v>
      </c>
      <c r="U574" t="s">
        <v>6219</v>
      </c>
      <c r="V574" t="s">
        <v>49</v>
      </c>
      <c r="W574">
        <v>338996155</v>
      </c>
      <c r="X574">
        <v>339500751</v>
      </c>
      <c r="Y574">
        <v>340560751</v>
      </c>
      <c r="Z574">
        <v>341660751</v>
      </c>
      <c r="AA574">
        <v>343660751</v>
      </c>
      <c r="AB574">
        <v>2124334514.3686149</v>
      </c>
      <c r="AC574">
        <v>27119.6924</v>
      </c>
      <c r="AD574">
        <v>2153026546.744772</v>
      </c>
      <c r="AE574">
        <v>27160.060079999999</v>
      </c>
      <c r="AF574">
        <v>2261256987.7743979</v>
      </c>
      <c r="AG574">
        <v>27244.860079999999</v>
      </c>
      <c r="AH574">
        <v>2450045635.1729112</v>
      </c>
      <c r="AI574">
        <v>27332.860079999999</v>
      </c>
      <c r="AJ574">
        <v>2565427506.2150002</v>
      </c>
      <c r="AK574">
        <v>27492.860079999999</v>
      </c>
    </row>
    <row r="575" spans="1:37" x14ac:dyDescent="0.35">
      <c r="A575" t="s">
        <v>6220</v>
      </c>
      <c r="B575">
        <v>266.83</v>
      </c>
      <c r="C575" t="s">
        <v>3178</v>
      </c>
      <c r="D575" t="s">
        <v>6221</v>
      </c>
      <c r="E575" t="s">
        <v>6222</v>
      </c>
      <c r="F575">
        <v>8.0000000000000007E-5</v>
      </c>
      <c r="G575" t="s">
        <v>6223</v>
      </c>
      <c r="H575">
        <v>0.3</v>
      </c>
      <c r="I575">
        <v>0.01</v>
      </c>
      <c r="J575" t="s">
        <v>6224</v>
      </c>
      <c r="K575" t="s">
        <v>6225</v>
      </c>
      <c r="L575" t="s">
        <v>6226</v>
      </c>
      <c r="M575" t="s">
        <v>6227</v>
      </c>
      <c r="N575">
        <v>78331.807125091684</v>
      </c>
      <c r="O575">
        <v>79271.788810592785</v>
      </c>
      <c r="P575">
        <v>82997.562884690647</v>
      </c>
      <c r="Q575">
        <v>89637.367915465904</v>
      </c>
      <c r="R575">
        <v>93312.5</v>
      </c>
      <c r="S575" t="s">
        <v>6228</v>
      </c>
      <c r="T575" t="s">
        <v>6229</v>
      </c>
      <c r="U575" t="s">
        <v>6230</v>
      </c>
      <c r="V575" t="s">
        <v>49</v>
      </c>
      <c r="W575">
        <v>338996155</v>
      </c>
      <c r="X575">
        <v>339500751</v>
      </c>
      <c r="Y575">
        <v>340560751</v>
      </c>
      <c r="Z575">
        <v>341660751</v>
      </c>
      <c r="AA575">
        <v>343660751</v>
      </c>
      <c r="AB575">
        <v>2124334514.3686149</v>
      </c>
      <c r="AC575">
        <v>27119.6924</v>
      </c>
      <c r="AD575">
        <v>2153026546.744772</v>
      </c>
      <c r="AE575">
        <v>27160.060079999999</v>
      </c>
      <c r="AF575">
        <v>2261256987.7743979</v>
      </c>
      <c r="AG575">
        <v>27244.860079999999</v>
      </c>
      <c r="AH575">
        <v>2450045635.1729112</v>
      </c>
      <c r="AI575">
        <v>27332.860079999999</v>
      </c>
      <c r="AJ575">
        <v>2565427506.2150002</v>
      </c>
      <c r="AK575">
        <v>27492.860079999999</v>
      </c>
    </row>
    <row r="576" spans="1:37" x14ac:dyDescent="0.35">
      <c r="A576" t="s">
        <v>6231</v>
      </c>
      <c r="B576">
        <v>266.83</v>
      </c>
      <c r="C576" t="s">
        <v>3178</v>
      </c>
      <c r="D576" t="s">
        <v>4894</v>
      </c>
      <c r="E576" t="s">
        <v>6232</v>
      </c>
      <c r="F576">
        <v>8.0000000000000007E-5</v>
      </c>
      <c r="G576" t="s">
        <v>6233</v>
      </c>
      <c r="H576">
        <v>0.1</v>
      </c>
      <c r="I576">
        <v>0.01</v>
      </c>
      <c r="J576" t="s">
        <v>6234</v>
      </c>
      <c r="K576" t="s">
        <v>6235</v>
      </c>
      <c r="L576" t="s">
        <v>6236</v>
      </c>
      <c r="M576" t="s">
        <v>6237</v>
      </c>
      <c r="N576">
        <v>78331.807125091684</v>
      </c>
      <c r="O576">
        <v>79271.788810592785</v>
      </c>
      <c r="P576">
        <v>82997.562884690647</v>
      </c>
      <c r="Q576">
        <v>89637.367915465904</v>
      </c>
      <c r="R576">
        <v>93312.5</v>
      </c>
      <c r="S576" t="s">
        <v>6238</v>
      </c>
      <c r="T576" t="s">
        <v>6239</v>
      </c>
      <c r="U576" t="s">
        <v>6240</v>
      </c>
      <c r="V576" t="s">
        <v>49</v>
      </c>
      <c r="W576">
        <v>338996155</v>
      </c>
      <c r="X576">
        <v>339500751</v>
      </c>
      <c r="Y576">
        <v>340560751</v>
      </c>
      <c r="Z576">
        <v>341660751</v>
      </c>
      <c r="AA576">
        <v>343660751</v>
      </c>
      <c r="AB576">
        <v>2124334514.3686149</v>
      </c>
      <c r="AC576">
        <v>27119.6924</v>
      </c>
      <c r="AD576">
        <v>2153026546.744772</v>
      </c>
      <c r="AE576">
        <v>27160.060079999999</v>
      </c>
      <c r="AF576">
        <v>2261256987.7743979</v>
      </c>
      <c r="AG576">
        <v>27244.860079999999</v>
      </c>
      <c r="AH576">
        <v>2450045635.1729112</v>
      </c>
      <c r="AI576">
        <v>27332.860079999999</v>
      </c>
      <c r="AJ576">
        <v>2565427506.2150002</v>
      </c>
      <c r="AK576">
        <v>27492.860079999999</v>
      </c>
    </row>
    <row r="577" spans="1:37" x14ac:dyDescent="0.35">
      <c r="A577" t="s">
        <v>6241</v>
      </c>
      <c r="B577">
        <v>1806.53</v>
      </c>
      <c r="C577" t="s">
        <v>1079</v>
      </c>
      <c r="D577" t="s">
        <v>6242</v>
      </c>
      <c r="E577" t="s">
        <v>6243</v>
      </c>
      <c r="F577">
        <v>5.3999999999999998E-5</v>
      </c>
      <c r="G577" t="s">
        <v>6244</v>
      </c>
      <c r="H577">
        <v>0.8</v>
      </c>
      <c r="I577">
        <v>5.05</v>
      </c>
      <c r="J577" t="s">
        <v>6245</v>
      </c>
      <c r="K577" t="s">
        <v>6246</v>
      </c>
      <c r="L577" t="s">
        <v>6247</v>
      </c>
      <c r="M577" t="s">
        <v>6248</v>
      </c>
      <c r="N577">
        <v>115616.08748171599</v>
      </c>
      <c r="O577">
        <v>117003.48053149661</v>
      </c>
      <c r="P577">
        <v>122502.64411647691</v>
      </c>
      <c r="Q577">
        <v>132302.85564579509</v>
      </c>
      <c r="R577">
        <v>137727.27272727271</v>
      </c>
      <c r="S577" t="s">
        <v>6249</v>
      </c>
      <c r="T577" t="s">
        <v>6250</v>
      </c>
      <c r="U577" t="s">
        <v>6251</v>
      </c>
      <c r="V577" t="s">
        <v>1090</v>
      </c>
      <c r="W577">
        <v>125425284</v>
      </c>
      <c r="X577">
        <v>126003478.59999999</v>
      </c>
      <c r="Y577">
        <v>126003478.59999999</v>
      </c>
      <c r="Z577">
        <v>126103478.59999999</v>
      </c>
      <c r="AA577">
        <v>126103478.59999999</v>
      </c>
      <c r="AB577">
        <v>783063752.79760611</v>
      </c>
      <c r="AC577">
        <v>6772.9653359999993</v>
      </c>
      <c r="AD577">
        <v>796113659.98490131</v>
      </c>
      <c r="AE577">
        <v>6804.1878443999994</v>
      </c>
      <c r="AF577">
        <v>833531002.00419164</v>
      </c>
      <c r="AG577">
        <v>6804.1878443999994</v>
      </c>
      <c r="AH577">
        <v>900927917.58501434</v>
      </c>
      <c r="AI577">
        <v>6809.5878443999991</v>
      </c>
      <c r="AJ577">
        <v>937865962.20599973</v>
      </c>
      <c r="AK577">
        <v>6809.5878443999991</v>
      </c>
    </row>
    <row r="578" spans="1:37" x14ac:dyDescent="0.35">
      <c r="A578" t="s">
        <v>6252</v>
      </c>
      <c r="B578">
        <v>541.66</v>
      </c>
      <c r="C578" t="s">
        <v>278</v>
      </c>
      <c r="D578" t="s">
        <v>6253</v>
      </c>
      <c r="E578" t="s">
        <v>6254</v>
      </c>
      <c r="F578">
        <v>1.2999999999999999E-5</v>
      </c>
      <c r="G578" t="s">
        <v>6255</v>
      </c>
      <c r="H578">
        <v>0.3</v>
      </c>
      <c r="I578">
        <v>0.1</v>
      </c>
      <c r="J578" t="s">
        <v>6256</v>
      </c>
      <c r="K578" t="s">
        <v>6257</v>
      </c>
      <c r="L578" t="s">
        <v>6258</v>
      </c>
      <c r="M578" t="s">
        <v>6259</v>
      </c>
      <c r="N578">
        <v>117659.73818356229</v>
      </c>
      <c r="O578">
        <v>119071.655041765</v>
      </c>
      <c r="P578">
        <v>124668.022828728</v>
      </c>
      <c r="Q578">
        <v>134641.46465502621</v>
      </c>
      <c r="R578">
        <v>140161.76470588229</v>
      </c>
      <c r="S578" t="s">
        <v>6260</v>
      </c>
      <c r="T578" t="s">
        <v>6261</v>
      </c>
      <c r="U578" t="s">
        <v>6262</v>
      </c>
      <c r="V578" t="s">
        <v>49</v>
      </c>
      <c r="W578">
        <v>338996155</v>
      </c>
      <c r="X578">
        <v>339500751</v>
      </c>
      <c r="Y578">
        <v>340560751</v>
      </c>
      <c r="Z578">
        <v>341660751</v>
      </c>
      <c r="AA578">
        <v>343660751</v>
      </c>
      <c r="AB578">
        <v>518520584.95294589</v>
      </c>
      <c r="AC578">
        <v>4406.9500149999994</v>
      </c>
      <c r="AD578">
        <v>525523912.02339822</v>
      </c>
      <c r="AE578">
        <v>4413.509763</v>
      </c>
      <c r="AF578">
        <v>551941461.24307775</v>
      </c>
      <c r="AG578">
        <v>4427.2897629999998</v>
      </c>
      <c r="AH578">
        <v>598022151.08709085</v>
      </c>
      <c r="AI578">
        <v>4441.5897629999999</v>
      </c>
      <c r="AJ578">
        <v>626185265.16401446</v>
      </c>
      <c r="AK578">
        <v>4467.5897629999999</v>
      </c>
    </row>
    <row r="579" spans="1:37" x14ac:dyDescent="0.35">
      <c r="A579" t="s">
        <v>6263</v>
      </c>
      <c r="B579">
        <v>557.4</v>
      </c>
      <c r="C579" t="s">
        <v>487</v>
      </c>
      <c r="D579" t="s">
        <v>6264</v>
      </c>
      <c r="E579" t="s">
        <v>6265</v>
      </c>
      <c r="F579">
        <v>2.8000000000000001E-2</v>
      </c>
      <c r="G579" t="s">
        <v>6266</v>
      </c>
      <c r="H579">
        <v>0.3</v>
      </c>
      <c r="I579">
        <v>0.01</v>
      </c>
      <c r="J579" t="s">
        <v>6267</v>
      </c>
      <c r="K579" t="s">
        <v>6268</v>
      </c>
      <c r="L579" t="s">
        <v>6269</v>
      </c>
      <c r="M579" t="s">
        <v>6270</v>
      </c>
      <c r="N579">
        <v>4761.448013576749</v>
      </c>
      <c r="O579">
        <v>4818.5853897396701</v>
      </c>
      <c r="P579">
        <v>5045.0589030574338</v>
      </c>
      <c r="Q579">
        <v>5448.663615302029</v>
      </c>
      <c r="R579">
        <v>5672.0588235294117</v>
      </c>
      <c r="S579" t="s">
        <v>621</v>
      </c>
      <c r="T579" t="s">
        <v>6271</v>
      </c>
      <c r="U579" t="s">
        <v>6272</v>
      </c>
      <c r="V579" t="s">
        <v>94</v>
      </c>
      <c r="W579">
        <v>265472419.80000001</v>
      </c>
      <c r="X579">
        <v>266439117.80000001</v>
      </c>
      <c r="Y579">
        <v>267499117.80000001</v>
      </c>
      <c r="Z579">
        <v>268599117.80000001</v>
      </c>
      <c r="AA579">
        <v>270179117.80000001</v>
      </c>
      <c r="AB579">
        <v>35392927525.651443</v>
      </c>
      <c r="AC579">
        <v>7433227.7544000009</v>
      </c>
      <c r="AD579">
        <v>35948069928.013786</v>
      </c>
      <c r="AE579">
        <v>7460295.2984000007</v>
      </c>
      <c r="AF579">
        <v>37787366562.873177</v>
      </c>
      <c r="AG579">
        <v>7489975.2984000007</v>
      </c>
      <c r="AH579">
        <v>40978174727.254341</v>
      </c>
      <c r="AI579">
        <v>7520775.2984000007</v>
      </c>
      <c r="AJ579">
        <v>42909211773.424713</v>
      </c>
      <c r="AK579">
        <v>7565015.2984000007</v>
      </c>
    </row>
    <row r="580" spans="1:37" x14ac:dyDescent="0.35">
      <c r="A580" t="s">
        <v>6273</v>
      </c>
      <c r="B580">
        <v>1123.68</v>
      </c>
      <c r="C580" t="s">
        <v>487</v>
      </c>
      <c r="D580" t="s">
        <v>6274</v>
      </c>
      <c r="E580" t="s">
        <v>6275</v>
      </c>
      <c r="F580">
        <v>2.8000000000000001E-2</v>
      </c>
      <c r="G580" t="s">
        <v>6276</v>
      </c>
      <c r="H580">
        <v>30.5</v>
      </c>
      <c r="I580">
        <v>153515.20000000001</v>
      </c>
      <c r="J580" t="s">
        <v>6277</v>
      </c>
      <c r="K580" t="s">
        <v>6278</v>
      </c>
      <c r="L580" t="s">
        <v>6279</v>
      </c>
      <c r="M580" t="s">
        <v>6280</v>
      </c>
      <c r="N580">
        <v>4761.448013576749</v>
      </c>
      <c r="O580">
        <v>4818.5853897396701</v>
      </c>
      <c r="P580">
        <v>5045.0589030574338</v>
      </c>
      <c r="Q580">
        <v>5448.663615302029</v>
      </c>
      <c r="R580">
        <v>5672.0588235294117</v>
      </c>
      <c r="S580" t="s">
        <v>6281</v>
      </c>
      <c r="T580" t="s">
        <v>6282</v>
      </c>
      <c r="U580" t="s">
        <v>6283</v>
      </c>
      <c r="V580" t="s">
        <v>94</v>
      </c>
      <c r="W580">
        <v>265472419.80000001</v>
      </c>
      <c r="X580">
        <v>266439117.80000001</v>
      </c>
      <c r="Y580">
        <v>267499117.80000001</v>
      </c>
      <c r="Z580">
        <v>268599117.80000001</v>
      </c>
      <c r="AA580">
        <v>270179117.80000001</v>
      </c>
      <c r="AB580">
        <v>35392927525.651443</v>
      </c>
      <c r="AC580">
        <v>7433227.7544000009</v>
      </c>
      <c r="AD580">
        <v>35948069928.013786</v>
      </c>
      <c r="AE580">
        <v>7460295.2984000007</v>
      </c>
      <c r="AF580">
        <v>37787366562.873177</v>
      </c>
      <c r="AG580">
        <v>7489975.2984000007</v>
      </c>
      <c r="AH580">
        <v>40978174727.254341</v>
      </c>
      <c r="AI580">
        <v>7520775.2984000007</v>
      </c>
      <c r="AJ580">
        <v>42909211773.424713</v>
      </c>
      <c r="AK580">
        <v>7565015.2984000007</v>
      </c>
    </row>
    <row r="581" spans="1:37" x14ac:dyDescent="0.35">
      <c r="A581" t="s">
        <v>6284</v>
      </c>
      <c r="B581">
        <v>431.12</v>
      </c>
      <c r="C581" t="s">
        <v>487</v>
      </c>
      <c r="D581" t="s">
        <v>6285</v>
      </c>
      <c r="E581" t="s">
        <v>3136</v>
      </c>
      <c r="F581">
        <v>2.8000000000000001E-2</v>
      </c>
      <c r="G581" t="s">
        <v>6286</v>
      </c>
      <c r="H581">
        <v>0.6</v>
      </c>
      <c r="I581">
        <v>0.15</v>
      </c>
      <c r="J581" t="s">
        <v>6287</v>
      </c>
      <c r="K581" t="s">
        <v>6288</v>
      </c>
      <c r="L581" t="s">
        <v>6289</v>
      </c>
      <c r="M581" t="s">
        <v>6290</v>
      </c>
      <c r="N581">
        <v>4761.448013576749</v>
      </c>
      <c r="O581">
        <v>4818.5853897396701</v>
      </c>
      <c r="P581">
        <v>5045.0589030574338</v>
      </c>
      <c r="Q581">
        <v>5448.663615302029</v>
      </c>
      <c r="R581">
        <v>5672.0588235294117</v>
      </c>
      <c r="S581" t="s">
        <v>6291</v>
      </c>
      <c r="T581" t="s">
        <v>6292</v>
      </c>
      <c r="U581" t="s">
        <v>6293</v>
      </c>
      <c r="V581" t="s">
        <v>94</v>
      </c>
      <c r="W581">
        <v>265472419.80000001</v>
      </c>
      <c r="X581">
        <v>266439117.80000001</v>
      </c>
      <c r="Y581">
        <v>267499117.80000001</v>
      </c>
      <c r="Z581">
        <v>268599117.80000001</v>
      </c>
      <c r="AA581">
        <v>270179117.80000001</v>
      </c>
      <c r="AB581">
        <v>35392927525.651443</v>
      </c>
      <c r="AC581">
        <v>7433227.7544000009</v>
      </c>
      <c r="AD581">
        <v>35948069928.013786</v>
      </c>
      <c r="AE581">
        <v>7460295.2984000007</v>
      </c>
      <c r="AF581">
        <v>37787366562.873177</v>
      </c>
      <c r="AG581">
        <v>7489975.2984000007</v>
      </c>
      <c r="AH581">
        <v>40978174727.254341</v>
      </c>
      <c r="AI581">
        <v>7520775.2984000007</v>
      </c>
      <c r="AJ581">
        <v>42909211773.424713</v>
      </c>
      <c r="AK581">
        <v>7565015.2984000007</v>
      </c>
    </row>
    <row r="582" spans="1:37" x14ac:dyDescent="0.35">
      <c r="A582" t="s">
        <v>6294</v>
      </c>
      <c r="B582">
        <v>1092.3900000000001</v>
      </c>
      <c r="C582" t="s">
        <v>487</v>
      </c>
      <c r="D582" t="s">
        <v>6295</v>
      </c>
      <c r="E582" t="s">
        <v>6296</v>
      </c>
      <c r="F582">
        <v>2.8000000000000001E-2</v>
      </c>
      <c r="G582" t="s">
        <v>6297</v>
      </c>
      <c r="H582">
        <v>25.6</v>
      </c>
      <c r="I582">
        <v>1.1499999999999999</v>
      </c>
      <c r="J582" t="s">
        <v>6298</v>
      </c>
      <c r="K582" t="s">
        <v>6299</v>
      </c>
      <c r="L582" t="s">
        <v>6300</v>
      </c>
      <c r="M582" t="s">
        <v>6301</v>
      </c>
      <c r="N582">
        <v>4761.448013576749</v>
      </c>
      <c r="O582">
        <v>4818.5853897396701</v>
      </c>
      <c r="P582">
        <v>5045.0589030574338</v>
      </c>
      <c r="Q582">
        <v>5448.663615302029</v>
      </c>
      <c r="R582">
        <v>5672.0588235294117</v>
      </c>
      <c r="S582" t="s">
        <v>6302</v>
      </c>
      <c r="T582" t="s">
        <v>6303</v>
      </c>
      <c r="U582" t="s">
        <v>840</v>
      </c>
      <c r="V582" t="s">
        <v>94</v>
      </c>
      <c r="W582">
        <v>265472419.80000001</v>
      </c>
      <c r="X582">
        <v>266439117.80000001</v>
      </c>
      <c r="Y582">
        <v>267499117.80000001</v>
      </c>
      <c r="Z582">
        <v>268599117.80000001</v>
      </c>
      <c r="AA582">
        <v>270179117.80000001</v>
      </c>
      <c r="AB582">
        <v>35392927525.651443</v>
      </c>
      <c r="AC582">
        <v>7433227.7544000009</v>
      </c>
      <c r="AD582">
        <v>35948069928.013786</v>
      </c>
      <c r="AE582">
        <v>7460295.2984000007</v>
      </c>
      <c r="AF582">
        <v>37787366562.873177</v>
      </c>
      <c r="AG582">
        <v>7489975.2984000007</v>
      </c>
      <c r="AH582">
        <v>40978174727.254341</v>
      </c>
      <c r="AI582">
        <v>7520775.2984000007</v>
      </c>
      <c r="AJ582">
        <v>42909211773.424713</v>
      </c>
      <c r="AK582">
        <v>7565015.2984000007</v>
      </c>
    </row>
    <row r="583" spans="1:37" x14ac:dyDescent="0.35">
      <c r="A583" t="s">
        <v>6304</v>
      </c>
      <c r="B583">
        <v>403.15</v>
      </c>
      <c r="C583" t="s">
        <v>487</v>
      </c>
      <c r="D583" t="s">
        <v>6305</v>
      </c>
      <c r="E583" t="s">
        <v>6306</v>
      </c>
      <c r="F583">
        <v>2.8000000000000001E-2</v>
      </c>
      <c r="G583" t="s">
        <v>6307</v>
      </c>
      <c r="H583">
        <v>30.1</v>
      </c>
      <c r="I583">
        <v>15.13</v>
      </c>
      <c r="J583" t="s">
        <v>6308</v>
      </c>
      <c r="K583" t="s">
        <v>6309</v>
      </c>
      <c r="L583" t="s">
        <v>6310</v>
      </c>
      <c r="M583" t="s">
        <v>6311</v>
      </c>
      <c r="N583">
        <v>4761.448013576749</v>
      </c>
      <c r="O583">
        <v>4818.5853897396701</v>
      </c>
      <c r="P583">
        <v>5045.0589030574338</v>
      </c>
      <c r="Q583">
        <v>5448.663615302029</v>
      </c>
      <c r="R583">
        <v>5672.0588235294117</v>
      </c>
      <c r="S583" t="s">
        <v>6312</v>
      </c>
      <c r="T583" t="s">
        <v>6313</v>
      </c>
      <c r="U583" t="s">
        <v>6314</v>
      </c>
      <c r="V583" t="s">
        <v>94</v>
      </c>
      <c r="W583">
        <v>265472419.80000001</v>
      </c>
      <c r="X583">
        <v>266439117.80000001</v>
      </c>
      <c r="Y583">
        <v>267499117.80000001</v>
      </c>
      <c r="Z583">
        <v>268599117.80000001</v>
      </c>
      <c r="AA583">
        <v>270179117.80000001</v>
      </c>
      <c r="AB583">
        <v>35392927525.651443</v>
      </c>
      <c r="AC583">
        <v>7433227.7544000009</v>
      </c>
      <c r="AD583">
        <v>35948069928.013786</v>
      </c>
      <c r="AE583">
        <v>7460295.2984000007</v>
      </c>
      <c r="AF583">
        <v>37787366562.873177</v>
      </c>
      <c r="AG583">
        <v>7489975.2984000007</v>
      </c>
      <c r="AH583">
        <v>40978174727.254341</v>
      </c>
      <c r="AI583">
        <v>7520775.2984000007</v>
      </c>
      <c r="AJ583">
        <v>42909211773.424713</v>
      </c>
      <c r="AK583">
        <v>7565015.2984000007</v>
      </c>
    </row>
    <row r="584" spans="1:37" x14ac:dyDescent="0.35">
      <c r="A584" t="s">
        <v>6315</v>
      </c>
      <c r="B584">
        <v>806.19</v>
      </c>
      <c r="C584" t="s">
        <v>487</v>
      </c>
      <c r="D584" t="s">
        <v>6316</v>
      </c>
      <c r="E584" t="s">
        <v>6317</v>
      </c>
      <c r="F584">
        <v>2.8000000000000001E-2</v>
      </c>
      <c r="G584" t="s">
        <v>6318</v>
      </c>
      <c r="H584">
        <v>2860.8</v>
      </c>
      <c r="I584">
        <v>2315.1999999999998</v>
      </c>
      <c r="J584" t="s">
        <v>6319</v>
      </c>
      <c r="K584" t="s">
        <v>6320</v>
      </c>
      <c r="L584" t="s">
        <v>6321</v>
      </c>
      <c r="M584" t="s">
        <v>6322</v>
      </c>
      <c r="N584">
        <v>4761.448013576749</v>
      </c>
      <c r="O584">
        <v>4818.5853897396701</v>
      </c>
      <c r="P584">
        <v>5045.0589030574338</v>
      </c>
      <c r="Q584">
        <v>5448.663615302029</v>
      </c>
      <c r="R584">
        <v>5672.0588235294117</v>
      </c>
      <c r="S584" t="s">
        <v>6323</v>
      </c>
      <c r="T584" t="s">
        <v>6324</v>
      </c>
      <c r="U584" t="s">
        <v>6325</v>
      </c>
      <c r="V584" t="s">
        <v>94</v>
      </c>
      <c r="W584">
        <v>265472419.80000001</v>
      </c>
      <c r="X584">
        <v>266439117.80000001</v>
      </c>
      <c r="Y584">
        <v>267499117.80000001</v>
      </c>
      <c r="Z584">
        <v>268599117.80000001</v>
      </c>
      <c r="AA584">
        <v>270179117.80000001</v>
      </c>
      <c r="AB584">
        <v>35392927525.651443</v>
      </c>
      <c r="AC584">
        <v>7433227.7544000009</v>
      </c>
      <c r="AD584">
        <v>35948069928.013786</v>
      </c>
      <c r="AE584">
        <v>7460295.2984000007</v>
      </c>
      <c r="AF584">
        <v>37787366562.873177</v>
      </c>
      <c r="AG584">
        <v>7489975.2984000007</v>
      </c>
      <c r="AH584">
        <v>40978174727.254341</v>
      </c>
      <c r="AI584">
        <v>7520775.2984000007</v>
      </c>
      <c r="AJ584">
        <v>42909211773.424713</v>
      </c>
      <c r="AK584">
        <v>7565015.2984000007</v>
      </c>
    </row>
    <row r="585" spans="1:37" x14ac:dyDescent="0.35">
      <c r="A585" t="s">
        <v>6326</v>
      </c>
      <c r="B585">
        <v>920.87</v>
      </c>
      <c r="C585" t="s">
        <v>487</v>
      </c>
      <c r="D585" t="s">
        <v>6327</v>
      </c>
      <c r="E585" t="s">
        <v>6328</v>
      </c>
      <c r="F585">
        <v>2.8000000000000001E-2</v>
      </c>
      <c r="G585" t="s">
        <v>6329</v>
      </c>
      <c r="H585">
        <v>30.75</v>
      </c>
      <c r="I585">
        <v>1.1499999999999999</v>
      </c>
      <c r="J585" t="s">
        <v>6330</v>
      </c>
      <c r="K585" t="s">
        <v>6331</v>
      </c>
      <c r="L585" t="s">
        <v>6332</v>
      </c>
      <c r="M585" t="s">
        <v>6333</v>
      </c>
      <c r="N585">
        <v>4761.448013576749</v>
      </c>
      <c r="O585">
        <v>4818.5853897396701</v>
      </c>
      <c r="P585">
        <v>5045.0589030574338</v>
      </c>
      <c r="Q585">
        <v>5448.663615302029</v>
      </c>
      <c r="R585">
        <v>5672.0588235294117</v>
      </c>
      <c r="S585" t="s">
        <v>6334</v>
      </c>
      <c r="T585" t="s">
        <v>6335</v>
      </c>
      <c r="U585" t="s">
        <v>6336</v>
      </c>
      <c r="V585" t="s">
        <v>94</v>
      </c>
      <c r="W585">
        <v>265472419.80000001</v>
      </c>
      <c r="X585">
        <v>266439117.80000001</v>
      </c>
      <c r="Y585">
        <v>267499117.80000001</v>
      </c>
      <c r="Z585">
        <v>268599117.80000001</v>
      </c>
      <c r="AA585">
        <v>270179117.80000001</v>
      </c>
      <c r="AB585">
        <v>35392927525.651443</v>
      </c>
      <c r="AC585">
        <v>7433227.7544000009</v>
      </c>
      <c r="AD585">
        <v>35948069928.013786</v>
      </c>
      <c r="AE585">
        <v>7460295.2984000007</v>
      </c>
      <c r="AF585">
        <v>37787366562.873177</v>
      </c>
      <c r="AG585">
        <v>7489975.2984000007</v>
      </c>
      <c r="AH585">
        <v>40978174727.254341</v>
      </c>
      <c r="AI585">
        <v>7520775.2984000007</v>
      </c>
      <c r="AJ585">
        <v>42909211773.424713</v>
      </c>
      <c r="AK585">
        <v>7565015.2984000007</v>
      </c>
    </row>
    <row r="586" spans="1:37" x14ac:dyDescent="0.35">
      <c r="A586" t="s">
        <v>6337</v>
      </c>
      <c r="B586">
        <v>470.35</v>
      </c>
      <c r="C586" t="s">
        <v>487</v>
      </c>
      <c r="D586" t="s">
        <v>6338</v>
      </c>
      <c r="E586" t="s">
        <v>6339</v>
      </c>
      <c r="F586">
        <v>2.8000000000000001E-2</v>
      </c>
      <c r="G586" t="s">
        <v>6340</v>
      </c>
      <c r="H586">
        <v>60.3</v>
      </c>
      <c r="I586">
        <v>15.12</v>
      </c>
      <c r="J586" t="s">
        <v>6341</v>
      </c>
      <c r="K586" t="s">
        <v>6342</v>
      </c>
      <c r="L586" t="s">
        <v>6343</v>
      </c>
      <c r="M586" t="s">
        <v>6344</v>
      </c>
      <c r="N586">
        <v>4761.448013576749</v>
      </c>
      <c r="O586">
        <v>4818.5853897396701</v>
      </c>
      <c r="P586">
        <v>5045.0589030574338</v>
      </c>
      <c r="Q586">
        <v>5448.663615302029</v>
      </c>
      <c r="R586">
        <v>5672.0588235294117</v>
      </c>
      <c r="S586" t="s">
        <v>6345</v>
      </c>
      <c r="T586" t="s">
        <v>6346</v>
      </c>
      <c r="U586" t="s">
        <v>6293</v>
      </c>
      <c r="V586" t="s">
        <v>94</v>
      </c>
      <c r="W586">
        <v>265472419.80000001</v>
      </c>
      <c r="X586">
        <v>266439117.80000001</v>
      </c>
      <c r="Y586">
        <v>267499117.80000001</v>
      </c>
      <c r="Z586">
        <v>268599117.80000001</v>
      </c>
      <c r="AA586">
        <v>270179117.80000001</v>
      </c>
      <c r="AB586">
        <v>35392927525.651443</v>
      </c>
      <c r="AC586">
        <v>7433227.7544000009</v>
      </c>
      <c r="AD586">
        <v>35948069928.013786</v>
      </c>
      <c r="AE586">
        <v>7460295.2984000007</v>
      </c>
      <c r="AF586">
        <v>37787366562.873177</v>
      </c>
      <c r="AG586">
        <v>7489975.2984000007</v>
      </c>
      <c r="AH586">
        <v>40978174727.254341</v>
      </c>
      <c r="AI586">
        <v>7520775.2984000007</v>
      </c>
      <c r="AJ586">
        <v>42909211773.424713</v>
      </c>
      <c r="AK586">
        <v>7565015.2984000007</v>
      </c>
    </row>
    <row r="587" spans="1:37" x14ac:dyDescent="0.35">
      <c r="A587" t="s">
        <v>6347</v>
      </c>
      <c r="B587">
        <v>671.85</v>
      </c>
      <c r="C587" t="s">
        <v>487</v>
      </c>
      <c r="D587" t="s">
        <v>6348</v>
      </c>
      <c r="E587" t="s">
        <v>6349</v>
      </c>
      <c r="F587">
        <v>2.8000000000000001E-2</v>
      </c>
      <c r="G587" t="s">
        <v>6350</v>
      </c>
      <c r="H587">
        <v>60.7</v>
      </c>
      <c r="I587">
        <v>13.2</v>
      </c>
      <c r="J587" t="s">
        <v>6351</v>
      </c>
      <c r="K587" t="s">
        <v>6352</v>
      </c>
      <c r="L587" t="s">
        <v>6353</v>
      </c>
      <c r="M587" t="s">
        <v>6354</v>
      </c>
      <c r="N587">
        <v>4761.448013576749</v>
      </c>
      <c r="O587">
        <v>4818.5853897396701</v>
      </c>
      <c r="P587">
        <v>5045.0589030574338</v>
      </c>
      <c r="Q587">
        <v>5448.663615302029</v>
      </c>
      <c r="R587">
        <v>5672.0588235294117</v>
      </c>
      <c r="S587" t="s">
        <v>6355</v>
      </c>
      <c r="T587" t="s">
        <v>6356</v>
      </c>
      <c r="U587" t="s">
        <v>6357</v>
      </c>
      <c r="V587" t="s">
        <v>94</v>
      </c>
      <c r="W587">
        <v>265472419.80000001</v>
      </c>
      <c r="X587">
        <v>266439117.80000001</v>
      </c>
      <c r="Y587">
        <v>267499117.80000001</v>
      </c>
      <c r="Z587">
        <v>268599117.80000001</v>
      </c>
      <c r="AA587">
        <v>270179117.80000001</v>
      </c>
      <c r="AB587">
        <v>35392927525.651443</v>
      </c>
      <c r="AC587">
        <v>7433227.7544000009</v>
      </c>
      <c r="AD587">
        <v>35948069928.013786</v>
      </c>
      <c r="AE587">
        <v>7460295.2984000007</v>
      </c>
      <c r="AF587">
        <v>37787366562.873177</v>
      </c>
      <c r="AG587">
        <v>7489975.2984000007</v>
      </c>
      <c r="AH587">
        <v>40978174727.254341</v>
      </c>
      <c r="AI587">
        <v>7520775.2984000007</v>
      </c>
      <c r="AJ587">
        <v>42909211773.424713</v>
      </c>
      <c r="AK587">
        <v>7565015.2984000007</v>
      </c>
    </row>
    <row r="588" spans="1:37" x14ac:dyDescent="0.35">
      <c r="A588" t="s">
        <v>6358</v>
      </c>
      <c r="B588">
        <v>385.6</v>
      </c>
      <c r="C588" t="s">
        <v>1006</v>
      </c>
      <c r="D588" t="s">
        <v>6359</v>
      </c>
      <c r="E588" t="s">
        <v>6360</v>
      </c>
      <c r="F588">
        <v>2.5000000000000001E-5</v>
      </c>
      <c r="G588" t="s">
        <v>6361</v>
      </c>
      <c r="H588">
        <v>0.3</v>
      </c>
      <c r="I588">
        <v>0.17</v>
      </c>
      <c r="J588" t="s">
        <v>6362</v>
      </c>
      <c r="K588" t="s">
        <v>6363</v>
      </c>
      <c r="L588" t="s">
        <v>6364</v>
      </c>
      <c r="M588" t="s">
        <v>6365</v>
      </c>
      <c r="N588">
        <v>16395.639468580812</v>
      </c>
      <c r="O588">
        <v>16592.387142203781</v>
      </c>
      <c r="P588">
        <v>17372.229337887358</v>
      </c>
      <c r="Q588">
        <v>18762.00768491835</v>
      </c>
      <c r="R588">
        <v>19531.25</v>
      </c>
      <c r="S588" t="s">
        <v>6366</v>
      </c>
      <c r="T588" t="s">
        <v>6367</v>
      </c>
      <c r="U588" t="s">
        <v>6368</v>
      </c>
      <c r="V588" t="s">
        <v>1017</v>
      </c>
      <c r="W588">
        <v>331357816</v>
      </c>
      <c r="X588">
        <v>331968553.60000002</v>
      </c>
      <c r="Y588">
        <v>333028553.60000002</v>
      </c>
      <c r="Z588">
        <v>334128553.60000002</v>
      </c>
      <c r="AA588">
        <v>336128553.60000002</v>
      </c>
      <c r="AB588">
        <v>135820582.15580839</v>
      </c>
      <c r="AC588">
        <v>8283.9454000000005</v>
      </c>
      <c r="AD588">
        <v>137703769.00921571</v>
      </c>
      <c r="AE588">
        <v>8299.2138400000003</v>
      </c>
      <c r="AF588">
        <v>144636210.23010281</v>
      </c>
      <c r="AG588">
        <v>8325.7138400000003</v>
      </c>
      <c r="AH588">
        <v>156723062.2598463</v>
      </c>
      <c r="AI588">
        <v>8353.2138400000003</v>
      </c>
      <c r="AJ588">
        <v>164125270.3125</v>
      </c>
      <c r="AK588">
        <v>8403.2138400000003</v>
      </c>
    </row>
    <row r="589" spans="1:37" x14ac:dyDescent="0.35">
      <c r="A589" t="s">
        <v>6369</v>
      </c>
      <c r="B589">
        <v>440.4</v>
      </c>
      <c r="C589" t="s">
        <v>487</v>
      </c>
      <c r="D589" t="s">
        <v>6370</v>
      </c>
      <c r="E589" t="s">
        <v>6371</v>
      </c>
      <c r="F589">
        <v>2.8000000000000001E-2</v>
      </c>
      <c r="G589" t="s">
        <v>6372</v>
      </c>
      <c r="H589">
        <v>30.5</v>
      </c>
      <c r="I589">
        <v>10315.200000000001</v>
      </c>
      <c r="J589" t="s">
        <v>6373</v>
      </c>
      <c r="K589" t="s">
        <v>6374</v>
      </c>
      <c r="L589" t="s">
        <v>6375</v>
      </c>
      <c r="M589" t="s">
        <v>6376</v>
      </c>
      <c r="N589">
        <v>4761.448013576749</v>
      </c>
      <c r="O589">
        <v>4818.5853897396701</v>
      </c>
      <c r="P589">
        <v>5045.0589030574338</v>
      </c>
      <c r="Q589">
        <v>5448.663615302029</v>
      </c>
      <c r="R589">
        <v>5672.0588235294117</v>
      </c>
      <c r="S589" t="s">
        <v>6377</v>
      </c>
      <c r="T589" t="s">
        <v>6378</v>
      </c>
      <c r="U589" t="s">
        <v>6379</v>
      </c>
      <c r="V589" t="s">
        <v>94</v>
      </c>
      <c r="W589">
        <v>265472419.80000001</v>
      </c>
      <c r="X589">
        <v>266439117.80000001</v>
      </c>
      <c r="Y589">
        <v>267499117.80000001</v>
      </c>
      <c r="Z589">
        <v>268599117.80000001</v>
      </c>
      <c r="AA589">
        <v>270179117.80000001</v>
      </c>
      <c r="AB589">
        <v>35392927525.651443</v>
      </c>
      <c r="AC589">
        <v>7433227.7544000009</v>
      </c>
      <c r="AD589">
        <v>35948069928.013786</v>
      </c>
      <c r="AE589">
        <v>7460295.2984000007</v>
      </c>
      <c r="AF589">
        <v>37787366562.873177</v>
      </c>
      <c r="AG589">
        <v>7489975.2984000007</v>
      </c>
      <c r="AH589">
        <v>40978174727.254341</v>
      </c>
      <c r="AI589">
        <v>7520775.2984000007</v>
      </c>
      <c r="AJ589">
        <v>42909211773.424713</v>
      </c>
      <c r="AK589">
        <v>7565015.2984000007</v>
      </c>
    </row>
    <row r="590" spans="1:37" x14ac:dyDescent="0.35">
      <c r="A590" t="s">
        <v>6380</v>
      </c>
      <c r="B590">
        <v>525.53</v>
      </c>
      <c r="C590" t="s">
        <v>487</v>
      </c>
      <c r="D590" t="s">
        <v>6381</v>
      </c>
      <c r="E590" t="s">
        <v>5277</v>
      </c>
      <c r="F590">
        <v>2.8000000000000001E-2</v>
      </c>
      <c r="G590" t="s">
        <v>6382</v>
      </c>
      <c r="H590">
        <v>1030.1500000000001</v>
      </c>
      <c r="I590">
        <v>10.41</v>
      </c>
      <c r="J590" t="s">
        <v>6383</v>
      </c>
      <c r="K590" t="s">
        <v>6384</v>
      </c>
      <c r="L590" t="s">
        <v>6385</v>
      </c>
      <c r="M590" t="s">
        <v>6386</v>
      </c>
      <c r="N590">
        <v>4761.448013576749</v>
      </c>
      <c r="O590">
        <v>4818.5853897396701</v>
      </c>
      <c r="P590">
        <v>5045.0589030574338</v>
      </c>
      <c r="Q590">
        <v>5448.663615302029</v>
      </c>
      <c r="R590">
        <v>5672.0588235294117</v>
      </c>
      <c r="S590" t="s">
        <v>6387</v>
      </c>
      <c r="T590" t="s">
        <v>6388</v>
      </c>
      <c r="U590" t="s">
        <v>6389</v>
      </c>
      <c r="V590" t="s">
        <v>94</v>
      </c>
      <c r="W590">
        <v>265472419.80000001</v>
      </c>
      <c r="X590">
        <v>266439117.80000001</v>
      </c>
      <c r="Y590">
        <v>267499117.80000001</v>
      </c>
      <c r="Z590">
        <v>268599117.80000001</v>
      </c>
      <c r="AA590">
        <v>270179117.80000001</v>
      </c>
      <c r="AB590">
        <v>35392927525.651443</v>
      </c>
      <c r="AC590">
        <v>7433227.7544000009</v>
      </c>
      <c r="AD590">
        <v>35948069928.013786</v>
      </c>
      <c r="AE590">
        <v>7460295.2984000007</v>
      </c>
      <c r="AF590">
        <v>37787366562.873177</v>
      </c>
      <c r="AG590">
        <v>7489975.2984000007</v>
      </c>
      <c r="AH590">
        <v>40978174727.254341</v>
      </c>
      <c r="AI590">
        <v>7520775.2984000007</v>
      </c>
      <c r="AJ590">
        <v>42909211773.424713</v>
      </c>
      <c r="AK590">
        <v>7565015.2984000007</v>
      </c>
    </row>
    <row r="591" spans="1:37" x14ac:dyDescent="0.35">
      <c r="A591" t="s">
        <v>6390</v>
      </c>
      <c r="B591">
        <v>855.76</v>
      </c>
      <c r="C591" t="s">
        <v>6391</v>
      </c>
      <c r="D591" t="s">
        <v>6392</v>
      </c>
      <c r="E591" t="s">
        <v>941</v>
      </c>
      <c r="F591">
        <v>1E-4</v>
      </c>
      <c r="G591" t="s">
        <v>6393</v>
      </c>
      <c r="H591">
        <v>0.3</v>
      </c>
      <c r="J591" t="s">
        <v>6394</v>
      </c>
      <c r="K591" t="s">
        <v>6395</v>
      </c>
      <c r="L591" t="s">
        <v>6396</v>
      </c>
      <c r="M591" t="s">
        <v>6397</v>
      </c>
      <c r="N591">
        <v>14690.49296384841</v>
      </c>
      <c r="O591">
        <v>14866.778879414591</v>
      </c>
      <c r="P591">
        <v>15565.51748674708</v>
      </c>
      <c r="Q591">
        <v>16810.758885686839</v>
      </c>
      <c r="R591">
        <v>17500</v>
      </c>
      <c r="S591" t="s">
        <v>6398</v>
      </c>
      <c r="T591" t="s">
        <v>6399</v>
      </c>
      <c r="U591" t="s">
        <v>6400</v>
      </c>
      <c r="V591" t="s">
        <v>94</v>
      </c>
      <c r="W591">
        <v>265472419.80000001</v>
      </c>
      <c r="X591">
        <v>266439117.80000001</v>
      </c>
      <c r="Y591">
        <v>267499117.80000001</v>
      </c>
      <c r="Z591">
        <v>268599117.80000001</v>
      </c>
      <c r="AA591">
        <v>270179117.80000001</v>
      </c>
      <c r="AB591">
        <v>389992071.5167712</v>
      </c>
      <c r="AC591">
        <v>26547.241979999999</v>
      </c>
      <c r="AD591">
        <v>396109144.91588962</v>
      </c>
      <c r="AE591">
        <v>26643.911779999999</v>
      </c>
      <c r="AF591">
        <v>416376219.5805316</v>
      </c>
      <c r="AG591">
        <v>26749.911779999999</v>
      </c>
      <c r="AH591">
        <v>451535500.62439972</v>
      </c>
      <c r="AI591">
        <v>26859.911779999999</v>
      </c>
      <c r="AJ591">
        <v>472813456.14999998</v>
      </c>
      <c r="AK591">
        <v>27017.911779999999</v>
      </c>
    </row>
    <row r="592" spans="1:37" x14ac:dyDescent="0.35">
      <c r="A592" t="s">
        <v>6401</v>
      </c>
      <c r="B592">
        <v>381.62</v>
      </c>
      <c r="C592" t="s">
        <v>1042</v>
      </c>
      <c r="D592" t="s">
        <v>6402</v>
      </c>
      <c r="E592" t="s">
        <v>6403</v>
      </c>
      <c r="F592">
        <v>0.187</v>
      </c>
      <c r="G592" t="s">
        <v>6404</v>
      </c>
      <c r="H592">
        <v>0.3</v>
      </c>
      <c r="I592">
        <v>0.01</v>
      </c>
      <c r="J592" t="s">
        <v>6405</v>
      </c>
      <c r="K592" t="s">
        <v>6406</v>
      </c>
      <c r="L592" t="s">
        <v>6407</v>
      </c>
      <c r="M592" t="s">
        <v>6408</v>
      </c>
      <c r="N592">
        <v>1770.7290626067279</v>
      </c>
      <c r="O592">
        <v>1791.9778113580089</v>
      </c>
      <c r="P592">
        <v>1876.2007684918351</v>
      </c>
      <c r="Q592">
        <v>2026.296829971182</v>
      </c>
      <c r="R592">
        <v>2109.375</v>
      </c>
      <c r="S592" t="s">
        <v>1168</v>
      </c>
      <c r="T592" t="s">
        <v>6409</v>
      </c>
      <c r="U592" t="s">
        <v>6410</v>
      </c>
      <c r="V592" t="s">
        <v>1053</v>
      </c>
      <c r="W592">
        <v>158713600</v>
      </c>
      <c r="X592">
        <v>160457415</v>
      </c>
      <c r="Y592">
        <v>160457415</v>
      </c>
      <c r="Z592">
        <v>160557415</v>
      </c>
      <c r="AA592">
        <v>160557415</v>
      </c>
      <c r="AB592">
        <v>52554252636.225616</v>
      </c>
      <c r="AC592">
        <v>29679443.199999999</v>
      </c>
      <c r="AD592">
        <v>53769255814.050507</v>
      </c>
      <c r="AE592">
        <v>30005536.605</v>
      </c>
      <c r="AF592">
        <v>56296410837.310883</v>
      </c>
      <c r="AG592">
        <v>30005536.605</v>
      </c>
      <c r="AH592">
        <v>60838015455.01622</v>
      </c>
      <c r="AI592">
        <v>30024236.605</v>
      </c>
      <c r="AJ592">
        <v>63332374088.671883</v>
      </c>
      <c r="AK592">
        <v>30024236.605</v>
      </c>
    </row>
    <row r="593" spans="1:37" x14ac:dyDescent="0.35">
      <c r="A593" t="s">
        <v>6411</v>
      </c>
      <c r="B593">
        <v>99.64</v>
      </c>
      <c r="C593" t="s">
        <v>4992</v>
      </c>
      <c r="D593" t="s">
        <v>6412</v>
      </c>
      <c r="E593" t="s">
        <v>6413</v>
      </c>
      <c r="F593">
        <v>0.02</v>
      </c>
      <c r="G593" t="s">
        <v>6414</v>
      </c>
      <c r="H593">
        <v>0.3</v>
      </c>
      <c r="I593">
        <v>0.03</v>
      </c>
      <c r="J593" t="s">
        <v>6415</v>
      </c>
      <c r="K593" t="s">
        <v>6416</v>
      </c>
      <c r="L593" t="s">
        <v>6417</v>
      </c>
      <c r="M593" t="s">
        <v>6418</v>
      </c>
      <c r="N593">
        <v>181.88229383812319</v>
      </c>
      <c r="O593">
        <v>184.06488136418059</v>
      </c>
      <c r="P593">
        <v>192.7159307882971</v>
      </c>
      <c r="Q593">
        <v>208.13320525136089</v>
      </c>
      <c r="R593">
        <v>216.66666666666671</v>
      </c>
      <c r="S593" t="s">
        <v>6419</v>
      </c>
      <c r="T593" t="s">
        <v>6420</v>
      </c>
      <c r="U593" t="s">
        <v>6421</v>
      </c>
      <c r="V593" t="s">
        <v>49</v>
      </c>
      <c r="W593">
        <v>338996155</v>
      </c>
      <c r="X593">
        <v>339500751</v>
      </c>
      <c r="Y593">
        <v>340560751</v>
      </c>
      <c r="Z593">
        <v>341660751</v>
      </c>
      <c r="AA593">
        <v>343660751</v>
      </c>
      <c r="AB593">
        <v>1233147965.4740789</v>
      </c>
      <c r="AC593">
        <v>6779923.1000000006</v>
      </c>
      <c r="AD593">
        <v>1249803309.117305</v>
      </c>
      <c r="AE593">
        <v>6790015.0199999996</v>
      </c>
      <c r="AF593">
        <v>1312629642.37853</v>
      </c>
      <c r="AG593">
        <v>6811215.0199999996</v>
      </c>
      <c r="AH593">
        <v>1422218944.2843421</v>
      </c>
      <c r="AI593">
        <v>6833215.0199999996</v>
      </c>
      <c r="AJ593">
        <v>1489196587.666667</v>
      </c>
      <c r="AK593">
        <v>6873215.0199999996</v>
      </c>
    </row>
    <row r="594" spans="1:37" x14ac:dyDescent="0.35">
      <c r="A594" t="s">
        <v>6422</v>
      </c>
      <c r="B594">
        <v>11500.59</v>
      </c>
      <c r="C594" t="s">
        <v>1126</v>
      </c>
      <c r="D594" t="s">
        <v>6423</v>
      </c>
      <c r="E594" t="s">
        <v>6424</v>
      </c>
      <c r="F594">
        <v>3.8000000000000002E-4</v>
      </c>
      <c r="G594" t="s">
        <v>6425</v>
      </c>
      <c r="H594">
        <v>25.3</v>
      </c>
      <c r="I594">
        <v>20.25</v>
      </c>
      <c r="J594" t="s">
        <v>6426</v>
      </c>
      <c r="K594" t="s">
        <v>6427</v>
      </c>
      <c r="L594" t="s">
        <v>6428</v>
      </c>
      <c r="M594" t="s">
        <v>6429</v>
      </c>
      <c r="N594">
        <v>14270.764593452741</v>
      </c>
      <c r="O594">
        <v>14442.01376857417</v>
      </c>
      <c r="P594">
        <v>15120.78841569716</v>
      </c>
      <c r="Q594">
        <v>16330.451488952929</v>
      </c>
      <c r="R594">
        <v>17000</v>
      </c>
      <c r="S594" t="s">
        <v>6430</v>
      </c>
      <c r="T594" t="s">
        <v>6431</v>
      </c>
      <c r="U594" t="s">
        <v>4167</v>
      </c>
      <c r="V594" t="s">
        <v>49</v>
      </c>
      <c r="W594">
        <v>338996155</v>
      </c>
      <c r="X594">
        <v>339500751</v>
      </c>
      <c r="Y594">
        <v>340560751</v>
      </c>
      <c r="Z594">
        <v>341660751</v>
      </c>
      <c r="AA594">
        <v>343660751</v>
      </c>
      <c r="AB594">
        <v>1838339043.9144349</v>
      </c>
      <c r="AC594">
        <v>128818.5389</v>
      </c>
      <c r="AD594">
        <v>1863168317.7456429</v>
      </c>
      <c r="AE594">
        <v>129010.28538</v>
      </c>
      <c r="AF594">
        <v>1956827882.253531</v>
      </c>
      <c r="AG594">
        <v>129413.08538</v>
      </c>
      <c r="AH594">
        <v>2120200241.556196</v>
      </c>
      <c r="AI594">
        <v>129831.08538</v>
      </c>
      <c r="AJ594">
        <v>2220048451.46</v>
      </c>
      <c r="AK594">
        <v>130591.08538</v>
      </c>
    </row>
    <row r="595" spans="1:37" x14ac:dyDescent="0.35">
      <c r="A595" t="s">
        <v>6432</v>
      </c>
      <c r="B595">
        <v>50.25</v>
      </c>
      <c r="C595" t="s">
        <v>613</v>
      </c>
      <c r="D595" t="s">
        <v>6433</v>
      </c>
      <c r="E595" t="s">
        <v>6434</v>
      </c>
      <c r="F595">
        <v>4.6899999999999997E-2</v>
      </c>
      <c r="G595" t="s">
        <v>6435</v>
      </c>
      <c r="H595">
        <v>46.5</v>
      </c>
      <c r="I595">
        <v>20.100000000000001</v>
      </c>
      <c r="J595" t="s">
        <v>6436</v>
      </c>
      <c r="K595" t="s">
        <v>6437</v>
      </c>
      <c r="L595" t="s">
        <v>6438</v>
      </c>
      <c r="M595" t="s">
        <v>6439</v>
      </c>
      <c r="N595">
        <v>3294.8677076059998</v>
      </c>
      <c r="O595">
        <v>3334.4061200972719</v>
      </c>
      <c r="P595">
        <v>3491.123207741844</v>
      </c>
      <c r="Q595">
        <v>3770.413064361192</v>
      </c>
      <c r="R595">
        <v>3925</v>
      </c>
      <c r="S595" t="s">
        <v>6440</v>
      </c>
      <c r="T595" t="s">
        <v>6441</v>
      </c>
      <c r="U595" t="s">
        <v>6442</v>
      </c>
      <c r="V595" t="s">
        <v>94</v>
      </c>
      <c r="W595">
        <v>265472419.80000001</v>
      </c>
      <c r="X595">
        <v>266439117.80000001</v>
      </c>
      <c r="Y595">
        <v>267499117.80000001</v>
      </c>
      <c r="Z595">
        <v>268599117.80000001</v>
      </c>
      <c r="AA595">
        <v>270179117.80000001</v>
      </c>
      <c r="AB595">
        <v>41023266002.849152</v>
      </c>
      <c r="AC595">
        <v>12450656.48862</v>
      </c>
      <c r="AD595">
        <v>41666720953.702423</v>
      </c>
      <c r="AE595">
        <v>12495994.62482</v>
      </c>
      <c r="AF595">
        <v>43798614537.676117</v>
      </c>
      <c r="AG595">
        <v>12545708.62482</v>
      </c>
      <c r="AH595">
        <v>47497019310.680603</v>
      </c>
      <c r="AI595">
        <v>12597298.62482</v>
      </c>
      <c r="AJ595">
        <v>49735247452.418503</v>
      </c>
      <c r="AK595">
        <v>12671400.62482</v>
      </c>
    </row>
    <row r="596" spans="1:37" x14ac:dyDescent="0.35">
      <c r="A596" t="s">
        <v>6443</v>
      </c>
      <c r="B596">
        <v>17.829999999999998</v>
      </c>
      <c r="C596" t="s">
        <v>613</v>
      </c>
      <c r="D596" t="s">
        <v>6444</v>
      </c>
      <c r="E596" t="s">
        <v>6445</v>
      </c>
      <c r="F596">
        <v>4.6899999999999997E-2</v>
      </c>
      <c r="G596" t="s">
        <v>6446</v>
      </c>
      <c r="H596">
        <v>20.3</v>
      </c>
      <c r="I596">
        <v>0.53</v>
      </c>
      <c r="J596" t="s">
        <v>6447</v>
      </c>
      <c r="K596" t="s">
        <v>6448</v>
      </c>
      <c r="L596" t="s">
        <v>6449</v>
      </c>
      <c r="M596" t="s">
        <v>6450</v>
      </c>
      <c r="N596">
        <v>3294.8677076059998</v>
      </c>
      <c r="O596">
        <v>3334.4061200972719</v>
      </c>
      <c r="P596">
        <v>3491.123207741844</v>
      </c>
      <c r="Q596">
        <v>3770.413064361192</v>
      </c>
      <c r="R596">
        <v>3925</v>
      </c>
      <c r="S596" t="s">
        <v>6451</v>
      </c>
      <c r="T596" t="s">
        <v>6452</v>
      </c>
      <c r="U596" t="s">
        <v>6453</v>
      </c>
      <c r="V596" t="s">
        <v>94</v>
      </c>
      <c r="W596">
        <v>265472419.80000001</v>
      </c>
      <c r="X596">
        <v>266439117.80000001</v>
      </c>
      <c r="Y596">
        <v>267499117.80000001</v>
      </c>
      <c r="Z596">
        <v>268599117.80000001</v>
      </c>
      <c r="AA596">
        <v>270179117.80000001</v>
      </c>
      <c r="AB596">
        <v>41023266002.849152</v>
      </c>
      <c r="AC596">
        <v>12450656.48862</v>
      </c>
      <c r="AD596">
        <v>41666720953.702423</v>
      </c>
      <c r="AE596">
        <v>12495994.62482</v>
      </c>
      <c r="AF596">
        <v>43798614537.676117</v>
      </c>
      <c r="AG596">
        <v>12545708.62482</v>
      </c>
      <c r="AH596">
        <v>47497019310.680603</v>
      </c>
      <c r="AI596">
        <v>12597298.62482</v>
      </c>
      <c r="AJ596">
        <v>49735247452.418503</v>
      </c>
      <c r="AK596">
        <v>12671400.62482</v>
      </c>
    </row>
    <row r="597" spans="1:37" x14ac:dyDescent="0.35">
      <c r="A597" t="s">
        <v>6454</v>
      </c>
      <c r="B597">
        <v>300.48</v>
      </c>
      <c r="C597" t="s">
        <v>337</v>
      </c>
      <c r="D597" t="s">
        <v>6455</v>
      </c>
      <c r="E597" t="s">
        <v>6456</v>
      </c>
      <c r="F597">
        <v>3.0000000000000001E-5</v>
      </c>
      <c r="G597" t="s">
        <v>6457</v>
      </c>
      <c r="H597">
        <v>0.6</v>
      </c>
      <c r="I597">
        <v>0.01</v>
      </c>
      <c r="J597" t="s">
        <v>6458</v>
      </c>
      <c r="K597" t="s">
        <v>6459</v>
      </c>
      <c r="L597" t="s">
        <v>6460</v>
      </c>
      <c r="M597" t="s">
        <v>6461</v>
      </c>
      <c r="N597">
        <v>10213.390346294609</v>
      </c>
      <c r="O597">
        <v>10335.951030450149</v>
      </c>
      <c r="P597">
        <v>10821.740728881299</v>
      </c>
      <c r="Q597">
        <v>11687.479987191809</v>
      </c>
      <c r="R597">
        <v>12166.66666666667</v>
      </c>
      <c r="S597" t="s">
        <v>6462</v>
      </c>
      <c r="T597" t="s">
        <v>6463</v>
      </c>
      <c r="U597" t="s">
        <v>6464</v>
      </c>
      <c r="V597" t="s">
        <v>94</v>
      </c>
      <c r="W597">
        <v>265472419.80000001</v>
      </c>
      <c r="X597">
        <v>266439117.80000001</v>
      </c>
      <c r="Y597">
        <v>267499117.80000001</v>
      </c>
      <c r="Z597">
        <v>268599117.80000001</v>
      </c>
      <c r="AA597">
        <v>270179117.80000001</v>
      </c>
      <c r="AB597">
        <v>81341203.487783715</v>
      </c>
      <c r="AC597">
        <v>7964.1725940000006</v>
      </c>
      <c r="AD597">
        <v>82617050.225314125</v>
      </c>
      <c r="AE597">
        <v>7993.1735339999996</v>
      </c>
      <c r="AF597">
        <v>86844182.941082314</v>
      </c>
      <c r="AG597">
        <v>8024.9735340000007</v>
      </c>
      <c r="AH597">
        <v>94177404.415946245</v>
      </c>
      <c r="AI597">
        <v>8057.9735340000007</v>
      </c>
      <c r="AJ597">
        <v>98615377.997000039</v>
      </c>
      <c r="AK597">
        <v>8105.3735340000003</v>
      </c>
    </row>
    <row r="598" spans="1:37" x14ac:dyDescent="0.35">
      <c r="A598" t="s">
        <v>6465</v>
      </c>
      <c r="B598">
        <v>1201.94</v>
      </c>
      <c r="C598" t="s">
        <v>337</v>
      </c>
      <c r="D598" t="s">
        <v>6466</v>
      </c>
      <c r="E598" t="s">
        <v>6467</v>
      </c>
      <c r="F598">
        <v>3.0000000000000001E-5</v>
      </c>
      <c r="G598" t="s">
        <v>6468</v>
      </c>
      <c r="H598">
        <v>0.6</v>
      </c>
      <c r="I598">
        <v>0</v>
      </c>
      <c r="J598" t="s">
        <v>6469</v>
      </c>
      <c r="K598" t="s">
        <v>6470</v>
      </c>
      <c r="L598" t="s">
        <v>6471</v>
      </c>
      <c r="M598" t="s">
        <v>6472</v>
      </c>
      <c r="N598">
        <v>10213.390346294609</v>
      </c>
      <c r="O598">
        <v>10335.951030450149</v>
      </c>
      <c r="P598">
        <v>10821.740728881299</v>
      </c>
      <c r="Q598">
        <v>11687.479987191809</v>
      </c>
      <c r="R598">
        <v>12166.66666666667</v>
      </c>
      <c r="S598" t="s">
        <v>6473</v>
      </c>
      <c r="T598" t="s">
        <v>6474</v>
      </c>
      <c r="U598" t="s">
        <v>6475</v>
      </c>
      <c r="V598" t="s">
        <v>94</v>
      </c>
      <c r="W598">
        <v>265472419.80000001</v>
      </c>
      <c r="X598">
        <v>266439117.80000001</v>
      </c>
      <c r="Y598">
        <v>267499117.80000001</v>
      </c>
      <c r="Z598">
        <v>268599117.80000001</v>
      </c>
      <c r="AA598">
        <v>270179117.80000001</v>
      </c>
      <c r="AB598">
        <v>81341203.487783715</v>
      </c>
      <c r="AC598">
        <v>7964.1725940000006</v>
      </c>
      <c r="AD598">
        <v>82617050.225314125</v>
      </c>
      <c r="AE598">
        <v>7993.1735339999996</v>
      </c>
      <c r="AF598">
        <v>86844182.941082314</v>
      </c>
      <c r="AG598">
        <v>8024.9735340000007</v>
      </c>
      <c r="AH598">
        <v>94177404.415946245</v>
      </c>
      <c r="AI598">
        <v>8057.9735340000007</v>
      </c>
      <c r="AJ598">
        <v>98615377.997000039</v>
      </c>
      <c r="AK598">
        <v>8105.3735340000003</v>
      </c>
    </row>
    <row r="599" spans="1:37" x14ac:dyDescent="0.35">
      <c r="A599" t="s">
        <v>6476</v>
      </c>
      <c r="B599">
        <v>4619.79</v>
      </c>
      <c r="C599" t="s">
        <v>2883</v>
      </c>
      <c r="D599" t="s">
        <v>6477</v>
      </c>
      <c r="E599" t="s">
        <v>6478</v>
      </c>
      <c r="F599">
        <v>1.0000000000000001E-5</v>
      </c>
      <c r="G599" t="s">
        <v>6479</v>
      </c>
      <c r="H599">
        <v>0.6</v>
      </c>
      <c r="I599">
        <v>375.37</v>
      </c>
      <c r="J599" t="s">
        <v>6480</v>
      </c>
      <c r="K599" t="s">
        <v>6481</v>
      </c>
      <c r="L599" t="s">
        <v>6482</v>
      </c>
      <c r="M599" t="s">
        <v>6483</v>
      </c>
      <c r="N599">
        <v>125204.97288902799</v>
      </c>
      <c r="O599">
        <v>126707.4325636963</v>
      </c>
      <c r="P599">
        <v>132662.68189419009</v>
      </c>
      <c r="Q599">
        <v>143275.69644572531</v>
      </c>
      <c r="R599">
        <v>149150</v>
      </c>
      <c r="S599" t="s">
        <v>6484</v>
      </c>
      <c r="T599" t="s">
        <v>6485</v>
      </c>
      <c r="U599" t="s">
        <v>4167</v>
      </c>
      <c r="V599" t="s">
        <v>94</v>
      </c>
      <c r="W599">
        <v>265472419.80000001</v>
      </c>
      <c r="X599">
        <v>266439117.80000001</v>
      </c>
      <c r="Y599">
        <v>267499117.80000001</v>
      </c>
      <c r="Z599">
        <v>268599117.80000001</v>
      </c>
      <c r="AA599">
        <v>270179117.80000001</v>
      </c>
      <c r="AB599">
        <v>332384671.23843658</v>
      </c>
      <c r="AC599">
        <v>2654.7241979999999</v>
      </c>
      <c r="AD599">
        <v>337598165.5097425</v>
      </c>
      <c r="AE599">
        <v>2664.3911779999999</v>
      </c>
      <c r="AF599">
        <v>354871503.71677881</v>
      </c>
      <c r="AG599">
        <v>2674.9911780000002</v>
      </c>
      <c r="AH599">
        <v>384837256.67502409</v>
      </c>
      <c r="AI599">
        <v>2685.9911780000002</v>
      </c>
      <c r="AJ599">
        <v>402972154.19870001</v>
      </c>
      <c r="AK599">
        <v>2701.7911779999999</v>
      </c>
    </row>
    <row r="600" spans="1:37" x14ac:dyDescent="0.35">
      <c r="A600" t="s">
        <v>6486</v>
      </c>
      <c r="B600">
        <v>1235.0999999999999</v>
      </c>
      <c r="C600" t="s">
        <v>1126</v>
      </c>
      <c r="D600" t="s">
        <v>6487</v>
      </c>
      <c r="E600" t="s">
        <v>6488</v>
      </c>
      <c r="F600">
        <v>3.8000000000000002E-4</v>
      </c>
      <c r="G600" t="s">
        <v>6489</v>
      </c>
      <c r="H600">
        <v>0.4</v>
      </c>
      <c r="I600">
        <v>0.02</v>
      </c>
      <c r="J600" t="s">
        <v>6490</v>
      </c>
      <c r="K600" t="s">
        <v>6491</v>
      </c>
      <c r="L600" t="s">
        <v>6492</v>
      </c>
      <c r="M600" t="s">
        <v>6493</v>
      </c>
      <c r="N600">
        <v>14270.764593452741</v>
      </c>
      <c r="O600">
        <v>14442.01376857417</v>
      </c>
      <c r="P600">
        <v>15120.78841569716</v>
      </c>
      <c r="Q600">
        <v>16330.451488952929</v>
      </c>
      <c r="R600">
        <v>17000</v>
      </c>
      <c r="S600" t="s">
        <v>6494</v>
      </c>
      <c r="T600" t="s">
        <v>6495</v>
      </c>
      <c r="U600" t="s">
        <v>6496</v>
      </c>
      <c r="V600" t="s">
        <v>49</v>
      </c>
      <c r="W600">
        <v>338996155</v>
      </c>
      <c r="X600">
        <v>339500751</v>
      </c>
      <c r="Y600">
        <v>340560751</v>
      </c>
      <c r="Z600">
        <v>341660751</v>
      </c>
      <c r="AA600">
        <v>343660751</v>
      </c>
      <c r="AB600">
        <v>1838339043.9144349</v>
      </c>
      <c r="AC600">
        <v>128818.5389</v>
      </c>
      <c r="AD600">
        <v>1863168317.7456429</v>
      </c>
      <c r="AE600">
        <v>129010.28538</v>
      </c>
      <c r="AF600">
        <v>1956827882.253531</v>
      </c>
      <c r="AG600">
        <v>129413.08538</v>
      </c>
      <c r="AH600">
        <v>2120200241.556196</v>
      </c>
      <c r="AI600">
        <v>129831.08538</v>
      </c>
      <c r="AJ600">
        <v>2220048451.46</v>
      </c>
      <c r="AK600">
        <v>130591.08538</v>
      </c>
    </row>
    <row r="601" spans="1:37" x14ac:dyDescent="0.35">
      <c r="A601" t="s">
        <v>6497</v>
      </c>
      <c r="B601">
        <v>18738.189999999999</v>
      </c>
      <c r="C601" t="s">
        <v>1126</v>
      </c>
      <c r="D601" t="s">
        <v>6498</v>
      </c>
      <c r="E601" t="s">
        <v>6499</v>
      </c>
      <c r="F601">
        <v>3.8000000000000002E-4</v>
      </c>
      <c r="G601" t="s">
        <v>6500</v>
      </c>
      <c r="H601">
        <v>0.25</v>
      </c>
      <c r="I601">
        <v>0.01</v>
      </c>
      <c r="J601" t="s">
        <v>6501</v>
      </c>
      <c r="K601" t="s">
        <v>6502</v>
      </c>
      <c r="L601" t="s">
        <v>6503</v>
      </c>
      <c r="M601" t="s">
        <v>6504</v>
      </c>
      <c r="N601">
        <v>14270.764593452741</v>
      </c>
      <c r="O601">
        <v>14442.01376857417</v>
      </c>
      <c r="P601">
        <v>15120.78841569716</v>
      </c>
      <c r="Q601">
        <v>16330.451488952929</v>
      </c>
      <c r="R601">
        <v>17000</v>
      </c>
      <c r="S601" t="s">
        <v>6505</v>
      </c>
      <c r="T601" t="s">
        <v>1945</v>
      </c>
      <c r="U601" t="s">
        <v>6506</v>
      </c>
      <c r="V601" t="s">
        <v>49</v>
      </c>
      <c r="W601">
        <v>338996155</v>
      </c>
      <c r="X601">
        <v>339500751</v>
      </c>
      <c r="Y601">
        <v>340560751</v>
      </c>
      <c r="Z601">
        <v>341660751</v>
      </c>
      <c r="AA601">
        <v>343660751</v>
      </c>
      <c r="AB601">
        <v>1838339043.9144349</v>
      </c>
      <c r="AC601">
        <v>128818.5389</v>
      </c>
      <c r="AD601">
        <v>1863168317.7456429</v>
      </c>
      <c r="AE601">
        <v>129010.28538</v>
      </c>
      <c r="AF601">
        <v>1956827882.253531</v>
      </c>
      <c r="AG601">
        <v>129413.08538</v>
      </c>
      <c r="AH601">
        <v>2120200241.556196</v>
      </c>
      <c r="AI601">
        <v>129831.08538</v>
      </c>
      <c r="AJ601">
        <v>2220048451.46</v>
      </c>
      <c r="AK601">
        <v>130591.08538</v>
      </c>
    </row>
    <row r="602" spans="1:37" x14ac:dyDescent="0.35">
      <c r="A602" t="s">
        <v>6507</v>
      </c>
      <c r="B602">
        <v>110.3</v>
      </c>
      <c r="C602" t="s">
        <v>208</v>
      </c>
      <c r="D602" t="s">
        <v>6508</v>
      </c>
      <c r="E602" t="s">
        <v>6509</v>
      </c>
      <c r="F602">
        <v>3.1E-2</v>
      </c>
      <c r="G602" t="s">
        <v>6510</v>
      </c>
      <c r="H602">
        <v>25.6</v>
      </c>
      <c r="I602">
        <v>0.15</v>
      </c>
      <c r="J602" t="s">
        <v>6511</v>
      </c>
      <c r="K602" t="s">
        <v>6512</v>
      </c>
      <c r="L602" t="s">
        <v>6513</v>
      </c>
      <c r="M602" t="s">
        <v>6514</v>
      </c>
      <c r="N602">
        <v>1106.1651733936201</v>
      </c>
      <c r="O602">
        <v>1119.4391554743429</v>
      </c>
      <c r="P602">
        <v>1172.0527957816371</v>
      </c>
      <c r="Q602">
        <v>1265.817019444168</v>
      </c>
      <c r="R602">
        <v>1317.7155172413791</v>
      </c>
      <c r="S602" t="s">
        <v>6515</v>
      </c>
      <c r="T602" t="s">
        <v>6516</v>
      </c>
      <c r="U602" t="s">
        <v>6517</v>
      </c>
      <c r="V602" t="s">
        <v>94</v>
      </c>
      <c r="W602">
        <v>265472419.80000001</v>
      </c>
      <c r="X602">
        <v>266439117.80000001</v>
      </c>
      <c r="Y602">
        <v>267499117.80000001</v>
      </c>
      <c r="Z602">
        <v>268599117.80000001</v>
      </c>
      <c r="AA602">
        <v>270179117.80000001</v>
      </c>
      <c r="AB602">
        <v>9103346703.6580143</v>
      </c>
      <c r="AC602">
        <v>8229645.0138000008</v>
      </c>
      <c r="AD602">
        <v>9246133811.4761925</v>
      </c>
      <c r="AE602">
        <v>8259612.6518000001</v>
      </c>
      <c r="AF602">
        <v>9719215755.4849567</v>
      </c>
      <c r="AG602">
        <v>8292472.6518000001</v>
      </c>
      <c r="AH602">
        <v>10539917376.2868</v>
      </c>
      <c r="AI602">
        <v>8326572.6518000001</v>
      </c>
      <c r="AJ602">
        <v>11036595694.749041</v>
      </c>
      <c r="AK602">
        <v>8375552.6518000001</v>
      </c>
    </row>
    <row r="603" spans="1:37" x14ac:dyDescent="0.35">
      <c r="A603" t="s">
        <v>6518</v>
      </c>
      <c r="B603">
        <v>155.69999999999999</v>
      </c>
      <c r="C603" t="s">
        <v>231</v>
      </c>
      <c r="D603" t="s">
        <v>6519</v>
      </c>
      <c r="E603" t="s">
        <v>6520</v>
      </c>
      <c r="F603">
        <v>0.191</v>
      </c>
      <c r="G603" t="s">
        <v>6521</v>
      </c>
      <c r="H603">
        <v>0.3</v>
      </c>
      <c r="I603">
        <v>0.15</v>
      </c>
      <c r="J603" t="s">
        <v>6522</v>
      </c>
      <c r="K603" t="s">
        <v>6523</v>
      </c>
      <c r="L603" t="s">
        <v>6524</v>
      </c>
      <c r="M603" t="s">
        <v>6525</v>
      </c>
      <c r="N603">
        <v>725.9551939635088</v>
      </c>
      <c r="O603">
        <v>734.66665629107092</v>
      </c>
      <c r="P603">
        <v>769.19598913675122</v>
      </c>
      <c r="Q603">
        <v>830.73166826769136</v>
      </c>
      <c r="R603">
        <v>864.79166666666663</v>
      </c>
      <c r="S603" t="s">
        <v>6526</v>
      </c>
      <c r="T603" t="s">
        <v>6527</v>
      </c>
      <c r="U603" t="s">
        <v>6528</v>
      </c>
      <c r="V603" t="s">
        <v>94</v>
      </c>
      <c r="W603">
        <v>265472419.80000001</v>
      </c>
      <c r="X603">
        <v>266439117.80000001</v>
      </c>
      <c r="Y603">
        <v>267499117.80000001</v>
      </c>
      <c r="Z603">
        <v>268599117.80000001</v>
      </c>
      <c r="AA603">
        <v>270179117.80000001</v>
      </c>
      <c r="AB603">
        <v>36809726663.503357</v>
      </c>
      <c r="AC603">
        <v>50705232.1818</v>
      </c>
      <c r="AD603">
        <v>37387091733.840332</v>
      </c>
      <c r="AE603">
        <v>50889871.499799997</v>
      </c>
      <c r="AF603">
        <v>39300016465.291458</v>
      </c>
      <c r="AG603">
        <v>51092331.499799997</v>
      </c>
      <c r="AH603">
        <v>42618554506.017807</v>
      </c>
      <c r="AI603">
        <v>51302431.499799997</v>
      </c>
      <c r="AJ603">
        <v>44626892069.931213</v>
      </c>
      <c r="AK603">
        <v>51604211.499799997</v>
      </c>
    </row>
    <row r="604" spans="1:37" x14ac:dyDescent="0.35">
      <c r="A604" t="s">
        <v>6529</v>
      </c>
      <c r="B604">
        <v>14.17</v>
      </c>
      <c r="C604" t="s">
        <v>3931</v>
      </c>
      <c r="D604" t="s">
        <v>6530</v>
      </c>
      <c r="E604" t="s">
        <v>6531</v>
      </c>
      <c r="F604">
        <v>6.1999999999999998E-3</v>
      </c>
      <c r="G604" t="s">
        <v>6532</v>
      </c>
      <c r="H604">
        <v>0.35</v>
      </c>
      <c r="J604" t="s">
        <v>6533</v>
      </c>
      <c r="K604" t="s">
        <v>6534</v>
      </c>
      <c r="L604" t="s">
        <v>6535</v>
      </c>
      <c r="M604" t="s">
        <v>6536</v>
      </c>
      <c r="N604">
        <v>1129.7688636483419</v>
      </c>
      <c r="O604">
        <v>1143.326090012122</v>
      </c>
      <c r="P604">
        <v>1197.0624162426909</v>
      </c>
      <c r="Q604">
        <v>1292.827409542107</v>
      </c>
      <c r="R604">
        <v>1345.833333333333</v>
      </c>
      <c r="S604" t="s">
        <v>6537</v>
      </c>
      <c r="T604" t="s">
        <v>1157</v>
      </c>
      <c r="U604" t="s">
        <v>6538</v>
      </c>
      <c r="V604" t="s">
        <v>3941</v>
      </c>
      <c r="W604">
        <v>138616800</v>
      </c>
      <c r="X604">
        <v>139915020</v>
      </c>
      <c r="Y604">
        <v>139915020</v>
      </c>
      <c r="Z604">
        <v>139915020</v>
      </c>
      <c r="AA604">
        <v>139915020</v>
      </c>
      <c r="AB604">
        <v>970950656.63513052</v>
      </c>
      <c r="AC604">
        <v>859424.15999999992</v>
      </c>
      <c r="AD604">
        <v>991804655.05352044</v>
      </c>
      <c r="AE604">
        <v>867473.12399999995</v>
      </c>
      <c r="AF604">
        <v>1038419473.841036</v>
      </c>
      <c r="AG604">
        <v>867473.12399999995</v>
      </c>
      <c r="AH604">
        <v>1121493031.7483189</v>
      </c>
      <c r="AI604">
        <v>867473.12399999995</v>
      </c>
      <c r="AJ604">
        <v>1167474246.05</v>
      </c>
      <c r="AK604">
        <v>867473.12399999995</v>
      </c>
    </row>
    <row r="605" spans="1:37" x14ac:dyDescent="0.35">
      <c r="A605" t="s">
        <v>6539</v>
      </c>
      <c r="B605">
        <v>80</v>
      </c>
      <c r="C605" t="s">
        <v>3931</v>
      </c>
      <c r="D605" t="s">
        <v>6540</v>
      </c>
      <c r="E605" t="s">
        <v>6541</v>
      </c>
      <c r="F605">
        <v>6.1999999999999998E-3</v>
      </c>
      <c r="G605" t="s">
        <v>6542</v>
      </c>
      <c r="H605">
        <v>0.4</v>
      </c>
      <c r="I605">
        <v>0.2</v>
      </c>
      <c r="J605" t="s">
        <v>6543</v>
      </c>
      <c r="K605" t="s">
        <v>6544</v>
      </c>
      <c r="L605" t="s">
        <v>6545</v>
      </c>
      <c r="M605" t="s">
        <v>6546</v>
      </c>
      <c r="N605">
        <v>1129.7688636483419</v>
      </c>
      <c r="O605">
        <v>1143.326090012122</v>
      </c>
      <c r="P605">
        <v>1197.0624162426909</v>
      </c>
      <c r="Q605">
        <v>1292.827409542107</v>
      </c>
      <c r="R605">
        <v>1345.833333333333</v>
      </c>
      <c r="S605" t="s">
        <v>6547</v>
      </c>
      <c r="T605" t="s">
        <v>587</v>
      </c>
      <c r="U605" t="s">
        <v>6548</v>
      </c>
      <c r="V605" t="s">
        <v>3941</v>
      </c>
      <c r="W605">
        <v>138616800</v>
      </c>
      <c r="X605">
        <v>139915020</v>
      </c>
      <c r="Y605">
        <v>139915020</v>
      </c>
      <c r="Z605">
        <v>139915020</v>
      </c>
      <c r="AA605">
        <v>139915020</v>
      </c>
      <c r="AB605">
        <v>970950656.63513052</v>
      </c>
      <c r="AC605">
        <v>859424.15999999992</v>
      </c>
      <c r="AD605">
        <v>991804655.05352044</v>
      </c>
      <c r="AE605">
        <v>867473.12399999995</v>
      </c>
      <c r="AF605">
        <v>1038419473.841036</v>
      </c>
      <c r="AG605">
        <v>867473.12399999995</v>
      </c>
      <c r="AH605">
        <v>1121493031.7483189</v>
      </c>
      <c r="AI605">
        <v>867473.12399999995</v>
      </c>
      <c r="AJ605">
        <v>1167474246.05</v>
      </c>
      <c r="AK605">
        <v>867473.12399999995</v>
      </c>
    </row>
    <row r="606" spans="1:37" x14ac:dyDescent="0.35">
      <c r="A606" t="s">
        <v>6549</v>
      </c>
      <c r="B606">
        <v>185.93</v>
      </c>
      <c r="C606" t="s">
        <v>1042</v>
      </c>
      <c r="D606" t="s">
        <v>6550</v>
      </c>
      <c r="E606" t="s">
        <v>6551</v>
      </c>
      <c r="F606">
        <v>0.187</v>
      </c>
      <c r="G606" t="s">
        <v>6552</v>
      </c>
      <c r="H606">
        <v>0.2</v>
      </c>
      <c r="I606">
        <v>0.01</v>
      </c>
      <c r="J606" t="s">
        <v>6553</v>
      </c>
      <c r="K606" t="s">
        <v>6554</v>
      </c>
      <c r="L606" t="s">
        <v>6555</v>
      </c>
      <c r="M606" t="s">
        <v>6556</v>
      </c>
      <c r="N606">
        <v>1770.7290626067279</v>
      </c>
      <c r="O606">
        <v>1791.9778113580089</v>
      </c>
      <c r="P606">
        <v>1876.2007684918351</v>
      </c>
      <c r="Q606">
        <v>2026.296829971182</v>
      </c>
      <c r="R606">
        <v>2109.375</v>
      </c>
      <c r="S606" t="s">
        <v>1168</v>
      </c>
      <c r="T606" t="s">
        <v>6557</v>
      </c>
      <c r="U606" t="s">
        <v>6558</v>
      </c>
      <c r="V606" t="s">
        <v>1053</v>
      </c>
      <c r="W606">
        <v>158713600</v>
      </c>
      <c r="X606">
        <v>160457415</v>
      </c>
      <c r="Y606">
        <v>160457415</v>
      </c>
      <c r="Z606">
        <v>160557415</v>
      </c>
      <c r="AA606">
        <v>160557415</v>
      </c>
      <c r="AB606">
        <v>52554252636.225616</v>
      </c>
      <c r="AC606">
        <v>29679443.199999999</v>
      </c>
      <c r="AD606">
        <v>53769255814.050507</v>
      </c>
      <c r="AE606">
        <v>30005536.605</v>
      </c>
      <c r="AF606">
        <v>56296410837.310883</v>
      </c>
      <c r="AG606">
        <v>30005536.605</v>
      </c>
      <c r="AH606">
        <v>60838015455.01622</v>
      </c>
      <c r="AI606">
        <v>30024236.605</v>
      </c>
      <c r="AJ606">
        <v>63332374088.671883</v>
      </c>
      <c r="AK606">
        <v>30024236.605</v>
      </c>
    </row>
    <row r="607" spans="1:37" x14ac:dyDescent="0.35">
      <c r="A607" t="s">
        <v>6559</v>
      </c>
      <c r="B607">
        <v>28.86</v>
      </c>
      <c r="C607" t="s">
        <v>2939</v>
      </c>
      <c r="D607" t="s">
        <v>6560</v>
      </c>
      <c r="E607" t="s">
        <v>6561</v>
      </c>
      <c r="F607">
        <v>1.4999999999999999E-2</v>
      </c>
      <c r="G607" t="s">
        <v>6562</v>
      </c>
      <c r="H607">
        <v>15.8</v>
      </c>
      <c r="I607">
        <v>51044.12</v>
      </c>
      <c r="J607" t="s">
        <v>6563</v>
      </c>
      <c r="K607" t="s">
        <v>6564</v>
      </c>
      <c r="L607" t="s">
        <v>6565</v>
      </c>
      <c r="M607" t="s">
        <v>6566</v>
      </c>
      <c r="N607">
        <v>4775.5761253907194</v>
      </c>
      <c r="O607">
        <v>4832.8830388954084</v>
      </c>
      <c r="P607">
        <v>5060.0285417234927</v>
      </c>
      <c r="Q607">
        <v>5464.8308250613727</v>
      </c>
      <c r="R607">
        <v>5688.8888888888887</v>
      </c>
      <c r="S607" t="s">
        <v>6567</v>
      </c>
      <c r="T607" t="s">
        <v>6568</v>
      </c>
      <c r="U607" t="s">
        <v>6569</v>
      </c>
      <c r="V607" t="s">
        <v>49</v>
      </c>
      <c r="W607">
        <v>338996155</v>
      </c>
      <c r="X607">
        <v>339500751</v>
      </c>
      <c r="Y607">
        <v>340560751</v>
      </c>
      <c r="Z607">
        <v>341660751</v>
      </c>
      <c r="AA607">
        <v>343660751</v>
      </c>
      <c r="AB607">
        <v>24283529166.258781</v>
      </c>
      <c r="AC607">
        <v>5084942.3250000002</v>
      </c>
      <c r="AD607">
        <v>24611511318.0023</v>
      </c>
      <c r="AE607">
        <v>5092511.2649999997</v>
      </c>
      <c r="AF607">
        <v>25848706803.76181</v>
      </c>
      <c r="AG607">
        <v>5108411.2649999997</v>
      </c>
      <c r="AH607">
        <v>28006773056.67627</v>
      </c>
      <c r="AI607">
        <v>5124911.2649999997</v>
      </c>
      <c r="AJ607">
        <v>29325717418.66666</v>
      </c>
      <c r="AK607">
        <v>5154911.2649999997</v>
      </c>
    </row>
    <row r="608" spans="1:37" x14ac:dyDescent="0.35">
      <c r="A608" t="s">
        <v>6570</v>
      </c>
      <c r="B608">
        <v>90.54</v>
      </c>
      <c r="C608" t="s">
        <v>231</v>
      </c>
      <c r="D608" t="s">
        <v>6571</v>
      </c>
      <c r="E608" t="s">
        <v>6572</v>
      </c>
      <c r="F608">
        <v>0.191</v>
      </c>
      <c r="G608" t="s">
        <v>6573</v>
      </c>
      <c r="H608">
        <v>30.4</v>
      </c>
      <c r="I608">
        <v>0.26</v>
      </c>
      <c r="J608" t="s">
        <v>6574</v>
      </c>
      <c r="K608" t="s">
        <v>6575</v>
      </c>
      <c r="L608" t="s">
        <v>6576</v>
      </c>
      <c r="M608" t="s">
        <v>6577</v>
      </c>
      <c r="N608">
        <v>725.9551939635088</v>
      </c>
      <c r="O608">
        <v>734.66665629107092</v>
      </c>
      <c r="P608">
        <v>769.19598913675122</v>
      </c>
      <c r="Q608">
        <v>830.73166826769136</v>
      </c>
      <c r="R608">
        <v>864.79166666666663</v>
      </c>
      <c r="S608" t="s">
        <v>6578</v>
      </c>
      <c r="T608" t="s">
        <v>6579</v>
      </c>
      <c r="U608" t="s">
        <v>3768</v>
      </c>
      <c r="V608" t="s">
        <v>94</v>
      </c>
      <c r="W608">
        <v>265472419.80000001</v>
      </c>
      <c r="X608">
        <v>266439117.80000001</v>
      </c>
      <c r="Y608">
        <v>267499117.80000001</v>
      </c>
      <c r="Z608">
        <v>268599117.80000001</v>
      </c>
      <c r="AA608">
        <v>270179117.80000001</v>
      </c>
      <c r="AB608">
        <v>36809726663.503357</v>
      </c>
      <c r="AC608">
        <v>50705232.1818</v>
      </c>
      <c r="AD608">
        <v>37387091733.840332</v>
      </c>
      <c r="AE608">
        <v>50889871.499799997</v>
      </c>
      <c r="AF608">
        <v>39300016465.291458</v>
      </c>
      <c r="AG608">
        <v>51092331.499799997</v>
      </c>
      <c r="AH608">
        <v>42618554506.017807</v>
      </c>
      <c r="AI608">
        <v>51302431.499799997</v>
      </c>
      <c r="AJ608">
        <v>44626892069.931213</v>
      </c>
      <c r="AK608">
        <v>51604211.499799997</v>
      </c>
    </row>
    <row r="609" spans="1:37" x14ac:dyDescent="0.35">
      <c r="A609" t="s">
        <v>6580</v>
      </c>
      <c r="B609">
        <v>133.66999999999999</v>
      </c>
      <c r="C609" t="s">
        <v>2578</v>
      </c>
      <c r="D609" t="s">
        <v>6581</v>
      </c>
      <c r="E609" t="s">
        <v>6582</v>
      </c>
      <c r="F609">
        <v>6.46E-6</v>
      </c>
      <c r="G609" t="s">
        <v>6583</v>
      </c>
      <c r="H609">
        <v>0.3</v>
      </c>
      <c r="I609">
        <v>0.15</v>
      </c>
      <c r="J609" t="s">
        <v>6584</v>
      </c>
      <c r="K609" t="s">
        <v>6585</v>
      </c>
      <c r="L609" t="s">
        <v>6586</v>
      </c>
      <c r="M609" t="s">
        <v>6587</v>
      </c>
      <c r="N609">
        <v>120409.5762572575</v>
      </c>
      <c r="O609">
        <v>121854.4911723446</v>
      </c>
      <c r="P609">
        <v>127581.6522574448</v>
      </c>
      <c r="Q609">
        <v>137788.18443804039</v>
      </c>
      <c r="R609">
        <v>143437.5</v>
      </c>
      <c r="S609" t="s">
        <v>6588</v>
      </c>
      <c r="T609" t="s">
        <v>6589</v>
      </c>
      <c r="U609" t="s">
        <v>2621</v>
      </c>
      <c r="V609" t="s">
        <v>49</v>
      </c>
      <c r="W609">
        <v>338996155</v>
      </c>
      <c r="X609">
        <v>339500751</v>
      </c>
      <c r="Y609">
        <v>340560751</v>
      </c>
      <c r="Z609">
        <v>341660751</v>
      </c>
      <c r="AA609">
        <v>343660751</v>
      </c>
      <c r="AB609">
        <v>263686756.61147669</v>
      </c>
      <c r="AC609">
        <v>2189.9151612999999</v>
      </c>
      <c r="AD609">
        <v>267248205.5766407</v>
      </c>
      <c r="AE609">
        <v>2193.1748514599999</v>
      </c>
      <c r="AF609">
        <v>280682499.3607409</v>
      </c>
      <c r="AG609">
        <v>2200.02245146</v>
      </c>
      <c r="AH609">
        <v>304116222.1482169</v>
      </c>
      <c r="AI609">
        <v>2207.1284514600002</v>
      </c>
      <c r="AJ609">
        <v>318438199.75629371</v>
      </c>
      <c r="AK609">
        <v>2220.0484514599998</v>
      </c>
    </row>
    <row r="610" spans="1:37" x14ac:dyDescent="0.35">
      <c r="A610" t="s">
        <v>6590</v>
      </c>
      <c r="B610">
        <v>389.55</v>
      </c>
      <c r="C610" t="s">
        <v>2578</v>
      </c>
      <c r="D610" t="s">
        <v>6591</v>
      </c>
      <c r="E610" t="s">
        <v>6592</v>
      </c>
      <c r="F610">
        <v>6.46E-6</v>
      </c>
      <c r="G610" t="s">
        <v>6593</v>
      </c>
      <c r="H610">
        <v>0.3</v>
      </c>
      <c r="I610">
        <v>0.1</v>
      </c>
      <c r="J610" t="s">
        <v>6594</v>
      </c>
      <c r="K610" t="s">
        <v>6595</v>
      </c>
      <c r="L610" t="s">
        <v>6596</v>
      </c>
      <c r="M610" t="s">
        <v>6597</v>
      </c>
      <c r="N610">
        <v>120409.5762572575</v>
      </c>
      <c r="O610">
        <v>121854.4911723446</v>
      </c>
      <c r="P610">
        <v>127581.6522574448</v>
      </c>
      <c r="Q610">
        <v>137788.18443804039</v>
      </c>
      <c r="R610">
        <v>143437.5</v>
      </c>
      <c r="S610" t="s">
        <v>6598</v>
      </c>
      <c r="T610" t="s">
        <v>2643</v>
      </c>
      <c r="U610" t="s">
        <v>6599</v>
      </c>
      <c r="V610" t="s">
        <v>49</v>
      </c>
      <c r="W610">
        <v>338996155</v>
      </c>
      <c r="X610">
        <v>339500751</v>
      </c>
      <c r="Y610">
        <v>340560751</v>
      </c>
      <c r="Z610">
        <v>341660751</v>
      </c>
      <c r="AA610">
        <v>343660751</v>
      </c>
      <c r="AB610">
        <v>263686756.61147669</v>
      </c>
      <c r="AC610">
        <v>2189.9151612999999</v>
      </c>
      <c r="AD610">
        <v>267248205.5766407</v>
      </c>
      <c r="AE610">
        <v>2193.1748514599999</v>
      </c>
      <c r="AF610">
        <v>280682499.3607409</v>
      </c>
      <c r="AG610">
        <v>2200.02245146</v>
      </c>
      <c r="AH610">
        <v>304116222.1482169</v>
      </c>
      <c r="AI610">
        <v>2207.1284514600002</v>
      </c>
      <c r="AJ610">
        <v>318438199.75629371</v>
      </c>
      <c r="AK610">
        <v>2220.0484514599998</v>
      </c>
    </row>
    <row r="611" spans="1:37" x14ac:dyDescent="0.35">
      <c r="A611" t="s">
        <v>6600</v>
      </c>
      <c r="B611">
        <v>73.27</v>
      </c>
      <c r="C611" t="s">
        <v>1019</v>
      </c>
      <c r="D611" t="s">
        <v>6601</v>
      </c>
      <c r="E611" t="s">
        <v>6602</v>
      </c>
      <c r="F611">
        <v>0.28999999999999998</v>
      </c>
      <c r="G611" t="s">
        <v>6603</v>
      </c>
      <c r="H611">
        <v>0.25</v>
      </c>
      <c r="I611">
        <v>0</v>
      </c>
      <c r="J611" t="s">
        <v>6604</v>
      </c>
      <c r="K611" t="s">
        <v>6605</v>
      </c>
      <c r="L611" t="s">
        <v>6606</v>
      </c>
      <c r="M611" t="s">
        <v>6607</v>
      </c>
      <c r="N611">
        <v>349.3072771403954</v>
      </c>
      <c r="O611">
        <v>353.49896446608022</v>
      </c>
      <c r="P611">
        <v>370.11341579598587</v>
      </c>
      <c r="Q611">
        <v>399.72248905966478</v>
      </c>
      <c r="R611">
        <v>416.11111111111109</v>
      </c>
      <c r="S611" t="s">
        <v>6608</v>
      </c>
      <c r="T611" t="s">
        <v>1157</v>
      </c>
      <c r="U611" t="s">
        <v>6609</v>
      </c>
      <c r="V611" t="s">
        <v>1029</v>
      </c>
      <c r="W611">
        <v>139921842</v>
      </c>
      <c r="X611">
        <v>139603232</v>
      </c>
      <c r="Y611">
        <v>140663232</v>
      </c>
      <c r="Z611">
        <v>141763232</v>
      </c>
      <c r="AA611">
        <v>143763232</v>
      </c>
      <c r="AB611">
        <v>14173958116.0317</v>
      </c>
      <c r="AC611">
        <v>40577334.18</v>
      </c>
      <c r="AD611">
        <v>14311383404.954201</v>
      </c>
      <c r="AE611">
        <v>40484937.279999986</v>
      </c>
      <c r="AF611">
        <v>15097791289.002741</v>
      </c>
      <c r="AG611">
        <v>40792337.279999986</v>
      </c>
      <c r="AH611">
        <v>16433126066.13299</v>
      </c>
      <c r="AI611">
        <v>41111337.279999986</v>
      </c>
      <c r="AJ611">
        <v>17348228679.288891</v>
      </c>
      <c r="AK611">
        <v>41691337.279999986</v>
      </c>
    </row>
    <row r="612" spans="1:37" x14ac:dyDescent="0.35">
      <c r="A612" t="s">
        <v>6610</v>
      </c>
      <c r="B612">
        <v>130.04</v>
      </c>
      <c r="C612" t="s">
        <v>4081</v>
      </c>
      <c r="D612" t="s">
        <v>6611</v>
      </c>
      <c r="E612" t="s">
        <v>6612</v>
      </c>
      <c r="F612">
        <v>0.06</v>
      </c>
      <c r="G612" t="s">
        <v>6613</v>
      </c>
      <c r="H612">
        <v>0.1</v>
      </c>
      <c r="I612">
        <v>0.01</v>
      </c>
      <c r="J612" t="s">
        <v>6614</v>
      </c>
      <c r="K612" t="s">
        <v>6615</v>
      </c>
      <c r="L612" t="s">
        <v>6616</v>
      </c>
      <c r="M612" t="s">
        <v>6617</v>
      </c>
      <c r="N612">
        <v>447.71026175538009</v>
      </c>
      <c r="O612">
        <v>453.08278489644471</v>
      </c>
      <c r="P612">
        <v>474.37767578657753</v>
      </c>
      <c r="Q612">
        <v>512.32788984950378</v>
      </c>
      <c r="R612">
        <v>533.33333333333337</v>
      </c>
      <c r="S612" t="s">
        <v>6618</v>
      </c>
      <c r="T612" t="s">
        <v>6619</v>
      </c>
      <c r="U612" t="s">
        <v>6620</v>
      </c>
      <c r="V612" t="s">
        <v>49</v>
      </c>
      <c r="W612">
        <v>338996155</v>
      </c>
      <c r="X612">
        <v>339500751</v>
      </c>
      <c r="Y612">
        <v>340560751</v>
      </c>
      <c r="Z612">
        <v>341660751</v>
      </c>
      <c r="AA612">
        <v>343660751</v>
      </c>
      <c r="AB612">
        <v>9106323437.347044</v>
      </c>
      <c r="AC612">
        <v>20339769.300000001</v>
      </c>
      <c r="AD612">
        <v>9229316744.250864</v>
      </c>
      <c r="AE612">
        <v>20370045.059999999</v>
      </c>
      <c r="AF612">
        <v>9693265051.4106808</v>
      </c>
      <c r="AG612">
        <v>20433645.059999999</v>
      </c>
      <c r="AH612">
        <v>10502539896.253599</v>
      </c>
      <c r="AI612">
        <v>20499645.059999999</v>
      </c>
      <c r="AJ612">
        <v>10997144032</v>
      </c>
      <c r="AK612">
        <v>20619645.059999999</v>
      </c>
    </row>
    <row r="613" spans="1:37" x14ac:dyDescent="0.35">
      <c r="A613" t="s">
        <v>6621</v>
      </c>
      <c r="B613">
        <v>72.900000000000006</v>
      </c>
      <c r="C613" t="s">
        <v>4081</v>
      </c>
      <c r="D613" t="s">
        <v>6622</v>
      </c>
      <c r="E613" t="s">
        <v>6623</v>
      </c>
      <c r="F613">
        <v>0.06</v>
      </c>
      <c r="G613" t="s">
        <v>6624</v>
      </c>
      <c r="H613">
        <v>0.3</v>
      </c>
      <c r="I613">
        <v>0.01</v>
      </c>
      <c r="J613" t="s">
        <v>6625</v>
      </c>
      <c r="K613" t="s">
        <v>6626</v>
      </c>
      <c r="L613" t="s">
        <v>6627</v>
      </c>
      <c r="M613" t="s">
        <v>6628</v>
      </c>
      <c r="N613">
        <v>447.71026175538009</v>
      </c>
      <c r="O613">
        <v>453.08278489644471</v>
      </c>
      <c r="P613">
        <v>474.37767578657753</v>
      </c>
      <c r="Q613">
        <v>512.32788984950378</v>
      </c>
      <c r="R613">
        <v>533.33333333333337</v>
      </c>
      <c r="S613" t="s">
        <v>6629</v>
      </c>
      <c r="T613" t="s">
        <v>6630</v>
      </c>
      <c r="U613" t="s">
        <v>6631</v>
      </c>
      <c r="V613" t="s">
        <v>49</v>
      </c>
      <c r="W613">
        <v>338996155</v>
      </c>
      <c r="X613">
        <v>339500751</v>
      </c>
      <c r="Y613">
        <v>340560751</v>
      </c>
      <c r="Z613">
        <v>341660751</v>
      </c>
      <c r="AA613">
        <v>343660751</v>
      </c>
      <c r="AB613">
        <v>9106323437.347044</v>
      </c>
      <c r="AC613">
        <v>20339769.300000001</v>
      </c>
      <c r="AD613">
        <v>9229316744.250864</v>
      </c>
      <c r="AE613">
        <v>20370045.059999999</v>
      </c>
      <c r="AF613">
        <v>9693265051.4106808</v>
      </c>
      <c r="AG613">
        <v>20433645.059999999</v>
      </c>
      <c r="AH613">
        <v>10502539896.253599</v>
      </c>
      <c r="AI613">
        <v>20499645.059999999</v>
      </c>
      <c r="AJ613">
        <v>10997144032</v>
      </c>
      <c r="AK613">
        <v>20619645.059999999</v>
      </c>
    </row>
    <row r="614" spans="1:37" x14ac:dyDescent="0.35">
      <c r="A614" t="s">
        <v>6632</v>
      </c>
      <c r="B614">
        <v>561.69000000000005</v>
      </c>
      <c r="C614" t="s">
        <v>372</v>
      </c>
      <c r="D614" t="s">
        <v>6633</v>
      </c>
      <c r="E614" t="s">
        <v>6634</v>
      </c>
      <c r="F614">
        <v>5.0000000000000001E-4</v>
      </c>
      <c r="G614" t="s">
        <v>6635</v>
      </c>
      <c r="H614">
        <v>0.5</v>
      </c>
      <c r="J614" t="s">
        <v>6636</v>
      </c>
      <c r="K614" t="s">
        <v>6637</v>
      </c>
      <c r="L614" t="s">
        <v>6638</v>
      </c>
      <c r="M614" t="s">
        <v>6639</v>
      </c>
      <c r="N614">
        <v>6885.5439810146627</v>
      </c>
      <c r="O614">
        <v>6968.1705087868386</v>
      </c>
      <c r="P614">
        <v>7295.6745226998191</v>
      </c>
      <c r="Q614">
        <v>7879.328484515805</v>
      </c>
      <c r="R614">
        <v>8202.3809523809523</v>
      </c>
      <c r="S614" t="s">
        <v>6640</v>
      </c>
      <c r="T614" t="s">
        <v>6641</v>
      </c>
      <c r="U614" t="s">
        <v>6642</v>
      </c>
      <c r="V614" t="s">
        <v>94</v>
      </c>
      <c r="W614">
        <v>265472419.80000001</v>
      </c>
      <c r="X614">
        <v>266439117.80000001</v>
      </c>
      <c r="Y614">
        <v>267499117.80000001</v>
      </c>
      <c r="Z614">
        <v>268599117.80000001</v>
      </c>
      <c r="AA614">
        <v>270179117.80000001</v>
      </c>
      <c r="AB614">
        <v>913961011.13964391</v>
      </c>
      <c r="AC614">
        <v>132736.20989999999</v>
      </c>
      <c r="AD614">
        <v>928296601.52057135</v>
      </c>
      <c r="AE614">
        <v>133219.5589</v>
      </c>
      <c r="AF614">
        <v>975793249.28906894</v>
      </c>
      <c r="AG614">
        <v>133749.5589</v>
      </c>
      <c r="AH614">
        <v>1058190339.8986779</v>
      </c>
      <c r="AI614">
        <v>134299.5589</v>
      </c>
      <c r="AJ614">
        <v>1108056024.7869051</v>
      </c>
      <c r="AK614">
        <v>135089.5589</v>
      </c>
    </row>
    <row r="615" spans="1:37" x14ac:dyDescent="0.35">
      <c r="A615" t="s">
        <v>6643</v>
      </c>
      <c r="B615">
        <v>561.82000000000005</v>
      </c>
      <c r="C615" t="s">
        <v>372</v>
      </c>
      <c r="D615" t="s">
        <v>6644</v>
      </c>
      <c r="E615" t="s">
        <v>6645</v>
      </c>
      <c r="F615">
        <v>5.0000000000000001E-4</v>
      </c>
      <c r="G615" t="s">
        <v>6646</v>
      </c>
      <c r="H615">
        <v>0.25</v>
      </c>
      <c r="I615">
        <v>0.02</v>
      </c>
      <c r="J615" t="s">
        <v>6647</v>
      </c>
      <c r="K615" t="s">
        <v>6648</v>
      </c>
      <c r="L615" t="s">
        <v>6649</v>
      </c>
      <c r="M615" t="s">
        <v>6650</v>
      </c>
      <c r="N615">
        <v>6885.5439810146627</v>
      </c>
      <c r="O615">
        <v>6968.1705087868386</v>
      </c>
      <c r="P615">
        <v>7295.6745226998191</v>
      </c>
      <c r="Q615">
        <v>7879.328484515805</v>
      </c>
      <c r="R615">
        <v>8202.3809523809523</v>
      </c>
      <c r="S615" t="s">
        <v>6651</v>
      </c>
      <c r="T615" t="s">
        <v>6652</v>
      </c>
      <c r="U615" t="s">
        <v>6653</v>
      </c>
      <c r="V615" t="s">
        <v>94</v>
      </c>
      <c r="W615">
        <v>265472419.80000001</v>
      </c>
      <c r="X615">
        <v>266439117.80000001</v>
      </c>
      <c r="Y615">
        <v>267499117.80000001</v>
      </c>
      <c r="Z615">
        <v>268599117.80000001</v>
      </c>
      <c r="AA615">
        <v>270179117.80000001</v>
      </c>
      <c r="AB615">
        <v>913961011.13964391</v>
      </c>
      <c r="AC615">
        <v>132736.20989999999</v>
      </c>
      <c r="AD615">
        <v>928296601.52057135</v>
      </c>
      <c r="AE615">
        <v>133219.5589</v>
      </c>
      <c r="AF615">
        <v>975793249.28906894</v>
      </c>
      <c r="AG615">
        <v>133749.5589</v>
      </c>
      <c r="AH615">
        <v>1058190339.8986779</v>
      </c>
      <c r="AI615">
        <v>134299.5589</v>
      </c>
      <c r="AJ615">
        <v>1108056024.7869051</v>
      </c>
      <c r="AK615">
        <v>135089.5589</v>
      </c>
    </row>
    <row r="616" spans="1:37" x14ac:dyDescent="0.35">
      <c r="A616" t="s">
        <v>6654</v>
      </c>
      <c r="B616">
        <v>39.01</v>
      </c>
      <c r="C616" t="s">
        <v>5748</v>
      </c>
      <c r="D616" t="s">
        <v>6655</v>
      </c>
      <c r="E616" t="s">
        <v>6656</v>
      </c>
      <c r="F616">
        <v>0.15</v>
      </c>
      <c r="G616" t="s">
        <v>6657</v>
      </c>
      <c r="H616">
        <v>0.25</v>
      </c>
      <c r="I616">
        <v>0</v>
      </c>
      <c r="J616" t="s">
        <v>6658</v>
      </c>
      <c r="K616" t="s">
        <v>6659</v>
      </c>
      <c r="L616" t="s">
        <v>6660</v>
      </c>
      <c r="M616" t="s">
        <v>6661</v>
      </c>
      <c r="N616">
        <v>120.0423139331613</v>
      </c>
      <c r="O616">
        <v>121.4828217003592</v>
      </c>
      <c r="P616">
        <v>127.1925143202761</v>
      </c>
      <c r="Q616">
        <v>137.36791546589819</v>
      </c>
      <c r="R616">
        <v>143</v>
      </c>
      <c r="S616" t="s">
        <v>6662</v>
      </c>
      <c r="T616" t="s">
        <v>6663</v>
      </c>
      <c r="U616" t="s">
        <v>6664</v>
      </c>
      <c r="V616" t="s">
        <v>49</v>
      </c>
      <c r="W616">
        <v>338996155</v>
      </c>
      <c r="X616">
        <v>339500751</v>
      </c>
      <c r="Y616">
        <v>340560751</v>
      </c>
      <c r="Z616">
        <v>341660751</v>
      </c>
      <c r="AA616">
        <v>343660751</v>
      </c>
      <c r="AB616">
        <v>6104082429.0966892</v>
      </c>
      <c r="AC616">
        <v>50849423.25</v>
      </c>
      <c r="AD616">
        <v>6186526380.1306562</v>
      </c>
      <c r="AE616">
        <v>50925112.649999999</v>
      </c>
      <c r="AF616">
        <v>6497516729.7737217</v>
      </c>
      <c r="AG616">
        <v>51084112.649999999</v>
      </c>
      <c r="AH616">
        <v>7039983774.2074928</v>
      </c>
      <c r="AI616">
        <v>51249112.649999999</v>
      </c>
      <c r="AJ616">
        <v>7371523108.9499998</v>
      </c>
      <c r="AK616">
        <v>51549112.649999999</v>
      </c>
    </row>
    <row r="617" spans="1:37" x14ac:dyDescent="0.35">
      <c r="A617" t="s">
        <v>6665</v>
      </c>
      <c r="B617">
        <v>60.48</v>
      </c>
      <c r="C617" t="s">
        <v>5748</v>
      </c>
      <c r="D617" t="s">
        <v>6666</v>
      </c>
      <c r="E617" t="s">
        <v>6667</v>
      </c>
      <c r="F617">
        <v>0.15</v>
      </c>
      <c r="G617" t="s">
        <v>6668</v>
      </c>
      <c r="H617">
        <v>0.3</v>
      </c>
      <c r="I617">
        <v>0</v>
      </c>
      <c r="J617" t="s">
        <v>6669</v>
      </c>
      <c r="K617" t="s">
        <v>6670</v>
      </c>
      <c r="L617" t="s">
        <v>6671</v>
      </c>
      <c r="M617" t="s">
        <v>6672</v>
      </c>
      <c r="N617">
        <v>120.0423139331613</v>
      </c>
      <c r="O617">
        <v>121.4828217003592</v>
      </c>
      <c r="P617">
        <v>127.1925143202761</v>
      </c>
      <c r="Q617">
        <v>137.36791546589819</v>
      </c>
      <c r="R617">
        <v>143</v>
      </c>
      <c r="S617" t="s">
        <v>6673</v>
      </c>
      <c r="T617" t="s">
        <v>6674</v>
      </c>
      <c r="U617" t="s">
        <v>6675</v>
      </c>
      <c r="V617" t="s">
        <v>49</v>
      </c>
      <c r="W617">
        <v>338996155</v>
      </c>
      <c r="X617">
        <v>339500751</v>
      </c>
      <c r="Y617">
        <v>340560751</v>
      </c>
      <c r="Z617">
        <v>341660751</v>
      </c>
      <c r="AA617">
        <v>343660751</v>
      </c>
      <c r="AB617">
        <v>6104082429.0966892</v>
      </c>
      <c r="AC617">
        <v>50849423.25</v>
      </c>
      <c r="AD617">
        <v>6186526380.1306562</v>
      </c>
      <c r="AE617">
        <v>50925112.649999999</v>
      </c>
      <c r="AF617">
        <v>6497516729.7737217</v>
      </c>
      <c r="AG617">
        <v>51084112.649999999</v>
      </c>
      <c r="AH617">
        <v>7039983774.2074928</v>
      </c>
      <c r="AI617">
        <v>51249112.649999999</v>
      </c>
      <c r="AJ617">
        <v>7371523108.9499998</v>
      </c>
      <c r="AK617">
        <v>51549112.649999999</v>
      </c>
    </row>
    <row r="618" spans="1:37" x14ac:dyDescent="0.35">
      <c r="A618" t="s">
        <v>6676</v>
      </c>
      <c r="B618">
        <v>1034.17</v>
      </c>
      <c r="C618" t="s">
        <v>487</v>
      </c>
      <c r="D618" t="s">
        <v>6677</v>
      </c>
      <c r="E618" t="s">
        <v>6678</v>
      </c>
      <c r="F618">
        <v>2.8000000000000001E-2</v>
      </c>
      <c r="G618" t="s">
        <v>6679</v>
      </c>
      <c r="H618">
        <v>30.25</v>
      </c>
      <c r="I618">
        <v>5.15</v>
      </c>
      <c r="J618" t="s">
        <v>6680</v>
      </c>
      <c r="K618" t="s">
        <v>6681</v>
      </c>
      <c r="L618" t="s">
        <v>6682</v>
      </c>
      <c r="M618" t="s">
        <v>6683</v>
      </c>
      <c r="N618">
        <v>4761.448013576749</v>
      </c>
      <c r="O618">
        <v>4818.5853897396701</v>
      </c>
      <c r="P618">
        <v>5045.0589030574338</v>
      </c>
      <c r="Q618">
        <v>5448.663615302029</v>
      </c>
      <c r="R618">
        <v>5672.0588235294117</v>
      </c>
      <c r="S618" t="s">
        <v>621</v>
      </c>
      <c r="T618" t="s">
        <v>6684</v>
      </c>
      <c r="U618" t="s">
        <v>6685</v>
      </c>
      <c r="V618" t="s">
        <v>94</v>
      </c>
      <c r="W618">
        <v>265472419.80000001</v>
      </c>
      <c r="X618">
        <v>266439117.80000001</v>
      </c>
      <c r="Y618">
        <v>267499117.80000001</v>
      </c>
      <c r="Z618">
        <v>268599117.80000001</v>
      </c>
      <c r="AA618">
        <v>270179117.80000001</v>
      </c>
      <c r="AB618">
        <v>35392927525.651443</v>
      </c>
      <c r="AC618">
        <v>7433227.7544000009</v>
      </c>
      <c r="AD618">
        <v>35948069928.013786</v>
      </c>
      <c r="AE618">
        <v>7460295.2984000007</v>
      </c>
      <c r="AF618">
        <v>37787366562.873177</v>
      </c>
      <c r="AG618">
        <v>7489975.2984000007</v>
      </c>
      <c r="AH618">
        <v>40978174727.254341</v>
      </c>
      <c r="AI618">
        <v>7520775.2984000007</v>
      </c>
      <c r="AJ618">
        <v>42909211773.424713</v>
      </c>
      <c r="AK618">
        <v>7565015.2984000007</v>
      </c>
    </row>
    <row r="619" spans="1:37" x14ac:dyDescent="0.35">
      <c r="A619" t="s">
        <v>6686</v>
      </c>
      <c r="B619">
        <v>66.400000000000006</v>
      </c>
      <c r="C619" t="s">
        <v>243</v>
      </c>
      <c r="D619" t="s">
        <v>6687</v>
      </c>
      <c r="E619" t="s">
        <v>6688</v>
      </c>
      <c r="F619">
        <v>0.45</v>
      </c>
      <c r="G619" t="s">
        <v>6689</v>
      </c>
      <c r="H619">
        <v>0.3</v>
      </c>
      <c r="I619">
        <v>7.1</v>
      </c>
      <c r="J619" t="s">
        <v>6690</v>
      </c>
      <c r="K619" t="s">
        <v>6691</v>
      </c>
      <c r="L619" t="s">
        <v>6692</v>
      </c>
      <c r="M619" t="s">
        <v>6693</v>
      </c>
      <c r="N619">
        <v>207.765543345856</v>
      </c>
      <c r="O619">
        <v>210.25872986600629</v>
      </c>
      <c r="P619">
        <v>220.1408901697086</v>
      </c>
      <c r="Q619">
        <v>237.75216138328531</v>
      </c>
      <c r="R619">
        <v>247.5</v>
      </c>
      <c r="S619" t="s">
        <v>6694</v>
      </c>
      <c r="T619" t="s">
        <v>6695</v>
      </c>
      <c r="U619" t="s">
        <v>6696</v>
      </c>
      <c r="V619" t="s">
        <v>49</v>
      </c>
      <c r="W619">
        <v>338996155</v>
      </c>
      <c r="X619">
        <v>339500751</v>
      </c>
      <c r="Y619">
        <v>340560751</v>
      </c>
      <c r="Z619">
        <v>341660751</v>
      </c>
      <c r="AA619">
        <v>343660751</v>
      </c>
      <c r="AB619">
        <v>31694274151.07896</v>
      </c>
      <c r="AC619">
        <v>152548269.75</v>
      </c>
      <c r="AD619">
        <v>32122348512.216869</v>
      </c>
      <c r="AE619">
        <v>152775337.94999999</v>
      </c>
      <c r="AF619">
        <v>33737106096.90202</v>
      </c>
      <c r="AG619">
        <v>153252337.94999999</v>
      </c>
      <c r="AH619">
        <v>36553761904.53891</v>
      </c>
      <c r="AI619">
        <v>153747337.94999999</v>
      </c>
      <c r="AJ619">
        <v>38275216142.625</v>
      </c>
      <c r="AK619">
        <v>154647337.94999999</v>
      </c>
    </row>
    <row r="620" spans="1:37" x14ac:dyDescent="0.35">
      <c r="A620" t="s">
        <v>6697</v>
      </c>
      <c r="B620">
        <v>62.76</v>
      </c>
      <c r="C620" t="s">
        <v>406</v>
      </c>
      <c r="D620" t="s">
        <v>6698</v>
      </c>
      <c r="E620" t="s">
        <v>6699</v>
      </c>
      <c r="F620">
        <v>4.5999999999999999E-2</v>
      </c>
      <c r="G620" t="s">
        <v>6700</v>
      </c>
      <c r="H620">
        <v>0.2</v>
      </c>
      <c r="I620">
        <v>52.55</v>
      </c>
      <c r="J620" t="s">
        <v>6701</v>
      </c>
      <c r="K620" t="s">
        <v>6702</v>
      </c>
      <c r="L620" t="s">
        <v>6703</v>
      </c>
      <c r="M620" t="s">
        <v>6704</v>
      </c>
      <c r="N620">
        <v>963.93530786561541</v>
      </c>
      <c r="O620">
        <v>975.50253156000281</v>
      </c>
      <c r="P620">
        <v>1021.351150543323</v>
      </c>
      <c r="Q620">
        <v>1103.059242586789</v>
      </c>
      <c r="R620">
        <v>1148.2846715328469</v>
      </c>
      <c r="S620" t="s">
        <v>6705</v>
      </c>
      <c r="T620" t="s">
        <v>6706</v>
      </c>
      <c r="U620" t="s">
        <v>6707</v>
      </c>
      <c r="V620" t="s">
        <v>94</v>
      </c>
      <c r="W620">
        <v>265472419.80000001</v>
      </c>
      <c r="X620">
        <v>266439117.80000001</v>
      </c>
      <c r="Y620">
        <v>267499117.80000001</v>
      </c>
      <c r="Z620">
        <v>268599117.80000001</v>
      </c>
      <c r="AA620">
        <v>270179117.80000001</v>
      </c>
      <c r="AB620">
        <v>11771318980.64817</v>
      </c>
      <c r="AC620">
        <v>12211731.310799999</v>
      </c>
      <c r="AD620">
        <v>11955953560.343639</v>
      </c>
      <c r="AE620">
        <v>12256199.4188</v>
      </c>
      <c r="AF620">
        <v>12567684459.780279</v>
      </c>
      <c r="AG620">
        <v>12304959.4188</v>
      </c>
      <c r="AH620">
        <v>13628914014.237591</v>
      </c>
      <c r="AI620">
        <v>12355559.4188</v>
      </c>
      <c r="AJ620">
        <v>14271156818.748341</v>
      </c>
      <c r="AK620">
        <v>12428239.4188</v>
      </c>
    </row>
    <row r="621" spans="1:37" x14ac:dyDescent="0.35">
      <c r="A621" t="s">
        <v>6708</v>
      </c>
      <c r="B621">
        <v>38.29</v>
      </c>
      <c r="C621" t="s">
        <v>406</v>
      </c>
      <c r="D621" t="s">
        <v>6709</v>
      </c>
      <c r="E621" t="s">
        <v>6710</v>
      </c>
      <c r="F621">
        <v>4.5999999999999999E-2</v>
      </c>
      <c r="G621" t="s">
        <v>6711</v>
      </c>
      <c r="H621">
        <v>0.25</v>
      </c>
      <c r="I621">
        <v>0.05</v>
      </c>
      <c r="J621" t="s">
        <v>6712</v>
      </c>
      <c r="K621" t="s">
        <v>6713</v>
      </c>
      <c r="L621" t="s">
        <v>6714</v>
      </c>
      <c r="M621" t="s">
        <v>6715</v>
      </c>
      <c r="N621">
        <v>963.93530786561541</v>
      </c>
      <c r="O621">
        <v>975.50253156000281</v>
      </c>
      <c r="P621">
        <v>1021.351150543323</v>
      </c>
      <c r="Q621">
        <v>1103.059242586789</v>
      </c>
      <c r="R621">
        <v>1148.2846715328469</v>
      </c>
      <c r="S621" t="s">
        <v>6716</v>
      </c>
      <c r="T621" t="s">
        <v>6717</v>
      </c>
      <c r="U621" t="s">
        <v>6718</v>
      </c>
      <c r="V621" t="s">
        <v>94</v>
      </c>
      <c r="W621">
        <v>265472419.80000001</v>
      </c>
      <c r="X621">
        <v>266439117.80000001</v>
      </c>
      <c r="Y621">
        <v>267499117.80000001</v>
      </c>
      <c r="Z621">
        <v>268599117.80000001</v>
      </c>
      <c r="AA621">
        <v>270179117.80000001</v>
      </c>
      <c r="AB621">
        <v>11771318980.64817</v>
      </c>
      <c r="AC621">
        <v>12211731.310799999</v>
      </c>
      <c r="AD621">
        <v>11955953560.343639</v>
      </c>
      <c r="AE621">
        <v>12256199.4188</v>
      </c>
      <c r="AF621">
        <v>12567684459.780279</v>
      </c>
      <c r="AG621">
        <v>12304959.4188</v>
      </c>
      <c r="AH621">
        <v>13628914014.237591</v>
      </c>
      <c r="AI621">
        <v>12355559.4188</v>
      </c>
      <c r="AJ621">
        <v>14271156818.748341</v>
      </c>
      <c r="AK621">
        <v>12428239.4188</v>
      </c>
    </row>
    <row r="622" spans="1:37" x14ac:dyDescent="0.35">
      <c r="A622" t="s">
        <v>6719</v>
      </c>
      <c r="B622">
        <v>346.91</v>
      </c>
      <c r="C622" t="s">
        <v>487</v>
      </c>
      <c r="D622" t="s">
        <v>6720</v>
      </c>
      <c r="E622" t="s">
        <v>6721</v>
      </c>
      <c r="F622">
        <v>2.8000000000000001E-2</v>
      </c>
      <c r="G622" t="s">
        <v>6722</v>
      </c>
      <c r="H622">
        <v>0.6</v>
      </c>
      <c r="I622">
        <v>0.15</v>
      </c>
      <c r="J622" t="s">
        <v>6723</v>
      </c>
      <c r="K622" t="s">
        <v>6724</v>
      </c>
      <c r="L622" t="s">
        <v>6725</v>
      </c>
      <c r="M622" t="s">
        <v>6726</v>
      </c>
      <c r="N622">
        <v>4761.448013576749</v>
      </c>
      <c r="O622">
        <v>4818.5853897396701</v>
      </c>
      <c r="P622">
        <v>5045.0589030574338</v>
      </c>
      <c r="Q622">
        <v>5448.663615302029</v>
      </c>
      <c r="R622">
        <v>5672.0588235294117</v>
      </c>
      <c r="S622" t="s">
        <v>6727</v>
      </c>
      <c r="T622" t="s">
        <v>6728</v>
      </c>
      <c r="U622" t="s">
        <v>5672</v>
      </c>
      <c r="V622" t="s">
        <v>94</v>
      </c>
      <c r="W622">
        <v>265472419.80000001</v>
      </c>
      <c r="X622">
        <v>266439117.80000001</v>
      </c>
      <c r="Y622">
        <v>267499117.80000001</v>
      </c>
      <c r="Z622">
        <v>268599117.80000001</v>
      </c>
      <c r="AA622">
        <v>270179117.80000001</v>
      </c>
      <c r="AB622">
        <v>35392927525.651443</v>
      </c>
      <c r="AC622">
        <v>7433227.7544000009</v>
      </c>
      <c r="AD622">
        <v>35948069928.013786</v>
      </c>
      <c r="AE622">
        <v>7460295.2984000007</v>
      </c>
      <c r="AF622">
        <v>37787366562.873177</v>
      </c>
      <c r="AG622">
        <v>7489975.2984000007</v>
      </c>
      <c r="AH622">
        <v>40978174727.254341</v>
      </c>
      <c r="AI622">
        <v>7520775.2984000007</v>
      </c>
      <c r="AJ622">
        <v>42909211773.424713</v>
      </c>
      <c r="AK622">
        <v>7565015.2984000007</v>
      </c>
    </row>
    <row r="623" spans="1:37" x14ac:dyDescent="0.35">
      <c r="A623" t="s">
        <v>6729</v>
      </c>
      <c r="B623">
        <v>391.14</v>
      </c>
      <c r="C623" t="s">
        <v>487</v>
      </c>
      <c r="D623" t="s">
        <v>6730</v>
      </c>
      <c r="E623" t="s">
        <v>5222</v>
      </c>
      <c r="F623">
        <v>2.8000000000000001E-2</v>
      </c>
      <c r="G623" t="s">
        <v>6731</v>
      </c>
      <c r="H623">
        <v>0.3</v>
      </c>
      <c r="I623">
        <v>0.15</v>
      </c>
      <c r="J623" t="s">
        <v>6732</v>
      </c>
      <c r="K623" t="s">
        <v>6733</v>
      </c>
      <c r="L623" t="s">
        <v>6734</v>
      </c>
      <c r="M623" t="s">
        <v>6735</v>
      </c>
      <c r="N623">
        <v>4761.448013576749</v>
      </c>
      <c r="O623">
        <v>4818.5853897396701</v>
      </c>
      <c r="P623">
        <v>5045.0589030574338</v>
      </c>
      <c r="Q623">
        <v>5448.663615302029</v>
      </c>
      <c r="R623">
        <v>5672.0588235294117</v>
      </c>
      <c r="S623" t="s">
        <v>6736</v>
      </c>
      <c r="T623" t="s">
        <v>6737</v>
      </c>
      <c r="U623" t="s">
        <v>6738</v>
      </c>
      <c r="V623" t="s">
        <v>94</v>
      </c>
      <c r="W623">
        <v>265472419.80000001</v>
      </c>
      <c r="X623">
        <v>266439117.80000001</v>
      </c>
      <c r="Y623">
        <v>267499117.80000001</v>
      </c>
      <c r="Z623">
        <v>268599117.80000001</v>
      </c>
      <c r="AA623">
        <v>270179117.80000001</v>
      </c>
      <c r="AB623">
        <v>35392927525.651443</v>
      </c>
      <c r="AC623">
        <v>7433227.7544000009</v>
      </c>
      <c r="AD623">
        <v>35948069928.013786</v>
      </c>
      <c r="AE623">
        <v>7460295.2984000007</v>
      </c>
      <c r="AF623">
        <v>37787366562.873177</v>
      </c>
      <c r="AG623">
        <v>7489975.2984000007</v>
      </c>
      <c r="AH623">
        <v>40978174727.254341</v>
      </c>
      <c r="AI623">
        <v>7520775.2984000007</v>
      </c>
      <c r="AJ623">
        <v>42909211773.424713</v>
      </c>
      <c r="AK623">
        <v>7565015.2984000007</v>
      </c>
    </row>
    <row r="624" spans="1:37" x14ac:dyDescent="0.35">
      <c r="A624" t="s">
        <v>6739</v>
      </c>
      <c r="B624">
        <v>439.3</v>
      </c>
      <c r="C624" t="s">
        <v>487</v>
      </c>
      <c r="D624" t="s">
        <v>6740</v>
      </c>
      <c r="E624" t="s">
        <v>6741</v>
      </c>
      <c r="F624">
        <v>2.8000000000000001E-2</v>
      </c>
      <c r="G624" t="s">
        <v>6742</v>
      </c>
      <c r="H624">
        <v>0.4</v>
      </c>
      <c r="I624">
        <v>0.15</v>
      </c>
      <c r="J624" t="s">
        <v>6743</v>
      </c>
      <c r="K624" t="s">
        <v>6744</v>
      </c>
      <c r="L624" t="s">
        <v>6745</v>
      </c>
      <c r="M624" t="s">
        <v>6746</v>
      </c>
      <c r="N624">
        <v>4761.448013576749</v>
      </c>
      <c r="O624">
        <v>4818.5853897396701</v>
      </c>
      <c r="P624">
        <v>5045.0589030574338</v>
      </c>
      <c r="Q624">
        <v>5448.663615302029</v>
      </c>
      <c r="R624">
        <v>5672.0588235294117</v>
      </c>
      <c r="S624" t="s">
        <v>6747</v>
      </c>
      <c r="T624" t="s">
        <v>6748</v>
      </c>
      <c r="U624" t="s">
        <v>6749</v>
      </c>
      <c r="V624" t="s">
        <v>94</v>
      </c>
      <c r="W624">
        <v>265472419.80000001</v>
      </c>
      <c r="X624">
        <v>266439117.80000001</v>
      </c>
      <c r="Y624">
        <v>267499117.80000001</v>
      </c>
      <c r="Z624">
        <v>268599117.80000001</v>
      </c>
      <c r="AA624">
        <v>270179117.80000001</v>
      </c>
      <c r="AB624">
        <v>35392927525.651443</v>
      </c>
      <c r="AC624">
        <v>7433227.7544000009</v>
      </c>
      <c r="AD624">
        <v>35948069928.013786</v>
      </c>
      <c r="AE624">
        <v>7460295.2984000007</v>
      </c>
      <c r="AF624">
        <v>37787366562.873177</v>
      </c>
      <c r="AG624">
        <v>7489975.2984000007</v>
      </c>
      <c r="AH624">
        <v>40978174727.254341</v>
      </c>
      <c r="AI624">
        <v>7520775.2984000007</v>
      </c>
      <c r="AJ624">
        <v>42909211773.424713</v>
      </c>
      <c r="AK624">
        <v>7565015.2984000007</v>
      </c>
    </row>
    <row r="625" spans="1:37" x14ac:dyDescent="0.35">
      <c r="A625" t="s">
        <v>6750</v>
      </c>
      <c r="B625">
        <v>161.88999999999999</v>
      </c>
      <c r="C625" t="s">
        <v>886</v>
      </c>
      <c r="D625" t="s">
        <v>6751</v>
      </c>
      <c r="E625" t="s">
        <v>6752</v>
      </c>
      <c r="F625">
        <v>4.5999999999999999E-2</v>
      </c>
      <c r="G625" t="s">
        <v>6753</v>
      </c>
      <c r="H625">
        <v>3020.3</v>
      </c>
      <c r="I625">
        <v>501020.2</v>
      </c>
      <c r="J625" t="s">
        <v>6754</v>
      </c>
      <c r="K625" t="s">
        <v>6755</v>
      </c>
      <c r="L625" t="s">
        <v>6756</v>
      </c>
      <c r="M625" t="s">
        <v>6757</v>
      </c>
      <c r="N625">
        <v>963.93530786561541</v>
      </c>
      <c r="O625">
        <v>975.50253156000281</v>
      </c>
      <c r="P625">
        <v>1021.351150543323</v>
      </c>
      <c r="Q625">
        <v>1103.059242586789</v>
      </c>
      <c r="R625">
        <v>1148.2846715328469</v>
      </c>
      <c r="S625" t="s">
        <v>6758</v>
      </c>
      <c r="T625" t="s">
        <v>6759</v>
      </c>
      <c r="U625" t="s">
        <v>6760</v>
      </c>
      <c r="V625" t="s">
        <v>94</v>
      </c>
      <c r="W625">
        <v>265472419.80000001</v>
      </c>
      <c r="X625">
        <v>266439117.80000001</v>
      </c>
      <c r="Y625">
        <v>267499117.80000001</v>
      </c>
      <c r="Z625">
        <v>268599117.80000001</v>
      </c>
      <c r="AA625">
        <v>270179117.80000001</v>
      </c>
      <c r="AB625">
        <v>11771318980.64817</v>
      </c>
      <c r="AC625">
        <v>12211731.310799999</v>
      </c>
      <c r="AD625">
        <v>11955953560.343639</v>
      </c>
      <c r="AE625">
        <v>12256199.4188</v>
      </c>
      <c r="AF625">
        <v>12567684459.780279</v>
      </c>
      <c r="AG625">
        <v>12304959.4188</v>
      </c>
      <c r="AH625">
        <v>13628914014.237591</v>
      </c>
      <c r="AI625">
        <v>12355559.4188</v>
      </c>
      <c r="AJ625">
        <v>14271156818.748341</v>
      </c>
      <c r="AK625">
        <v>12428239.4188</v>
      </c>
    </row>
    <row r="626" spans="1:37" x14ac:dyDescent="0.35">
      <c r="A626" t="s">
        <v>6761</v>
      </c>
      <c r="B626">
        <v>494.55</v>
      </c>
      <c r="C626" t="s">
        <v>1356</v>
      </c>
      <c r="D626" t="s">
        <v>6762</v>
      </c>
      <c r="E626" t="s">
        <v>6763</v>
      </c>
      <c r="F626">
        <v>1.5E-3</v>
      </c>
      <c r="G626" t="s">
        <v>6764</v>
      </c>
      <c r="H626">
        <v>30.5</v>
      </c>
      <c r="I626">
        <v>40.6</v>
      </c>
      <c r="J626" t="s">
        <v>6765</v>
      </c>
      <c r="K626" t="s">
        <v>6766</v>
      </c>
      <c r="L626" t="s">
        <v>6767</v>
      </c>
      <c r="M626" t="s">
        <v>6768</v>
      </c>
      <c r="N626">
        <v>49587.908902459727</v>
      </c>
      <c r="O626">
        <v>50182.963809289249</v>
      </c>
      <c r="P626">
        <v>52541.563108325841</v>
      </c>
      <c r="Q626">
        <v>56744.88815699191</v>
      </c>
      <c r="R626">
        <v>59071.428571428572</v>
      </c>
      <c r="S626" t="s">
        <v>6769</v>
      </c>
      <c r="T626" t="s">
        <v>6770</v>
      </c>
      <c r="U626" t="s">
        <v>6771</v>
      </c>
      <c r="V626" t="s">
        <v>49</v>
      </c>
      <c r="W626">
        <v>338996155</v>
      </c>
      <c r="X626">
        <v>339500751</v>
      </c>
      <c r="Y626">
        <v>340560751</v>
      </c>
      <c r="Z626">
        <v>341660751</v>
      </c>
      <c r="AA626">
        <v>343660751</v>
      </c>
      <c r="AB626">
        <v>25215165678.636181</v>
      </c>
      <c r="AC626">
        <v>508494.23249999998</v>
      </c>
      <c r="AD626">
        <v>25555730850.989281</v>
      </c>
      <c r="AE626">
        <v>509251.12650000001</v>
      </c>
      <c r="AF626">
        <v>26840391286.328018</v>
      </c>
      <c r="AG626">
        <v>510841.12650000001</v>
      </c>
      <c r="AH626">
        <v>29081251654.693291</v>
      </c>
      <c r="AI626">
        <v>512491.12650000001</v>
      </c>
      <c r="AJ626">
        <v>30450797258.25</v>
      </c>
      <c r="AK626">
        <v>515491.12650000001</v>
      </c>
    </row>
    <row r="627" spans="1:37" x14ac:dyDescent="0.35">
      <c r="A627" t="s">
        <v>6772</v>
      </c>
      <c r="B627">
        <v>1772.86</v>
      </c>
      <c r="C627" t="s">
        <v>1055</v>
      </c>
      <c r="D627" t="s">
        <v>6773</v>
      </c>
      <c r="E627" t="s">
        <v>6774</v>
      </c>
      <c r="F627">
        <v>5.1999999999999998E-3</v>
      </c>
      <c r="G627" t="s">
        <v>6775</v>
      </c>
      <c r="H627">
        <v>0.5</v>
      </c>
      <c r="I627">
        <v>700</v>
      </c>
      <c r="J627" t="s">
        <v>6776</v>
      </c>
      <c r="K627" t="s">
        <v>6777</v>
      </c>
      <c r="L627" t="s">
        <v>6778</v>
      </c>
      <c r="M627" t="s">
        <v>6779</v>
      </c>
      <c r="N627">
        <v>470.62043530614358</v>
      </c>
      <c r="O627">
        <v>476.26788052981732</v>
      </c>
      <c r="P627">
        <v>498.65247091471872</v>
      </c>
      <c r="Q627">
        <v>538.54466858789624</v>
      </c>
      <c r="R627">
        <v>560.625</v>
      </c>
      <c r="S627" t="s">
        <v>6780</v>
      </c>
      <c r="T627" t="s">
        <v>6781</v>
      </c>
      <c r="U627" t="s">
        <v>3884</v>
      </c>
      <c r="V627" t="s">
        <v>49</v>
      </c>
      <c r="W627">
        <v>338996155</v>
      </c>
      <c r="X627">
        <v>339500751</v>
      </c>
      <c r="Y627">
        <v>340560751</v>
      </c>
      <c r="Z627">
        <v>341660751</v>
      </c>
      <c r="AA627">
        <v>343660751</v>
      </c>
      <c r="AB627">
        <v>829600293.77268636</v>
      </c>
      <c r="AC627">
        <v>1762780.0060000001</v>
      </c>
      <c r="AD627">
        <v>840805176.20866656</v>
      </c>
      <c r="AE627">
        <v>1765403.9051999999</v>
      </c>
      <c r="AF627">
        <v>883071591.91015577</v>
      </c>
      <c r="AG627">
        <v>1770915.9051999999</v>
      </c>
      <c r="AH627">
        <v>956797794.76729095</v>
      </c>
      <c r="AI627">
        <v>1776635.9051999999</v>
      </c>
      <c r="AJ627">
        <v>1001857004.3527499</v>
      </c>
      <c r="AK627">
        <v>1787035.9051999999</v>
      </c>
    </row>
    <row r="628" spans="1:37" x14ac:dyDescent="0.35">
      <c r="A628" t="s">
        <v>6782</v>
      </c>
      <c r="B628">
        <v>568.79</v>
      </c>
      <c r="C628" t="s">
        <v>290</v>
      </c>
      <c r="D628" t="s">
        <v>6783</v>
      </c>
      <c r="E628" t="s">
        <v>6784</v>
      </c>
      <c r="F628">
        <v>1.6E-2</v>
      </c>
      <c r="G628" t="s">
        <v>6785</v>
      </c>
      <c r="H628">
        <v>0.3</v>
      </c>
      <c r="I628">
        <v>1.02</v>
      </c>
      <c r="J628" t="s">
        <v>6786</v>
      </c>
      <c r="K628" t="s">
        <v>6787</v>
      </c>
      <c r="L628" t="s">
        <v>6788</v>
      </c>
      <c r="M628" t="s">
        <v>6789</v>
      </c>
      <c r="N628">
        <v>582.68173772575199</v>
      </c>
      <c r="O628">
        <v>589.67391857846098</v>
      </c>
      <c r="P628">
        <v>617.38859275164862</v>
      </c>
      <c r="Q628">
        <v>666.77968017178057</v>
      </c>
      <c r="R628">
        <v>694.11764705882354</v>
      </c>
      <c r="S628" t="s">
        <v>6790</v>
      </c>
      <c r="T628" t="s">
        <v>1388</v>
      </c>
      <c r="U628" t="s">
        <v>6791</v>
      </c>
      <c r="V628" t="s">
        <v>49</v>
      </c>
      <c r="W628">
        <v>338996155</v>
      </c>
      <c r="X628">
        <v>339500751</v>
      </c>
      <c r="Y628">
        <v>340560751</v>
      </c>
      <c r="Z628">
        <v>341660751</v>
      </c>
      <c r="AA628">
        <v>343660751</v>
      </c>
      <c r="AB628">
        <v>3160429898.8439741</v>
      </c>
      <c r="AC628">
        <v>5423938.4800000004</v>
      </c>
      <c r="AD628">
        <v>3203115811.240005</v>
      </c>
      <c r="AE628">
        <v>5432012.0159999998</v>
      </c>
      <c r="AF628">
        <v>3364133164.9013538</v>
      </c>
      <c r="AG628">
        <v>5448972.0159999998</v>
      </c>
      <c r="AH628">
        <v>3644999140.4644861</v>
      </c>
      <c r="AI628">
        <v>5466572.0159999998</v>
      </c>
      <c r="AJ628">
        <v>3816655869.9294109</v>
      </c>
      <c r="AK628">
        <v>5498572.0159999998</v>
      </c>
    </row>
    <row r="629" spans="1:37" x14ac:dyDescent="0.35">
      <c r="A629" t="s">
        <v>6792</v>
      </c>
      <c r="B629">
        <v>568.79</v>
      </c>
      <c r="C629" t="s">
        <v>290</v>
      </c>
      <c r="D629" t="s">
        <v>6793</v>
      </c>
      <c r="E629" t="s">
        <v>6794</v>
      </c>
      <c r="F629">
        <v>1.6E-2</v>
      </c>
      <c r="G629" t="s">
        <v>6795</v>
      </c>
      <c r="H629">
        <v>0.3</v>
      </c>
      <c r="I629">
        <v>1.02</v>
      </c>
      <c r="J629" t="s">
        <v>6796</v>
      </c>
      <c r="K629" t="s">
        <v>6797</v>
      </c>
      <c r="L629" t="s">
        <v>6798</v>
      </c>
      <c r="M629" t="s">
        <v>6799</v>
      </c>
      <c r="N629">
        <v>582.68173772575199</v>
      </c>
      <c r="O629">
        <v>589.67391857846098</v>
      </c>
      <c r="P629">
        <v>617.38859275164862</v>
      </c>
      <c r="Q629">
        <v>666.77968017178057</v>
      </c>
      <c r="R629">
        <v>694.11764705882354</v>
      </c>
      <c r="S629" t="s">
        <v>6800</v>
      </c>
      <c r="T629" t="s">
        <v>6801</v>
      </c>
      <c r="U629" t="s">
        <v>6802</v>
      </c>
      <c r="V629" t="s">
        <v>49</v>
      </c>
      <c r="W629">
        <v>338996155</v>
      </c>
      <c r="X629">
        <v>339500751</v>
      </c>
      <c r="Y629">
        <v>340560751</v>
      </c>
      <c r="Z629">
        <v>341660751</v>
      </c>
      <c r="AA629">
        <v>343660751</v>
      </c>
      <c r="AB629">
        <v>3160429898.8439741</v>
      </c>
      <c r="AC629">
        <v>5423938.4800000004</v>
      </c>
      <c r="AD629">
        <v>3203115811.240005</v>
      </c>
      <c r="AE629">
        <v>5432012.0159999998</v>
      </c>
      <c r="AF629">
        <v>3364133164.9013538</v>
      </c>
      <c r="AG629">
        <v>5448972.0159999998</v>
      </c>
      <c r="AH629">
        <v>3644999140.4644861</v>
      </c>
      <c r="AI629">
        <v>5466572.0159999998</v>
      </c>
      <c r="AJ629">
        <v>3816655869.9294109</v>
      </c>
      <c r="AK629">
        <v>5498572.0159999998</v>
      </c>
    </row>
    <row r="630" spans="1:37" x14ac:dyDescent="0.35">
      <c r="A630" t="s">
        <v>6803</v>
      </c>
      <c r="B630">
        <v>568.79</v>
      </c>
      <c r="C630" t="s">
        <v>290</v>
      </c>
      <c r="D630" t="s">
        <v>6804</v>
      </c>
      <c r="E630" t="s">
        <v>6805</v>
      </c>
      <c r="F630">
        <v>1.6E-2</v>
      </c>
      <c r="G630" t="s">
        <v>6806</v>
      </c>
      <c r="H630">
        <v>0.2</v>
      </c>
      <c r="I630">
        <v>1.02</v>
      </c>
      <c r="J630" t="s">
        <v>6807</v>
      </c>
      <c r="K630" t="s">
        <v>6808</v>
      </c>
      <c r="L630" t="s">
        <v>6809</v>
      </c>
      <c r="M630" t="s">
        <v>6810</v>
      </c>
      <c r="N630">
        <v>582.68173772575199</v>
      </c>
      <c r="O630">
        <v>589.67391857846098</v>
      </c>
      <c r="P630">
        <v>617.38859275164862</v>
      </c>
      <c r="Q630">
        <v>666.77968017178057</v>
      </c>
      <c r="R630">
        <v>694.11764705882354</v>
      </c>
      <c r="S630" t="s">
        <v>6811</v>
      </c>
      <c r="T630" t="s">
        <v>6812</v>
      </c>
      <c r="U630" t="s">
        <v>6813</v>
      </c>
      <c r="V630" t="s">
        <v>49</v>
      </c>
      <c r="W630">
        <v>338996155</v>
      </c>
      <c r="X630">
        <v>339500751</v>
      </c>
      <c r="Y630">
        <v>340560751</v>
      </c>
      <c r="Z630">
        <v>341660751</v>
      </c>
      <c r="AA630">
        <v>343660751</v>
      </c>
      <c r="AB630">
        <v>3160429898.8439741</v>
      </c>
      <c r="AC630">
        <v>5423938.4800000004</v>
      </c>
      <c r="AD630">
        <v>3203115811.240005</v>
      </c>
      <c r="AE630">
        <v>5432012.0159999998</v>
      </c>
      <c r="AF630">
        <v>3364133164.9013538</v>
      </c>
      <c r="AG630">
        <v>5448972.0159999998</v>
      </c>
      <c r="AH630">
        <v>3644999140.4644861</v>
      </c>
      <c r="AI630">
        <v>5466572.0159999998</v>
      </c>
      <c r="AJ630">
        <v>3816655869.9294109</v>
      </c>
      <c r="AK630">
        <v>5498572.0159999998</v>
      </c>
    </row>
    <row r="631" spans="1:37" x14ac:dyDescent="0.35">
      <c r="A631" t="s">
        <v>6814</v>
      </c>
      <c r="B631">
        <v>3294.98</v>
      </c>
      <c r="C631" t="s">
        <v>6815</v>
      </c>
      <c r="D631" t="s">
        <v>6816</v>
      </c>
      <c r="E631" t="s">
        <v>6817</v>
      </c>
      <c r="F631">
        <v>5.9999999999999995E-4</v>
      </c>
      <c r="G631" t="s">
        <v>6818</v>
      </c>
      <c r="H631">
        <v>0.2</v>
      </c>
      <c r="I631">
        <v>0</v>
      </c>
      <c r="J631" t="s">
        <v>6819</v>
      </c>
      <c r="K631" t="s">
        <v>6820</v>
      </c>
      <c r="L631" t="s">
        <v>6821</v>
      </c>
      <c r="M631" t="s">
        <v>6822</v>
      </c>
      <c r="N631">
        <v>3147.9627779675161</v>
      </c>
      <c r="O631">
        <v>3185.738331303126</v>
      </c>
      <c r="P631">
        <v>3335.468032874373</v>
      </c>
      <c r="Q631">
        <v>3602.3054755043231</v>
      </c>
      <c r="R631">
        <v>3750</v>
      </c>
      <c r="S631" t="s">
        <v>6823</v>
      </c>
      <c r="T631" t="s">
        <v>6824</v>
      </c>
      <c r="U631" t="s">
        <v>6825</v>
      </c>
      <c r="V631" s="2">
        <v>45931</v>
      </c>
    </row>
    <row r="632" spans="1:37" x14ac:dyDescent="0.35">
      <c r="A632" t="s">
        <v>6826</v>
      </c>
      <c r="B632">
        <v>601.72</v>
      </c>
      <c r="C632" t="s">
        <v>2917</v>
      </c>
      <c r="D632" t="s">
        <v>6827</v>
      </c>
      <c r="E632" t="s">
        <v>6828</v>
      </c>
      <c r="F632">
        <v>1.3999999999999999E-4</v>
      </c>
      <c r="G632" t="s">
        <v>6829</v>
      </c>
      <c r="H632">
        <v>0.45</v>
      </c>
      <c r="I632">
        <v>5.14</v>
      </c>
      <c r="J632" t="s">
        <v>6830</v>
      </c>
      <c r="K632" t="s">
        <v>6831</v>
      </c>
      <c r="L632" t="s">
        <v>6832</v>
      </c>
      <c r="M632" t="s">
        <v>6833</v>
      </c>
      <c r="N632">
        <v>77020.155967605227</v>
      </c>
      <c r="O632">
        <v>77944.397839216486</v>
      </c>
      <c r="P632">
        <v>81607.784537659652</v>
      </c>
      <c r="Q632">
        <v>88136.407300672436</v>
      </c>
      <c r="R632">
        <v>91750</v>
      </c>
      <c r="S632" t="s">
        <v>6834</v>
      </c>
      <c r="T632" t="s">
        <v>6835</v>
      </c>
      <c r="U632" t="s">
        <v>6836</v>
      </c>
      <c r="V632" t="s">
        <v>49</v>
      </c>
      <c r="W632">
        <v>338996155</v>
      </c>
      <c r="X632">
        <v>339500751</v>
      </c>
      <c r="Y632">
        <v>340560751</v>
      </c>
      <c r="Z632">
        <v>341660751</v>
      </c>
      <c r="AA632">
        <v>343660751</v>
      </c>
      <c r="AB632">
        <v>3655335142.2725859</v>
      </c>
      <c r="AC632">
        <v>47459.461699999993</v>
      </c>
      <c r="AD632">
        <v>3704705424.3719478</v>
      </c>
      <c r="AE632">
        <v>47530.105139999992</v>
      </c>
      <c r="AF632">
        <v>3890937174.5428181</v>
      </c>
      <c r="AG632">
        <v>47678.505139999987</v>
      </c>
      <c r="AH632">
        <v>4215785155.230547</v>
      </c>
      <c r="AI632">
        <v>47832.505139999987</v>
      </c>
      <c r="AJ632">
        <v>4414322346.5949993</v>
      </c>
      <c r="AK632">
        <v>48112.505139999987</v>
      </c>
    </row>
    <row r="633" spans="1:37" x14ac:dyDescent="0.35">
      <c r="A633" t="s">
        <v>6837</v>
      </c>
      <c r="B633">
        <v>501.65</v>
      </c>
      <c r="C633" t="s">
        <v>255</v>
      </c>
      <c r="D633" t="s">
        <v>6838</v>
      </c>
      <c r="E633" t="s">
        <v>6839</v>
      </c>
      <c r="F633">
        <v>4.1999999999999998E-5</v>
      </c>
      <c r="G633" t="s">
        <v>6840</v>
      </c>
      <c r="H633">
        <v>0.7</v>
      </c>
      <c r="I633">
        <v>26.25</v>
      </c>
      <c r="J633" t="s">
        <v>6841</v>
      </c>
      <c r="K633" t="s">
        <v>6842</v>
      </c>
      <c r="L633" t="s">
        <v>6843</v>
      </c>
      <c r="M633" t="s">
        <v>6844</v>
      </c>
      <c r="N633">
        <v>118710.1325836446</v>
      </c>
      <c r="O633">
        <v>120134.6541746483</v>
      </c>
      <c r="P633">
        <v>125780.9829208568</v>
      </c>
      <c r="Q633">
        <v>135843.46155452539</v>
      </c>
      <c r="R633">
        <v>141413.04347826089</v>
      </c>
      <c r="S633" t="s">
        <v>6845</v>
      </c>
      <c r="T633" t="s">
        <v>6846</v>
      </c>
      <c r="U633" t="s">
        <v>6847</v>
      </c>
      <c r="V633" t="s">
        <v>94</v>
      </c>
      <c r="W633">
        <v>265472419.80000001</v>
      </c>
      <c r="X633">
        <v>266439117.80000001</v>
      </c>
      <c r="Y633">
        <v>267499117.80000001</v>
      </c>
      <c r="Z633">
        <v>268599117.80000001</v>
      </c>
      <c r="AA633">
        <v>270179117.80000001</v>
      </c>
      <c r="AB633">
        <v>1323599178.3738761</v>
      </c>
      <c r="AC633">
        <v>11149.8416316</v>
      </c>
      <c r="AD633">
        <v>1344359993.571058</v>
      </c>
      <c r="AE633">
        <v>11190.4429476</v>
      </c>
      <c r="AF633">
        <v>1413144682.628535</v>
      </c>
      <c r="AG633">
        <v>11234.962947599999</v>
      </c>
      <c r="AH633">
        <v>1532472225.162637</v>
      </c>
      <c r="AI633">
        <v>11281.1629476</v>
      </c>
      <c r="AJ633">
        <v>1604687755.959522</v>
      </c>
      <c r="AK633">
        <v>11347.5229476</v>
      </c>
    </row>
    <row r="634" spans="1:37" x14ac:dyDescent="0.35">
      <c r="A634" t="s">
        <v>6848</v>
      </c>
      <c r="B634">
        <v>9359.9599999999991</v>
      </c>
      <c r="C634" t="s">
        <v>1079</v>
      </c>
      <c r="D634" t="s">
        <v>6849</v>
      </c>
      <c r="E634" t="s">
        <v>6850</v>
      </c>
      <c r="F634">
        <v>5.3999999999999998E-5</v>
      </c>
      <c r="G634" t="s">
        <v>6851</v>
      </c>
      <c r="H634">
        <v>0.7</v>
      </c>
      <c r="I634">
        <v>102.55</v>
      </c>
      <c r="J634" t="s">
        <v>6852</v>
      </c>
      <c r="K634" t="s">
        <v>6853</v>
      </c>
      <c r="L634" t="s">
        <v>6854</v>
      </c>
      <c r="M634" t="s">
        <v>6855</v>
      </c>
      <c r="N634">
        <v>115616.08748171599</v>
      </c>
      <c r="O634">
        <v>117003.48053149661</v>
      </c>
      <c r="P634">
        <v>122502.64411647691</v>
      </c>
      <c r="Q634">
        <v>132302.85564579509</v>
      </c>
      <c r="R634">
        <v>137727.27272727271</v>
      </c>
      <c r="S634" t="s">
        <v>6856</v>
      </c>
      <c r="T634" t="s">
        <v>6857</v>
      </c>
      <c r="U634" t="s">
        <v>2982</v>
      </c>
      <c r="V634" t="s">
        <v>1090</v>
      </c>
      <c r="W634">
        <v>125425284</v>
      </c>
      <c r="X634">
        <v>126003478.59999999</v>
      </c>
      <c r="Y634">
        <v>126003478.59999999</v>
      </c>
      <c r="Z634">
        <v>126103478.59999999</v>
      </c>
      <c r="AA634">
        <v>126103478.59999999</v>
      </c>
      <c r="AB634">
        <v>783063752.79760611</v>
      </c>
      <c r="AC634">
        <v>6772.9653359999993</v>
      </c>
      <c r="AD634">
        <v>796113659.98490131</v>
      </c>
      <c r="AE634">
        <v>6804.1878443999994</v>
      </c>
      <c r="AF634">
        <v>833531002.00419164</v>
      </c>
      <c r="AG634">
        <v>6804.1878443999994</v>
      </c>
      <c r="AH634">
        <v>900927917.58501434</v>
      </c>
      <c r="AI634">
        <v>6809.5878443999991</v>
      </c>
      <c r="AJ634">
        <v>937865962.20599973</v>
      </c>
      <c r="AK634">
        <v>6809.5878443999991</v>
      </c>
    </row>
    <row r="635" spans="1:37" x14ac:dyDescent="0.35">
      <c r="A635" t="s">
        <v>6858</v>
      </c>
      <c r="B635">
        <v>433.49</v>
      </c>
      <c r="C635" t="s">
        <v>6859</v>
      </c>
      <c r="D635" t="s">
        <v>6860</v>
      </c>
      <c r="E635" t="s">
        <v>6861</v>
      </c>
      <c r="F635">
        <v>2.5000000000000001E-2</v>
      </c>
      <c r="G635" t="s">
        <v>6862</v>
      </c>
      <c r="H635">
        <v>0.3</v>
      </c>
      <c r="J635" t="s">
        <v>6863</v>
      </c>
      <c r="K635" t="s">
        <v>6864</v>
      </c>
      <c r="L635" t="s">
        <v>6865</v>
      </c>
      <c r="M635" t="s">
        <v>6866</v>
      </c>
      <c r="N635">
        <v>629.59255559350322</v>
      </c>
      <c r="O635">
        <v>637.14766626062521</v>
      </c>
      <c r="P635">
        <v>667.09360657487457</v>
      </c>
      <c r="Q635">
        <v>720.46109510086455</v>
      </c>
      <c r="R635">
        <v>750</v>
      </c>
      <c r="S635" t="s">
        <v>6867</v>
      </c>
      <c r="T635" t="s">
        <v>6868</v>
      </c>
      <c r="U635" t="s">
        <v>6869</v>
      </c>
      <c r="V635" t="s">
        <v>94</v>
      </c>
      <c r="W635">
        <v>265472419.80000001</v>
      </c>
      <c r="X635">
        <v>266439117.80000001</v>
      </c>
      <c r="Y635">
        <v>267499117.80000001</v>
      </c>
      <c r="Z635">
        <v>268599117.80000001</v>
      </c>
      <c r="AA635">
        <v>270179117.80000001</v>
      </c>
      <c r="AB635">
        <v>4178486480.5368328</v>
      </c>
      <c r="AC635">
        <v>6636810.495000001</v>
      </c>
      <c r="AD635">
        <v>4244026552.6702461</v>
      </c>
      <c r="AE635">
        <v>6660977.9450000003</v>
      </c>
      <c r="AF635">
        <v>4461173781.2199812</v>
      </c>
      <c r="AG635">
        <v>6687477.9450000003</v>
      </c>
      <c r="AH635">
        <v>4837880363.8328533</v>
      </c>
      <c r="AI635">
        <v>6714977.9450000003</v>
      </c>
      <c r="AJ635">
        <v>5065858458.75</v>
      </c>
      <c r="AK635">
        <v>6754477.9450000003</v>
      </c>
    </row>
    <row r="636" spans="1:37" x14ac:dyDescent="0.35">
      <c r="A636" t="s">
        <v>6870</v>
      </c>
      <c r="B636">
        <v>76.81</v>
      </c>
      <c r="C636" t="s">
        <v>2436</v>
      </c>
      <c r="D636" t="s">
        <v>6871</v>
      </c>
      <c r="E636" t="s">
        <v>6872</v>
      </c>
      <c r="F636">
        <v>1.4999999999999999E-2</v>
      </c>
      <c r="G636" t="s">
        <v>6873</v>
      </c>
      <c r="H636">
        <v>0.2</v>
      </c>
      <c r="I636">
        <v>5.0999999999999996</v>
      </c>
      <c r="J636" t="s">
        <v>6874</v>
      </c>
      <c r="K636" t="s">
        <v>6875</v>
      </c>
      <c r="L636" t="s">
        <v>6876</v>
      </c>
      <c r="M636" t="s">
        <v>6877</v>
      </c>
      <c r="N636">
        <v>2999.6587537610458</v>
      </c>
      <c r="O636">
        <v>3035.6546588061792</v>
      </c>
      <c r="P636">
        <v>3178.330427770069</v>
      </c>
      <c r="Q636">
        <v>3432.5968619916748</v>
      </c>
      <c r="R636">
        <v>3573.333333333333</v>
      </c>
      <c r="S636" t="s">
        <v>6878</v>
      </c>
      <c r="T636" t="s">
        <v>6879</v>
      </c>
      <c r="U636" t="s">
        <v>6880</v>
      </c>
      <c r="V636" t="s">
        <v>49</v>
      </c>
      <c r="W636">
        <v>338996155</v>
      </c>
      <c r="X636">
        <v>339500751</v>
      </c>
      <c r="Y636">
        <v>340560751</v>
      </c>
      <c r="Z636">
        <v>341660751</v>
      </c>
      <c r="AA636">
        <v>343660751</v>
      </c>
      <c r="AB636">
        <v>15253091757.556299</v>
      </c>
      <c r="AC636">
        <v>5084942.3250000002</v>
      </c>
      <c r="AD636">
        <v>15459105546.620199</v>
      </c>
      <c r="AE636">
        <v>5092511.2649999997</v>
      </c>
      <c r="AF636">
        <v>16236218961.11289</v>
      </c>
      <c r="AG636">
        <v>5108411.2649999997</v>
      </c>
      <c r="AH636">
        <v>17591754326.224781</v>
      </c>
      <c r="AI636">
        <v>5124911.2649999997</v>
      </c>
      <c r="AJ636">
        <v>18420216253.599998</v>
      </c>
      <c r="AK636">
        <v>5154911.2649999997</v>
      </c>
    </row>
    <row r="637" spans="1:37" x14ac:dyDescent="0.35">
      <c r="A637" t="s">
        <v>6881</v>
      </c>
      <c r="B637">
        <v>364.83</v>
      </c>
      <c r="C637" t="s">
        <v>1006</v>
      </c>
      <c r="D637" t="s">
        <v>6882</v>
      </c>
      <c r="E637" t="s">
        <v>6883</v>
      </c>
      <c r="F637">
        <v>2.5000000000000001E-5</v>
      </c>
      <c r="G637" t="s">
        <v>6884</v>
      </c>
      <c r="H637">
        <v>0.9</v>
      </c>
      <c r="I637">
        <v>0.15</v>
      </c>
      <c r="J637" t="s">
        <v>6885</v>
      </c>
      <c r="K637" t="s">
        <v>6886</v>
      </c>
      <c r="L637" t="s">
        <v>6887</v>
      </c>
      <c r="M637" t="s">
        <v>6888</v>
      </c>
      <c r="N637">
        <v>16395.639468580812</v>
      </c>
      <c r="O637">
        <v>16592.387142203781</v>
      </c>
      <c r="P637">
        <v>17372.229337887358</v>
      </c>
      <c r="Q637">
        <v>18762.00768491835</v>
      </c>
      <c r="R637">
        <v>19531.25</v>
      </c>
      <c r="S637" t="s">
        <v>6889</v>
      </c>
      <c r="T637" t="s">
        <v>6890</v>
      </c>
      <c r="U637" t="s">
        <v>1623</v>
      </c>
      <c r="V637" t="s">
        <v>1017</v>
      </c>
      <c r="W637">
        <v>331357816</v>
      </c>
      <c r="X637">
        <v>331968553.60000002</v>
      </c>
      <c r="Y637">
        <v>333028553.60000002</v>
      </c>
      <c r="Z637">
        <v>334128553.60000002</v>
      </c>
      <c r="AA637">
        <v>336128553.60000002</v>
      </c>
      <c r="AB637">
        <v>135820582.15580839</v>
      </c>
      <c r="AC637">
        <v>8283.9454000000005</v>
      </c>
      <c r="AD637">
        <v>137703769.00921571</v>
      </c>
      <c r="AE637">
        <v>8299.2138400000003</v>
      </c>
      <c r="AF637">
        <v>144636210.23010281</v>
      </c>
      <c r="AG637">
        <v>8325.7138400000003</v>
      </c>
      <c r="AH637">
        <v>156723062.2598463</v>
      </c>
      <c r="AI637">
        <v>8353.2138400000003</v>
      </c>
      <c r="AJ637">
        <v>164125270.3125</v>
      </c>
      <c r="AK637">
        <v>8403.2138400000003</v>
      </c>
    </row>
    <row r="638" spans="1:37" x14ac:dyDescent="0.35">
      <c r="A638" t="s">
        <v>6891</v>
      </c>
      <c r="B638">
        <v>729.67</v>
      </c>
      <c r="C638" t="s">
        <v>1006</v>
      </c>
      <c r="D638" t="s">
        <v>6892</v>
      </c>
      <c r="E638" t="s">
        <v>6893</v>
      </c>
      <c r="F638">
        <v>2.5000000000000001E-5</v>
      </c>
      <c r="G638" t="s">
        <v>6894</v>
      </c>
      <c r="H638">
        <v>0.5</v>
      </c>
      <c r="I638">
        <v>0.15</v>
      </c>
      <c r="J638" t="s">
        <v>6895</v>
      </c>
      <c r="K638" t="s">
        <v>6896</v>
      </c>
      <c r="L638" t="s">
        <v>6897</v>
      </c>
      <c r="M638" t="s">
        <v>6898</v>
      </c>
      <c r="N638">
        <v>16395.639468580812</v>
      </c>
      <c r="O638">
        <v>16592.387142203781</v>
      </c>
      <c r="P638">
        <v>17372.229337887358</v>
      </c>
      <c r="Q638">
        <v>18762.00768491835</v>
      </c>
      <c r="R638">
        <v>19531.25</v>
      </c>
      <c r="S638" t="s">
        <v>6899</v>
      </c>
      <c r="T638" t="s">
        <v>6900</v>
      </c>
      <c r="U638" t="s">
        <v>6901</v>
      </c>
      <c r="V638" t="s">
        <v>1017</v>
      </c>
      <c r="W638">
        <v>331357816</v>
      </c>
      <c r="X638">
        <v>331968553.60000002</v>
      </c>
      <c r="Y638">
        <v>333028553.60000002</v>
      </c>
      <c r="Z638">
        <v>334128553.60000002</v>
      </c>
      <c r="AA638">
        <v>336128553.60000002</v>
      </c>
      <c r="AB638">
        <v>135820582.15580839</v>
      </c>
      <c r="AC638">
        <v>8283.9454000000005</v>
      </c>
      <c r="AD638">
        <v>137703769.00921571</v>
      </c>
      <c r="AE638">
        <v>8299.2138400000003</v>
      </c>
      <c r="AF638">
        <v>144636210.23010281</v>
      </c>
      <c r="AG638">
        <v>8325.7138400000003</v>
      </c>
      <c r="AH638">
        <v>156723062.2598463</v>
      </c>
      <c r="AI638">
        <v>8353.2138400000003</v>
      </c>
      <c r="AJ638">
        <v>164125270.3125</v>
      </c>
      <c r="AK638">
        <v>8403.2138400000003</v>
      </c>
    </row>
    <row r="639" spans="1:37" x14ac:dyDescent="0.35">
      <c r="A639" t="s">
        <v>6902</v>
      </c>
      <c r="B639">
        <v>961.52</v>
      </c>
      <c r="C639" t="s">
        <v>1006</v>
      </c>
      <c r="D639" t="s">
        <v>6903</v>
      </c>
      <c r="E639" t="s">
        <v>6904</v>
      </c>
      <c r="F639">
        <v>2.5000000000000001E-5</v>
      </c>
      <c r="G639" t="s">
        <v>6905</v>
      </c>
      <c r="H639">
        <v>0.5</v>
      </c>
      <c r="I639">
        <v>0.26</v>
      </c>
      <c r="J639" t="s">
        <v>6906</v>
      </c>
      <c r="K639" t="s">
        <v>6907</v>
      </c>
      <c r="L639" t="s">
        <v>6908</v>
      </c>
      <c r="M639" t="s">
        <v>6909</v>
      </c>
      <c r="N639">
        <v>16395.639468580812</v>
      </c>
      <c r="O639">
        <v>16592.387142203781</v>
      </c>
      <c r="P639">
        <v>17372.229337887358</v>
      </c>
      <c r="Q639">
        <v>18762.00768491835</v>
      </c>
      <c r="R639">
        <v>19531.25</v>
      </c>
      <c r="S639" t="s">
        <v>6910</v>
      </c>
      <c r="T639" t="s">
        <v>6911</v>
      </c>
      <c r="U639" t="s">
        <v>6912</v>
      </c>
      <c r="V639" t="s">
        <v>1017</v>
      </c>
      <c r="W639">
        <v>331357816</v>
      </c>
      <c r="X639">
        <v>331968553.60000002</v>
      </c>
      <c r="Y639">
        <v>333028553.60000002</v>
      </c>
      <c r="Z639">
        <v>334128553.60000002</v>
      </c>
      <c r="AA639">
        <v>336128553.60000002</v>
      </c>
      <c r="AB639">
        <v>135820582.15580839</v>
      </c>
      <c r="AC639">
        <v>8283.9454000000005</v>
      </c>
      <c r="AD639">
        <v>137703769.00921571</v>
      </c>
      <c r="AE639">
        <v>8299.2138400000003</v>
      </c>
      <c r="AF639">
        <v>144636210.23010281</v>
      </c>
      <c r="AG639">
        <v>8325.7138400000003</v>
      </c>
      <c r="AH639">
        <v>156723062.2598463</v>
      </c>
      <c r="AI639">
        <v>8353.2138400000003</v>
      </c>
      <c r="AJ639">
        <v>164125270.3125</v>
      </c>
      <c r="AK639">
        <v>8403.2138400000003</v>
      </c>
    </row>
    <row r="640" spans="1:37" x14ac:dyDescent="0.35">
      <c r="A640" t="s">
        <v>6913</v>
      </c>
      <c r="B640">
        <v>27.86</v>
      </c>
      <c r="C640" t="s">
        <v>487</v>
      </c>
      <c r="D640" t="s">
        <v>6914</v>
      </c>
      <c r="E640" t="s">
        <v>6915</v>
      </c>
      <c r="F640">
        <v>2.8000000000000001E-2</v>
      </c>
      <c r="G640" t="s">
        <v>6916</v>
      </c>
      <c r="H640">
        <v>0.7</v>
      </c>
      <c r="I640">
        <v>15.2</v>
      </c>
      <c r="J640" t="s">
        <v>6917</v>
      </c>
      <c r="K640" t="s">
        <v>6918</v>
      </c>
      <c r="L640" t="s">
        <v>6919</v>
      </c>
      <c r="M640" t="s">
        <v>6920</v>
      </c>
      <c r="N640">
        <v>4761.448013576749</v>
      </c>
      <c r="O640">
        <v>4818.5853897396701</v>
      </c>
      <c r="P640">
        <v>5045.0589030574338</v>
      </c>
      <c r="Q640">
        <v>5448.663615302029</v>
      </c>
      <c r="R640">
        <v>5672.0588235294117</v>
      </c>
      <c r="S640" t="s">
        <v>6921</v>
      </c>
      <c r="T640" t="s">
        <v>6922</v>
      </c>
      <c r="U640" t="s">
        <v>6923</v>
      </c>
      <c r="V640" t="s">
        <v>94</v>
      </c>
      <c r="W640">
        <v>265472419.80000001</v>
      </c>
      <c r="X640">
        <v>266439117.80000001</v>
      </c>
      <c r="Y640">
        <v>267499117.80000001</v>
      </c>
      <c r="Z640">
        <v>268599117.80000001</v>
      </c>
      <c r="AA640">
        <v>270179117.80000001</v>
      </c>
      <c r="AB640">
        <v>35392927525.651443</v>
      </c>
      <c r="AC640">
        <v>7433227.7544000009</v>
      </c>
      <c r="AD640">
        <v>35948069928.013786</v>
      </c>
      <c r="AE640">
        <v>7460295.2984000007</v>
      </c>
      <c r="AF640">
        <v>37787366562.873177</v>
      </c>
      <c r="AG640">
        <v>7489975.2984000007</v>
      </c>
      <c r="AH640">
        <v>40978174727.254341</v>
      </c>
      <c r="AI640">
        <v>7520775.2984000007</v>
      </c>
      <c r="AJ640">
        <v>42909211773.424713</v>
      </c>
      <c r="AK640">
        <v>7565015.2984000007</v>
      </c>
    </row>
    <row r="641" spans="1:37" x14ac:dyDescent="0.35">
      <c r="A641" t="s">
        <v>6924</v>
      </c>
      <c r="B641">
        <v>40.98</v>
      </c>
      <c r="C641" t="s">
        <v>208</v>
      </c>
      <c r="D641" t="s">
        <v>6925</v>
      </c>
      <c r="E641" t="s">
        <v>6926</v>
      </c>
      <c r="F641">
        <v>3.1E-2</v>
      </c>
      <c r="G641" t="s">
        <v>6927</v>
      </c>
      <c r="H641">
        <v>0.4</v>
      </c>
      <c r="J641" t="s">
        <v>6928</v>
      </c>
      <c r="K641" t="s">
        <v>6929</v>
      </c>
      <c r="L641" t="s">
        <v>6930</v>
      </c>
      <c r="M641" t="s">
        <v>6931</v>
      </c>
      <c r="N641">
        <v>1106.1651733936201</v>
      </c>
      <c r="O641">
        <v>1119.4391554743429</v>
      </c>
      <c r="P641">
        <v>1172.0527957816371</v>
      </c>
      <c r="Q641">
        <v>1265.817019444168</v>
      </c>
      <c r="R641">
        <v>1317.7155172413791</v>
      </c>
      <c r="S641" t="s">
        <v>6932</v>
      </c>
      <c r="T641" t="s">
        <v>6933</v>
      </c>
      <c r="U641" t="s">
        <v>218</v>
      </c>
      <c r="V641" t="s">
        <v>94</v>
      </c>
      <c r="W641">
        <v>265472419.80000001</v>
      </c>
      <c r="X641">
        <v>266439117.80000001</v>
      </c>
      <c r="Y641">
        <v>267499117.80000001</v>
      </c>
      <c r="Z641">
        <v>268599117.80000001</v>
      </c>
      <c r="AA641">
        <v>270179117.80000001</v>
      </c>
      <c r="AB641">
        <v>9103346703.6580143</v>
      </c>
      <c r="AC641">
        <v>8229645.0138000008</v>
      </c>
      <c r="AD641">
        <v>9246133811.4761925</v>
      </c>
      <c r="AE641">
        <v>8259612.6518000001</v>
      </c>
      <c r="AF641">
        <v>9719215755.4849567</v>
      </c>
      <c r="AG641">
        <v>8292472.6518000001</v>
      </c>
      <c r="AH641">
        <v>10539917376.2868</v>
      </c>
      <c r="AI641">
        <v>8326572.6518000001</v>
      </c>
      <c r="AJ641">
        <v>11036595694.749041</v>
      </c>
      <c r="AK641">
        <v>8375552.6518000001</v>
      </c>
    </row>
    <row r="642" spans="1:37" x14ac:dyDescent="0.35">
      <c r="A642" t="s">
        <v>6934</v>
      </c>
      <c r="B642">
        <v>20.81</v>
      </c>
      <c r="C642" t="s">
        <v>231</v>
      </c>
      <c r="D642" t="s">
        <v>6935</v>
      </c>
      <c r="E642" t="s">
        <v>6936</v>
      </c>
      <c r="F642">
        <v>0.191</v>
      </c>
      <c r="G642" t="s">
        <v>6937</v>
      </c>
      <c r="H642">
        <v>0.2</v>
      </c>
      <c r="I642">
        <v>0.15</v>
      </c>
      <c r="J642" t="s">
        <v>6938</v>
      </c>
      <c r="K642" t="s">
        <v>6939</v>
      </c>
      <c r="L642" t="s">
        <v>6940</v>
      </c>
      <c r="M642" t="s">
        <v>6941</v>
      </c>
      <c r="N642">
        <v>725.9551939635088</v>
      </c>
      <c r="O642">
        <v>734.66665629107092</v>
      </c>
      <c r="P642">
        <v>769.19598913675122</v>
      </c>
      <c r="Q642">
        <v>830.73166826769136</v>
      </c>
      <c r="R642">
        <v>864.79166666666663</v>
      </c>
      <c r="S642" t="s">
        <v>6942</v>
      </c>
      <c r="T642" t="s">
        <v>6943</v>
      </c>
      <c r="U642" t="s">
        <v>3768</v>
      </c>
      <c r="V642" t="s">
        <v>94</v>
      </c>
      <c r="W642">
        <v>265472419.80000001</v>
      </c>
      <c r="X642">
        <v>266439117.80000001</v>
      </c>
      <c r="Y642">
        <v>267499117.80000001</v>
      </c>
      <c r="Z642">
        <v>268599117.80000001</v>
      </c>
      <c r="AA642">
        <v>270179117.80000001</v>
      </c>
      <c r="AB642">
        <v>36809726663.503357</v>
      </c>
      <c r="AC642">
        <v>50705232.1818</v>
      </c>
      <c r="AD642">
        <v>37387091733.840332</v>
      </c>
      <c r="AE642">
        <v>50889871.499799997</v>
      </c>
      <c r="AF642">
        <v>39300016465.291458</v>
      </c>
      <c r="AG642">
        <v>51092331.499799997</v>
      </c>
      <c r="AH642">
        <v>42618554506.017807</v>
      </c>
      <c r="AI642">
        <v>51302431.499799997</v>
      </c>
      <c r="AJ642">
        <v>44626892069.931213</v>
      </c>
      <c r="AK642">
        <v>51604211.499799997</v>
      </c>
    </row>
    <row r="643" spans="1:37" x14ac:dyDescent="0.35">
      <c r="A643" t="s">
        <v>6944</v>
      </c>
      <c r="B643">
        <v>6.62</v>
      </c>
      <c r="C643" t="s">
        <v>38</v>
      </c>
      <c r="D643" t="s">
        <v>6945</v>
      </c>
      <c r="E643" t="s">
        <v>6946</v>
      </c>
      <c r="F643">
        <v>1.0000000000000001E-5</v>
      </c>
      <c r="G643" t="s">
        <v>6947</v>
      </c>
      <c r="H643">
        <v>1020.3</v>
      </c>
      <c r="I643">
        <v>63000</v>
      </c>
      <c r="J643" t="s">
        <v>6948</v>
      </c>
      <c r="K643" t="s">
        <v>6949</v>
      </c>
      <c r="L643" t="s">
        <v>6950</v>
      </c>
      <c r="M643" t="s">
        <v>6951</v>
      </c>
      <c r="N643">
        <v>105785.82010430199</v>
      </c>
      <c r="O643">
        <v>107055.2499455536</v>
      </c>
      <c r="P643">
        <v>112086.8466929946</v>
      </c>
      <c r="Q643">
        <v>121053.79442843419</v>
      </c>
      <c r="R643">
        <v>126017</v>
      </c>
      <c r="S643" t="s">
        <v>6952</v>
      </c>
      <c r="T643" t="s">
        <v>6953</v>
      </c>
      <c r="U643" t="s">
        <v>6954</v>
      </c>
      <c r="V643" t="s">
        <v>49</v>
      </c>
      <c r="W643">
        <v>338996155</v>
      </c>
      <c r="X643">
        <v>339500751</v>
      </c>
      <c r="Y643">
        <v>340560751</v>
      </c>
      <c r="Z643">
        <v>341660751</v>
      </c>
      <c r="AA643">
        <v>343660751</v>
      </c>
      <c r="AB643">
        <v>358609862.68880081</v>
      </c>
      <c r="AC643">
        <v>3389.96155</v>
      </c>
      <c r="AD643">
        <v>363453377.55008161</v>
      </c>
      <c r="AE643">
        <v>3395.0075099999999</v>
      </c>
      <c r="AF643">
        <v>381723806.86988121</v>
      </c>
      <c r="AG643">
        <v>3405.6075099999998</v>
      </c>
      <c r="AH643">
        <v>413593303.15818453</v>
      </c>
      <c r="AI643">
        <v>3416.6075099999998</v>
      </c>
      <c r="AJ643">
        <v>433070968.58767003</v>
      </c>
      <c r="AK643">
        <v>3436.6075099999998</v>
      </c>
    </row>
    <row r="644" spans="1:37" x14ac:dyDescent="0.35">
      <c r="A644" t="s">
        <v>6955</v>
      </c>
      <c r="B644">
        <v>14.86</v>
      </c>
      <c r="C644" t="s">
        <v>208</v>
      </c>
      <c r="D644" t="s">
        <v>6956</v>
      </c>
      <c r="E644" t="s">
        <v>6957</v>
      </c>
      <c r="F644">
        <v>3.1E-2</v>
      </c>
      <c r="G644" t="s">
        <v>6958</v>
      </c>
      <c r="H644">
        <v>0.25</v>
      </c>
      <c r="J644" t="s">
        <v>6959</v>
      </c>
      <c r="K644" t="s">
        <v>6960</v>
      </c>
      <c r="L644" t="s">
        <v>6961</v>
      </c>
      <c r="M644" t="s">
        <v>6962</v>
      </c>
      <c r="N644">
        <v>1106.1651733936201</v>
      </c>
      <c r="O644">
        <v>1119.4391554743429</v>
      </c>
      <c r="P644">
        <v>1172.0527957816371</v>
      </c>
      <c r="Q644">
        <v>1265.817019444168</v>
      </c>
      <c r="R644">
        <v>1317.7155172413791</v>
      </c>
      <c r="S644" t="s">
        <v>6963</v>
      </c>
      <c r="T644" t="s">
        <v>6964</v>
      </c>
      <c r="U644" t="s">
        <v>6965</v>
      </c>
      <c r="V644" t="s">
        <v>94</v>
      </c>
      <c r="W644">
        <v>265472419.80000001</v>
      </c>
      <c r="X644">
        <v>266439117.80000001</v>
      </c>
      <c r="Y644">
        <v>267499117.80000001</v>
      </c>
      <c r="Z644">
        <v>268599117.80000001</v>
      </c>
      <c r="AA644">
        <v>270179117.80000001</v>
      </c>
      <c r="AB644">
        <v>9103346703.6580143</v>
      </c>
      <c r="AC644">
        <v>8229645.0138000008</v>
      </c>
      <c r="AD644">
        <v>9246133811.4761925</v>
      </c>
      <c r="AE644">
        <v>8259612.6518000001</v>
      </c>
      <c r="AF644">
        <v>9719215755.4849567</v>
      </c>
      <c r="AG644">
        <v>8292472.6518000001</v>
      </c>
      <c r="AH644">
        <v>10539917376.2868</v>
      </c>
      <c r="AI644">
        <v>8326572.6518000001</v>
      </c>
      <c r="AJ644">
        <v>11036595694.749041</v>
      </c>
      <c r="AK644">
        <v>8375552.6518000001</v>
      </c>
    </row>
    <row r="645" spans="1:37" x14ac:dyDescent="0.35">
      <c r="A645" t="s">
        <v>6966</v>
      </c>
      <c r="B645">
        <v>54.76</v>
      </c>
      <c r="C645" t="s">
        <v>208</v>
      </c>
      <c r="D645" t="s">
        <v>6967</v>
      </c>
      <c r="E645" t="s">
        <v>6968</v>
      </c>
      <c r="F645">
        <v>3.1E-2</v>
      </c>
      <c r="G645" t="s">
        <v>6969</v>
      </c>
      <c r="H645">
        <v>0.5</v>
      </c>
      <c r="I645">
        <v>0.01</v>
      </c>
      <c r="J645" t="s">
        <v>6970</v>
      </c>
      <c r="K645" t="s">
        <v>6971</v>
      </c>
      <c r="L645" t="s">
        <v>6972</v>
      </c>
      <c r="M645" t="s">
        <v>6973</v>
      </c>
      <c r="N645">
        <v>1106.1651733936201</v>
      </c>
      <c r="O645">
        <v>1119.4391554743429</v>
      </c>
      <c r="P645">
        <v>1172.0527957816371</v>
      </c>
      <c r="Q645">
        <v>1265.817019444168</v>
      </c>
      <c r="R645">
        <v>1317.7155172413791</v>
      </c>
      <c r="S645" t="s">
        <v>6974</v>
      </c>
      <c r="T645" t="s">
        <v>6975</v>
      </c>
      <c r="U645" t="s">
        <v>1523</v>
      </c>
      <c r="V645" t="s">
        <v>94</v>
      </c>
      <c r="W645">
        <v>265472419.80000001</v>
      </c>
      <c r="X645">
        <v>266439117.80000001</v>
      </c>
      <c r="Y645">
        <v>267499117.80000001</v>
      </c>
      <c r="Z645">
        <v>268599117.80000001</v>
      </c>
      <c r="AA645">
        <v>270179117.80000001</v>
      </c>
      <c r="AB645">
        <v>9103346703.6580143</v>
      </c>
      <c r="AC645">
        <v>8229645.0138000008</v>
      </c>
      <c r="AD645">
        <v>9246133811.4761925</v>
      </c>
      <c r="AE645">
        <v>8259612.6518000001</v>
      </c>
      <c r="AF645">
        <v>9719215755.4849567</v>
      </c>
      <c r="AG645">
        <v>8292472.6518000001</v>
      </c>
      <c r="AH645">
        <v>10539917376.2868</v>
      </c>
      <c r="AI645">
        <v>8326572.6518000001</v>
      </c>
      <c r="AJ645">
        <v>11036595694.749041</v>
      </c>
      <c r="AK645">
        <v>8375552.6518000001</v>
      </c>
    </row>
    <row r="646" spans="1:37" x14ac:dyDescent="0.35">
      <c r="A646" t="s">
        <v>6976</v>
      </c>
      <c r="B646">
        <v>625.67999999999995</v>
      </c>
      <c r="C646" t="s">
        <v>590</v>
      </c>
      <c r="D646" t="s">
        <v>6977</v>
      </c>
      <c r="E646" t="s">
        <v>6978</v>
      </c>
      <c r="F646">
        <v>2.0000000000000001E-4</v>
      </c>
      <c r="G646" t="s">
        <v>6979</v>
      </c>
      <c r="H646">
        <v>0.5</v>
      </c>
      <c r="I646">
        <v>155.77000000000001</v>
      </c>
      <c r="J646" t="s">
        <v>6980</v>
      </c>
      <c r="K646" t="s">
        <v>6981</v>
      </c>
      <c r="L646" t="s">
        <v>6982</v>
      </c>
      <c r="M646" t="s">
        <v>6983</v>
      </c>
      <c r="N646">
        <v>57083.058373810964</v>
      </c>
      <c r="O646">
        <v>57768.055074296688</v>
      </c>
      <c r="P646">
        <v>60483.153662788631</v>
      </c>
      <c r="Q646">
        <v>65321.805955811717</v>
      </c>
      <c r="R646">
        <v>68000</v>
      </c>
      <c r="S646" t="s">
        <v>6984</v>
      </c>
      <c r="T646" t="s">
        <v>6985</v>
      </c>
      <c r="U646" t="s">
        <v>6986</v>
      </c>
      <c r="V646" t="s">
        <v>49</v>
      </c>
      <c r="W646">
        <v>338996155</v>
      </c>
      <c r="X646">
        <v>339500751</v>
      </c>
      <c r="Y646">
        <v>340560751</v>
      </c>
      <c r="Z646">
        <v>341660751</v>
      </c>
      <c r="AA646">
        <v>343660751</v>
      </c>
      <c r="AB646">
        <v>3870187460.8724942</v>
      </c>
      <c r="AC646">
        <v>67799.231</v>
      </c>
      <c r="AD646">
        <v>3922459616.3066182</v>
      </c>
      <c r="AE646">
        <v>67900.150200000004</v>
      </c>
      <c r="AF646">
        <v>4119637646.8495402</v>
      </c>
      <c r="AG646">
        <v>68112.150200000004</v>
      </c>
      <c r="AH646">
        <v>4463579455.9077816</v>
      </c>
      <c r="AI646">
        <v>68332.150200000004</v>
      </c>
      <c r="AJ646">
        <v>4673786213.6000004</v>
      </c>
      <c r="AK646">
        <v>68732.150200000004</v>
      </c>
    </row>
    <row r="647" spans="1:37" x14ac:dyDescent="0.35">
      <c r="A647" t="s">
        <v>6987</v>
      </c>
      <c r="B647">
        <v>105.51</v>
      </c>
      <c r="C647" t="s">
        <v>208</v>
      </c>
      <c r="D647" t="s">
        <v>6988</v>
      </c>
      <c r="E647" t="s">
        <v>6989</v>
      </c>
      <c r="F647">
        <v>3.1E-2</v>
      </c>
      <c r="G647" t="s">
        <v>6990</v>
      </c>
      <c r="H647">
        <v>0.6</v>
      </c>
      <c r="I647">
        <v>0.05</v>
      </c>
      <c r="J647" t="s">
        <v>6991</v>
      </c>
      <c r="K647" t="s">
        <v>6992</v>
      </c>
      <c r="L647" t="s">
        <v>6993</v>
      </c>
      <c r="M647" t="s">
        <v>6994</v>
      </c>
      <c r="N647">
        <v>1106.1651733936201</v>
      </c>
      <c r="O647">
        <v>1119.4391554743429</v>
      </c>
      <c r="P647">
        <v>1172.0527957816371</v>
      </c>
      <c r="Q647">
        <v>1265.817019444168</v>
      </c>
      <c r="R647">
        <v>1317.7155172413791</v>
      </c>
      <c r="S647" t="s">
        <v>6995</v>
      </c>
      <c r="T647" t="s">
        <v>6996</v>
      </c>
      <c r="U647" t="s">
        <v>218</v>
      </c>
      <c r="V647" t="s">
        <v>94</v>
      </c>
      <c r="W647">
        <v>265472419.80000001</v>
      </c>
      <c r="X647">
        <v>266439117.80000001</v>
      </c>
      <c r="Y647">
        <v>267499117.80000001</v>
      </c>
      <c r="Z647">
        <v>268599117.80000001</v>
      </c>
      <c r="AA647">
        <v>270179117.80000001</v>
      </c>
      <c r="AB647">
        <v>9103346703.6580143</v>
      </c>
      <c r="AC647">
        <v>8229645.0138000008</v>
      </c>
      <c r="AD647">
        <v>9246133811.4761925</v>
      </c>
      <c r="AE647">
        <v>8259612.6518000001</v>
      </c>
      <c r="AF647">
        <v>9719215755.4849567</v>
      </c>
      <c r="AG647">
        <v>8292472.6518000001</v>
      </c>
      <c r="AH647">
        <v>10539917376.2868</v>
      </c>
      <c r="AI647">
        <v>8326572.6518000001</v>
      </c>
      <c r="AJ647">
        <v>11036595694.749041</v>
      </c>
      <c r="AK647">
        <v>8375552.6518000001</v>
      </c>
    </row>
    <row r="648" spans="1:37" x14ac:dyDescent="0.35">
      <c r="A648" t="s">
        <v>6997</v>
      </c>
      <c r="B648">
        <v>35.619999999999997</v>
      </c>
      <c r="C648" t="s">
        <v>360</v>
      </c>
      <c r="D648" t="s">
        <v>6998</v>
      </c>
      <c r="E648" t="s">
        <v>6999</v>
      </c>
      <c r="F648">
        <v>3.4999999999999999E-6</v>
      </c>
      <c r="G648" t="s">
        <v>7000</v>
      </c>
      <c r="H648">
        <v>0.4</v>
      </c>
      <c r="I648">
        <v>23550.9</v>
      </c>
      <c r="J648" t="s">
        <v>7001</v>
      </c>
      <c r="K648" t="s">
        <v>7002</v>
      </c>
      <c r="L648" t="s">
        <v>7003</v>
      </c>
      <c r="M648" t="s">
        <v>7004</v>
      </c>
      <c r="N648">
        <v>54010.646702514663</v>
      </c>
      <c r="O648">
        <v>54658.774462944843</v>
      </c>
      <c r="P648">
        <v>57227.736862703241</v>
      </c>
      <c r="Q648">
        <v>61805.955811719497</v>
      </c>
      <c r="R648">
        <v>64340</v>
      </c>
      <c r="S648" t="s">
        <v>7005</v>
      </c>
      <c r="T648" t="s">
        <v>7006</v>
      </c>
      <c r="U648" t="s">
        <v>7007</v>
      </c>
      <c r="V648" t="s">
        <v>49</v>
      </c>
      <c r="W648">
        <v>338996155</v>
      </c>
      <c r="X648">
        <v>339500751</v>
      </c>
      <c r="Y648">
        <v>340560751</v>
      </c>
      <c r="Z648">
        <v>341660751</v>
      </c>
      <c r="AA648">
        <v>343660751</v>
      </c>
      <c r="AB648">
        <v>64082905.464255638</v>
      </c>
      <c r="AC648">
        <v>1186.4865425</v>
      </c>
      <c r="AD648">
        <v>64948432.426182874</v>
      </c>
      <c r="AE648">
        <v>1188.2526284999999</v>
      </c>
      <c r="AF648">
        <v>68213323.653974101</v>
      </c>
      <c r="AG648">
        <v>1191.9626284999999</v>
      </c>
      <c r="AH648">
        <v>73908342.476167142</v>
      </c>
      <c r="AI648">
        <v>1195.8126285000001</v>
      </c>
      <c r="AJ648">
        <v>77388964.517690003</v>
      </c>
      <c r="AK648">
        <v>1202.8126285000001</v>
      </c>
    </row>
    <row r="649" spans="1:37" x14ac:dyDescent="0.35">
      <c r="A649" t="s">
        <v>7008</v>
      </c>
      <c r="B649">
        <v>33.44</v>
      </c>
      <c r="C649" t="s">
        <v>360</v>
      </c>
      <c r="D649" t="s">
        <v>7009</v>
      </c>
      <c r="E649" t="s">
        <v>7010</v>
      </c>
      <c r="F649">
        <v>3.4999999999999999E-6</v>
      </c>
      <c r="G649" t="s">
        <v>7011</v>
      </c>
      <c r="H649">
        <v>40.6</v>
      </c>
      <c r="I649">
        <v>10.199999999999999</v>
      </c>
      <c r="J649" t="s">
        <v>7012</v>
      </c>
      <c r="K649" t="s">
        <v>7013</v>
      </c>
      <c r="L649" t="s">
        <v>7014</v>
      </c>
      <c r="M649" t="s">
        <v>7015</v>
      </c>
      <c r="N649">
        <v>54010.646702514663</v>
      </c>
      <c r="O649">
        <v>54658.774462944843</v>
      </c>
      <c r="P649">
        <v>57227.736862703241</v>
      </c>
      <c r="Q649">
        <v>61805.955811719497</v>
      </c>
      <c r="R649">
        <v>64340</v>
      </c>
      <c r="S649" t="s">
        <v>7016</v>
      </c>
      <c r="T649" t="s">
        <v>7017</v>
      </c>
      <c r="U649" t="s">
        <v>7018</v>
      </c>
      <c r="V649" t="s">
        <v>49</v>
      </c>
      <c r="W649">
        <v>338996155</v>
      </c>
      <c r="X649">
        <v>339500751</v>
      </c>
      <c r="Y649">
        <v>340560751</v>
      </c>
      <c r="Z649">
        <v>341660751</v>
      </c>
      <c r="AA649">
        <v>343660751</v>
      </c>
      <c r="AB649">
        <v>64082905.464255638</v>
      </c>
      <c r="AC649">
        <v>1186.4865425</v>
      </c>
      <c r="AD649">
        <v>64948432.426182874</v>
      </c>
      <c r="AE649">
        <v>1188.2526284999999</v>
      </c>
      <c r="AF649">
        <v>68213323.653974101</v>
      </c>
      <c r="AG649">
        <v>1191.9626284999999</v>
      </c>
      <c r="AH649">
        <v>73908342.476167142</v>
      </c>
      <c r="AI649">
        <v>1195.8126285000001</v>
      </c>
      <c r="AJ649">
        <v>77388964.517690003</v>
      </c>
      <c r="AK649">
        <v>1202.8126285000001</v>
      </c>
    </row>
    <row r="650" spans="1:37" x14ac:dyDescent="0.35">
      <c r="A650" t="s">
        <v>7019</v>
      </c>
      <c r="B650">
        <v>124.17</v>
      </c>
      <c r="C650" t="s">
        <v>360</v>
      </c>
      <c r="D650" t="s">
        <v>7020</v>
      </c>
      <c r="E650" t="s">
        <v>7021</v>
      </c>
      <c r="F650">
        <v>3.4999999999999999E-6</v>
      </c>
      <c r="G650" t="s">
        <v>7022</v>
      </c>
      <c r="H650">
        <v>0.5</v>
      </c>
      <c r="I650">
        <v>152507.04999999999</v>
      </c>
      <c r="J650" t="s">
        <v>7023</v>
      </c>
      <c r="K650" t="s">
        <v>7024</v>
      </c>
      <c r="L650" t="s">
        <v>7025</v>
      </c>
      <c r="M650" t="s">
        <v>7026</v>
      </c>
      <c r="N650">
        <v>54010.646702514663</v>
      </c>
      <c r="O650">
        <v>54658.774462944843</v>
      </c>
      <c r="P650">
        <v>57227.736862703241</v>
      </c>
      <c r="Q650">
        <v>61805.955811719497</v>
      </c>
      <c r="R650">
        <v>64340</v>
      </c>
      <c r="S650" t="s">
        <v>7027</v>
      </c>
      <c r="T650" t="s">
        <v>7028</v>
      </c>
      <c r="U650" t="s">
        <v>7029</v>
      </c>
      <c r="V650" t="s">
        <v>49</v>
      </c>
      <c r="W650">
        <v>338996155</v>
      </c>
      <c r="X650">
        <v>339500751</v>
      </c>
      <c r="Y650">
        <v>340560751</v>
      </c>
      <c r="Z650">
        <v>341660751</v>
      </c>
      <c r="AA650">
        <v>343660751</v>
      </c>
      <c r="AB650">
        <v>64082905.464255638</v>
      </c>
      <c r="AC650">
        <v>1186.4865425</v>
      </c>
      <c r="AD650">
        <v>64948432.426182874</v>
      </c>
      <c r="AE650">
        <v>1188.2526284999999</v>
      </c>
      <c r="AF650">
        <v>68213323.653974101</v>
      </c>
      <c r="AG650">
        <v>1191.9626284999999</v>
      </c>
      <c r="AH650">
        <v>73908342.476167142</v>
      </c>
      <c r="AI650">
        <v>1195.8126285000001</v>
      </c>
      <c r="AJ650">
        <v>77388964.517690003</v>
      </c>
      <c r="AK650">
        <v>1202.8126285000001</v>
      </c>
    </row>
    <row r="651" spans="1:37" x14ac:dyDescent="0.35">
      <c r="A651" t="s">
        <v>7030</v>
      </c>
      <c r="B651">
        <v>26.19</v>
      </c>
      <c r="C651" t="s">
        <v>360</v>
      </c>
      <c r="D651" t="s">
        <v>7031</v>
      </c>
      <c r="E651" t="s">
        <v>7032</v>
      </c>
      <c r="F651">
        <v>3.4999999999999999E-6</v>
      </c>
      <c r="G651" t="s">
        <v>7033</v>
      </c>
      <c r="H651">
        <v>0.3</v>
      </c>
      <c r="I651">
        <v>0.1</v>
      </c>
      <c r="J651" t="s">
        <v>7034</v>
      </c>
      <c r="K651" t="s">
        <v>7035</v>
      </c>
      <c r="L651" t="s">
        <v>7036</v>
      </c>
      <c r="M651" t="s">
        <v>7037</v>
      </c>
      <c r="N651">
        <v>54010.646702514663</v>
      </c>
      <c r="O651">
        <v>54658.774462944843</v>
      </c>
      <c r="P651">
        <v>57227.736862703241</v>
      </c>
      <c r="Q651">
        <v>61805.955811719497</v>
      </c>
      <c r="R651">
        <v>64340</v>
      </c>
      <c r="S651" t="s">
        <v>7038</v>
      </c>
      <c r="T651" t="s">
        <v>7039</v>
      </c>
      <c r="U651" t="s">
        <v>3364</v>
      </c>
      <c r="V651" t="s">
        <v>49</v>
      </c>
      <c r="W651">
        <v>338996155</v>
      </c>
      <c r="X651">
        <v>339500751</v>
      </c>
      <c r="Y651">
        <v>340560751</v>
      </c>
      <c r="Z651">
        <v>341660751</v>
      </c>
      <c r="AA651">
        <v>343660751</v>
      </c>
      <c r="AB651">
        <v>64082905.464255638</v>
      </c>
      <c r="AC651">
        <v>1186.4865425</v>
      </c>
      <c r="AD651">
        <v>64948432.426182874</v>
      </c>
      <c r="AE651">
        <v>1188.2526284999999</v>
      </c>
      <c r="AF651">
        <v>68213323.653974101</v>
      </c>
      <c r="AG651">
        <v>1191.9626284999999</v>
      </c>
      <c r="AH651">
        <v>73908342.476167142</v>
      </c>
      <c r="AI651">
        <v>1195.8126285000001</v>
      </c>
      <c r="AJ651">
        <v>77388964.517690003</v>
      </c>
      <c r="AK651">
        <v>1202.8126285000001</v>
      </c>
    </row>
    <row r="652" spans="1:37" x14ac:dyDescent="0.35">
      <c r="A652" t="s">
        <v>7040</v>
      </c>
      <c r="B652">
        <v>125.03</v>
      </c>
      <c r="C652" t="s">
        <v>360</v>
      </c>
      <c r="D652" t="s">
        <v>7041</v>
      </c>
      <c r="E652" t="s">
        <v>7042</v>
      </c>
      <c r="F652">
        <v>3.4999999999999999E-6</v>
      </c>
      <c r="G652" t="s">
        <v>7043</v>
      </c>
      <c r="H652">
        <v>3025.5</v>
      </c>
      <c r="I652">
        <v>23520.400000000001</v>
      </c>
      <c r="J652" t="s">
        <v>7044</v>
      </c>
      <c r="K652" t="s">
        <v>7045</v>
      </c>
      <c r="L652" t="s">
        <v>7046</v>
      </c>
      <c r="M652" t="s">
        <v>7047</v>
      </c>
      <c r="N652">
        <v>54010.646702514663</v>
      </c>
      <c r="O652">
        <v>54658.774462944843</v>
      </c>
      <c r="P652">
        <v>57227.736862703241</v>
      </c>
      <c r="Q652">
        <v>61805.955811719497</v>
      </c>
      <c r="R652">
        <v>64340</v>
      </c>
      <c r="S652" t="s">
        <v>7048</v>
      </c>
      <c r="T652" t="s">
        <v>7049</v>
      </c>
      <c r="U652" t="s">
        <v>7050</v>
      </c>
      <c r="V652" t="s">
        <v>49</v>
      </c>
      <c r="W652">
        <v>338996155</v>
      </c>
      <c r="X652">
        <v>339500751</v>
      </c>
      <c r="Y652">
        <v>340560751</v>
      </c>
      <c r="Z652">
        <v>341660751</v>
      </c>
      <c r="AA652">
        <v>343660751</v>
      </c>
      <c r="AB652">
        <v>64082905.464255638</v>
      </c>
      <c r="AC652">
        <v>1186.4865425</v>
      </c>
      <c r="AD652">
        <v>64948432.426182874</v>
      </c>
      <c r="AE652">
        <v>1188.2526284999999</v>
      </c>
      <c r="AF652">
        <v>68213323.653974101</v>
      </c>
      <c r="AG652">
        <v>1191.9626284999999</v>
      </c>
      <c r="AH652">
        <v>73908342.476167142</v>
      </c>
      <c r="AI652">
        <v>1195.8126285000001</v>
      </c>
      <c r="AJ652">
        <v>77388964.517690003</v>
      </c>
      <c r="AK652">
        <v>1202.8126285000001</v>
      </c>
    </row>
    <row r="653" spans="1:37" x14ac:dyDescent="0.35">
      <c r="A653" t="s">
        <v>7051</v>
      </c>
      <c r="B653">
        <v>13.01</v>
      </c>
      <c r="C653" t="s">
        <v>863</v>
      </c>
      <c r="D653" t="s">
        <v>7052</v>
      </c>
      <c r="E653" t="s">
        <v>7053</v>
      </c>
      <c r="F653">
        <v>0.1</v>
      </c>
      <c r="G653" t="s">
        <v>7054</v>
      </c>
      <c r="H653">
        <v>0.15</v>
      </c>
      <c r="I653">
        <v>0</v>
      </c>
      <c r="J653" t="s">
        <v>7055</v>
      </c>
      <c r="K653" t="s">
        <v>6406</v>
      </c>
      <c r="L653" t="s">
        <v>7056</v>
      </c>
      <c r="M653" t="s">
        <v>7057</v>
      </c>
      <c r="N653">
        <v>278.56709214154648</v>
      </c>
      <c r="O653">
        <v>281.90989724724511</v>
      </c>
      <c r="P653">
        <v>295.1596624178656</v>
      </c>
      <c r="Q653">
        <v>318.77243541129491</v>
      </c>
      <c r="R653">
        <v>331.84210526315792</v>
      </c>
      <c r="S653" t="s">
        <v>7058</v>
      </c>
      <c r="T653" t="s">
        <v>7059</v>
      </c>
      <c r="U653" t="s">
        <v>7060</v>
      </c>
      <c r="V653" t="s">
        <v>49</v>
      </c>
      <c r="W653">
        <v>338996155</v>
      </c>
      <c r="X653">
        <v>339500751</v>
      </c>
      <c r="Y653">
        <v>340560751</v>
      </c>
      <c r="Z653">
        <v>341660751</v>
      </c>
      <c r="AA653">
        <v>343660751</v>
      </c>
      <c r="AB653">
        <v>9443317314.5515003</v>
      </c>
      <c r="AC653">
        <v>33899615.5</v>
      </c>
      <c r="AD653">
        <v>9570862182.9772549</v>
      </c>
      <c r="AE653">
        <v>33950075.100000001</v>
      </c>
      <c r="AF653">
        <v>10051979629.79348</v>
      </c>
      <c r="AG653">
        <v>34056075.100000001</v>
      </c>
      <c r="AH653">
        <v>10891202968.072201</v>
      </c>
      <c r="AI653">
        <v>34166075.100000001</v>
      </c>
      <c r="AJ653">
        <v>11404110710.81579</v>
      </c>
      <c r="AK653">
        <v>34366075.100000001</v>
      </c>
    </row>
    <row r="654" spans="1:37" x14ac:dyDescent="0.35">
      <c r="A654" t="s">
        <v>7061</v>
      </c>
      <c r="B654">
        <v>3250</v>
      </c>
      <c r="C654" t="s">
        <v>590</v>
      </c>
      <c r="D654" t="s">
        <v>7062</v>
      </c>
      <c r="E654" t="s">
        <v>7063</v>
      </c>
      <c r="F654">
        <v>2.0000000000000001E-4</v>
      </c>
      <c r="G654" t="s">
        <v>7064</v>
      </c>
      <c r="H654">
        <v>0.5</v>
      </c>
      <c r="I654">
        <v>0.2</v>
      </c>
      <c r="J654" t="s">
        <v>7065</v>
      </c>
      <c r="K654" t="s">
        <v>7066</v>
      </c>
      <c r="L654" t="s">
        <v>7067</v>
      </c>
      <c r="M654" t="s">
        <v>7068</v>
      </c>
      <c r="N654">
        <v>57083.058373810964</v>
      </c>
      <c r="O654">
        <v>57768.055074296688</v>
      </c>
      <c r="P654">
        <v>60483.153662788631</v>
      </c>
      <c r="Q654">
        <v>65321.805955811717</v>
      </c>
      <c r="R654">
        <v>68000</v>
      </c>
      <c r="S654" t="s">
        <v>7069</v>
      </c>
      <c r="T654" t="s">
        <v>7070</v>
      </c>
      <c r="U654" t="s">
        <v>7071</v>
      </c>
      <c r="V654" t="s">
        <v>49</v>
      </c>
      <c r="W654">
        <v>338996155</v>
      </c>
      <c r="X654">
        <v>339500751</v>
      </c>
      <c r="Y654">
        <v>340560751</v>
      </c>
      <c r="Z654">
        <v>341660751</v>
      </c>
      <c r="AA654">
        <v>343660751</v>
      </c>
      <c r="AB654">
        <v>3870187460.8724942</v>
      </c>
      <c r="AC654">
        <v>67799.231</v>
      </c>
      <c r="AD654">
        <v>3922459616.3066182</v>
      </c>
      <c r="AE654">
        <v>67900.150200000004</v>
      </c>
      <c r="AF654">
        <v>4119637646.8495402</v>
      </c>
      <c r="AG654">
        <v>68112.150200000004</v>
      </c>
      <c r="AH654">
        <v>4463579455.9077816</v>
      </c>
      <c r="AI654">
        <v>68332.150200000004</v>
      </c>
      <c r="AJ654">
        <v>4673786213.6000004</v>
      </c>
      <c r="AK654">
        <v>68732.150200000004</v>
      </c>
    </row>
    <row r="655" spans="1:37" x14ac:dyDescent="0.35">
      <c r="A655" t="s">
        <v>7072</v>
      </c>
      <c r="B655">
        <v>321.61</v>
      </c>
      <c r="C655" t="s">
        <v>7073</v>
      </c>
      <c r="D655" t="s">
        <v>7074</v>
      </c>
      <c r="E655" t="s">
        <v>7075</v>
      </c>
      <c r="F655">
        <v>0.22900000000000001</v>
      </c>
      <c r="G655" t="s">
        <v>7076</v>
      </c>
      <c r="H655">
        <v>0.15</v>
      </c>
      <c r="I655">
        <v>0.01</v>
      </c>
      <c r="J655" t="s">
        <v>7077</v>
      </c>
      <c r="K655" t="s">
        <v>7078</v>
      </c>
      <c r="L655" t="s">
        <v>7079</v>
      </c>
      <c r="M655" t="s">
        <v>7080</v>
      </c>
      <c r="N655">
        <v>2203.573944577261</v>
      </c>
      <c r="O655">
        <v>2230.0168319121881</v>
      </c>
      <c r="P655">
        <v>2334.8276230120609</v>
      </c>
      <c r="Q655">
        <v>2521.613832853026</v>
      </c>
      <c r="R655">
        <v>2625</v>
      </c>
      <c r="S655" t="s">
        <v>7081</v>
      </c>
      <c r="T655" t="s">
        <v>7082</v>
      </c>
      <c r="U655" t="s">
        <v>7083</v>
      </c>
      <c r="V655" t="s">
        <v>7084</v>
      </c>
      <c r="W655">
        <v>209006675</v>
      </c>
      <c r="X655">
        <v>209145074</v>
      </c>
      <c r="Y655">
        <v>210205074</v>
      </c>
      <c r="Z655">
        <v>211305074</v>
      </c>
      <c r="AA655">
        <v>211305074</v>
      </c>
      <c r="AB655">
        <v>105468620889.45461</v>
      </c>
      <c r="AC655">
        <v>47862528.575000003</v>
      </c>
      <c r="AD655">
        <v>106804921090.91811</v>
      </c>
      <c r="AE655">
        <v>47894221.946000002</v>
      </c>
      <c r="AF655">
        <v>112391508439.4012</v>
      </c>
      <c r="AG655">
        <v>48136961.946000002</v>
      </c>
      <c r="AH655">
        <v>122018023639.049</v>
      </c>
      <c r="AI655">
        <v>48388861.946000002</v>
      </c>
      <c r="AJ655">
        <v>127020762608.25</v>
      </c>
      <c r="AK655">
        <v>48388861.946000002</v>
      </c>
    </row>
    <row r="656" spans="1:37" x14ac:dyDescent="0.35">
      <c r="A656" t="s">
        <v>7085</v>
      </c>
      <c r="B656">
        <v>106.82</v>
      </c>
      <c r="C656" t="s">
        <v>208</v>
      </c>
      <c r="D656" t="s">
        <v>5578</v>
      </c>
      <c r="E656" t="s">
        <v>7086</v>
      </c>
      <c r="F656">
        <v>3.1E-2</v>
      </c>
      <c r="G656" t="s">
        <v>7087</v>
      </c>
      <c r="H656">
        <v>30.25</v>
      </c>
      <c r="J656" t="s">
        <v>7088</v>
      </c>
      <c r="K656" t="s">
        <v>7089</v>
      </c>
      <c r="L656" t="s">
        <v>7090</v>
      </c>
      <c r="M656" t="s">
        <v>7091</v>
      </c>
      <c r="N656">
        <v>1106.1651733936201</v>
      </c>
      <c r="O656">
        <v>1119.4391554743429</v>
      </c>
      <c r="P656">
        <v>1172.0527957816371</v>
      </c>
      <c r="Q656">
        <v>1265.817019444168</v>
      </c>
      <c r="R656">
        <v>1317.7155172413791</v>
      </c>
      <c r="S656" t="s">
        <v>7092</v>
      </c>
      <c r="T656" t="s">
        <v>7093</v>
      </c>
      <c r="U656" t="s">
        <v>241</v>
      </c>
      <c r="V656" t="s">
        <v>94</v>
      </c>
      <c r="W656">
        <v>265472419.80000001</v>
      </c>
      <c r="X656">
        <v>266439117.80000001</v>
      </c>
      <c r="Y656">
        <v>267499117.80000001</v>
      </c>
      <c r="Z656">
        <v>268599117.80000001</v>
      </c>
      <c r="AA656">
        <v>270179117.80000001</v>
      </c>
      <c r="AB656">
        <v>9103346703.6580143</v>
      </c>
      <c r="AC656">
        <v>8229645.0138000008</v>
      </c>
      <c r="AD656">
        <v>9246133811.4761925</v>
      </c>
      <c r="AE656">
        <v>8259612.6518000001</v>
      </c>
      <c r="AF656">
        <v>9719215755.4849567</v>
      </c>
      <c r="AG656">
        <v>8292472.6518000001</v>
      </c>
      <c r="AH656">
        <v>10539917376.2868</v>
      </c>
      <c r="AI656">
        <v>8326572.6518000001</v>
      </c>
      <c r="AJ656">
        <v>11036595694.749041</v>
      </c>
      <c r="AK656">
        <v>8375552.6518000001</v>
      </c>
    </row>
    <row r="657" spans="1:37" x14ac:dyDescent="0.35">
      <c r="A657" t="s">
        <v>7094</v>
      </c>
      <c r="B657">
        <v>133.1</v>
      </c>
      <c r="C657" t="s">
        <v>208</v>
      </c>
      <c r="D657" t="s">
        <v>7095</v>
      </c>
      <c r="E657" t="s">
        <v>7096</v>
      </c>
      <c r="F657">
        <v>3.1E-2</v>
      </c>
      <c r="G657" t="s">
        <v>7097</v>
      </c>
      <c r="H657">
        <v>30.5</v>
      </c>
      <c r="I657">
        <v>0.2</v>
      </c>
      <c r="J657" t="s">
        <v>7098</v>
      </c>
      <c r="K657" t="s">
        <v>7099</v>
      </c>
      <c r="L657" t="s">
        <v>7100</v>
      </c>
      <c r="M657" t="s">
        <v>7101</v>
      </c>
      <c r="N657">
        <v>1106.1651733936201</v>
      </c>
      <c r="O657">
        <v>1119.4391554743429</v>
      </c>
      <c r="P657">
        <v>1172.0527957816371</v>
      </c>
      <c r="Q657">
        <v>1265.817019444168</v>
      </c>
      <c r="R657">
        <v>1317.7155172413791</v>
      </c>
      <c r="S657" t="s">
        <v>7102</v>
      </c>
      <c r="T657" t="s">
        <v>7103</v>
      </c>
      <c r="U657" t="s">
        <v>241</v>
      </c>
      <c r="V657" t="s">
        <v>94</v>
      </c>
      <c r="W657">
        <v>265472419.80000001</v>
      </c>
      <c r="X657">
        <v>266439117.80000001</v>
      </c>
      <c r="Y657">
        <v>267499117.80000001</v>
      </c>
      <c r="Z657">
        <v>268599117.80000001</v>
      </c>
      <c r="AA657">
        <v>270179117.80000001</v>
      </c>
      <c r="AB657">
        <v>9103346703.6580143</v>
      </c>
      <c r="AC657">
        <v>8229645.0138000008</v>
      </c>
      <c r="AD657">
        <v>9246133811.4761925</v>
      </c>
      <c r="AE657">
        <v>8259612.6518000001</v>
      </c>
      <c r="AF657">
        <v>9719215755.4849567</v>
      </c>
      <c r="AG657">
        <v>8292472.6518000001</v>
      </c>
      <c r="AH657">
        <v>10539917376.2868</v>
      </c>
      <c r="AI657">
        <v>8326572.6518000001</v>
      </c>
      <c r="AJ657">
        <v>11036595694.749041</v>
      </c>
      <c r="AK657">
        <v>8375552.6518000001</v>
      </c>
    </row>
    <row r="658" spans="1:37" x14ac:dyDescent="0.35">
      <c r="A658" t="s">
        <v>7104</v>
      </c>
      <c r="B658">
        <v>404.64</v>
      </c>
      <c r="C658" t="s">
        <v>4958</v>
      </c>
      <c r="D658" t="s">
        <v>7105</v>
      </c>
      <c r="E658" t="s">
        <v>7106</v>
      </c>
      <c r="F658">
        <v>4.5300000000000003E-5</v>
      </c>
      <c r="G658" t="s">
        <v>7107</v>
      </c>
      <c r="H658">
        <v>0.4</v>
      </c>
      <c r="I658">
        <v>575.25</v>
      </c>
      <c r="J658" t="s">
        <v>7108</v>
      </c>
      <c r="K658" t="s">
        <v>7109</v>
      </c>
      <c r="L658" t="s">
        <v>7110</v>
      </c>
      <c r="M658" t="s">
        <v>7111</v>
      </c>
      <c r="N658">
        <v>109129.3763028739</v>
      </c>
      <c r="O658">
        <v>110438.9288185084</v>
      </c>
      <c r="P658">
        <v>115629.5584729783</v>
      </c>
      <c r="Q658">
        <v>124879.9231508165</v>
      </c>
      <c r="R658">
        <v>130000</v>
      </c>
      <c r="S658" t="s">
        <v>7112</v>
      </c>
      <c r="T658" t="s">
        <v>7113</v>
      </c>
      <c r="U658" t="s">
        <v>7114</v>
      </c>
      <c r="V658" t="s">
        <v>94</v>
      </c>
      <c r="W658">
        <v>265472419.80000001</v>
      </c>
      <c r="X658">
        <v>266439117.80000001</v>
      </c>
      <c r="Y658">
        <v>267499117.80000001</v>
      </c>
      <c r="Z658">
        <v>268599117.80000001</v>
      </c>
      <c r="AA658">
        <v>270179117.80000001</v>
      </c>
      <c r="AB658">
        <v>1312379033.807009</v>
      </c>
      <c r="AC658">
        <v>12025.90061694</v>
      </c>
      <c r="AD658">
        <v>1332963859.6626711</v>
      </c>
      <c r="AE658">
        <v>12069.69203634</v>
      </c>
      <c r="AF658">
        <v>1401165461.2055719</v>
      </c>
      <c r="AG658">
        <v>12117.71003634</v>
      </c>
      <c r="AH658">
        <v>1519481464.6726229</v>
      </c>
      <c r="AI658">
        <v>12167.54003634</v>
      </c>
      <c r="AJ658">
        <v>1591084824.7242</v>
      </c>
      <c r="AK658">
        <v>12239.114036340001</v>
      </c>
    </row>
    <row r="659" spans="1:37" x14ac:dyDescent="0.35">
      <c r="A659" t="s">
        <v>7115</v>
      </c>
      <c r="B659">
        <v>301.93</v>
      </c>
      <c r="C659" t="s">
        <v>208</v>
      </c>
      <c r="D659" t="s">
        <v>7116</v>
      </c>
      <c r="E659" t="s">
        <v>7117</v>
      </c>
      <c r="F659">
        <v>3.1E-2</v>
      </c>
      <c r="G659" t="s">
        <v>7118</v>
      </c>
      <c r="H659">
        <v>0.3</v>
      </c>
      <c r="I659">
        <v>0.03</v>
      </c>
      <c r="J659" t="s">
        <v>7119</v>
      </c>
      <c r="K659" t="s">
        <v>7120</v>
      </c>
      <c r="L659" t="s">
        <v>7121</v>
      </c>
      <c r="M659" t="s">
        <v>7122</v>
      </c>
      <c r="N659">
        <v>1106.1651733936201</v>
      </c>
      <c r="O659">
        <v>1119.4391554743429</v>
      </c>
      <c r="P659">
        <v>1172.0527957816371</v>
      </c>
      <c r="Q659">
        <v>1265.817019444168</v>
      </c>
      <c r="R659">
        <v>1317.7155172413791</v>
      </c>
      <c r="S659" t="s">
        <v>7123</v>
      </c>
      <c r="T659" t="s">
        <v>7124</v>
      </c>
      <c r="U659" t="s">
        <v>218</v>
      </c>
      <c r="V659" t="s">
        <v>94</v>
      </c>
      <c r="W659">
        <v>265472419.80000001</v>
      </c>
      <c r="X659">
        <v>266439117.80000001</v>
      </c>
      <c r="Y659">
        <v>267499117.80000001</v>
      </c>
      <c r="Z659">
        <v>268599117.80000001</v>
      </c>
      <c r="AA659">
        <v>270179117.80000001</v>
      </c>
      <c r="AB659">
        <v>9103346703.6580143</v>
      </c>
      <c r="AC659">
        <v>8229645.0138000008</v>
      </c>
      <c r="AD659">
        <v>9246133811.4761925</v>
      </c>
      <c r="AE659">
        <v>8259612.6518000001</v>
      </c>
      <c r="AF659">
        <v>9719215755.4849567</v>
      </c>
      <c r="AG659">
        <v>8292472.6518000001</v>
      </c>
      <c r="AH659">
        <v>10539917376.2868</v>
      </c>
      <c r="AI659">
        <v>8326572.6518000001</v>
      </c>
      <c r="AJ659">
        <v>11036595694.749041</v>
      </c>
      <c r="AK659">
        <v>8375552.6518000001</v>
      </c>
    </row>
    <row r="660" spans="1:37" x14ac:dyDescent="0.35">
      <c r="A660" t="s">
        <v>7125</v>
      </c>
      <c r="B660">
        <v>252.28</v>
      </c>
      <c r="C660" t="s">
        <v>487</v>
      </c>
      <c r="D660" t="s">
        <v>7126</v>
      </c>
      <c r="E660" t="s">
        <v>7127</v>
      </c>
      <c r="F660">
        <v>2.8000000000000001E-2</v>
      </c>
      <c r="G660" t="s">
        <v>7128</v>
      </c>
      <c r="H660">
        <v>30.7</v>
      </c>
      <c r="I660">
        <v>2.15</v>
      </c>
      <c r="J660" t="s">
        <v>7129</v>
      </c>
      <c r="K660" t="s">
        <v>7130</v>
      </c>
      <c r="L660" t="s">
        <v>7131</v>
      </c>
      <c r="M660" t="s">
        <v>7132</v>
      </c>
      <c r="N660">
        <v>4761.448013576749</v>
      </c>
      <c r="O660">
        <v>4818.5853897396701</v>
      </c>
      <c r="P660">
        <v>5045.0589030574338</v>
      </c>
      <c r="Q660">
        <v>5448.663615302029</v>
      </c>
      <c r="R660">
        <v>5672.0588235294117</v>
      </c>
      <c r="S660" t="s">
        <v>7133</v>
      </c>
      <c r="T660" t="s">
        <v>7134</v>
      </c>
      <c r="U660" t="s">
        <v>7135</v>
      </c>
      <c r="V660" t="s">
        <v>94</v>
      </c>
      <c r="W660">
        <v>265472419.80000001</v>
      </c>
      <c r="X660">
        <v>266439117.80000001</v>
      </c>
      <c r="Y660">
        <v>267499117.80000001</v>
      </c>
      <c r="Z660">
        <v>268599117.80000001</v>
      </c>
      <c r="AA660">
        <v>270179117.80000001</v>
      </c>
      <c r="AB660">
        <v>35392927525.651443</v>
      </c>
      <c r="AC660">
        <v>7433227.7544000009</v>
      </c>
      <c r="AD660">
        <v>35948069928.013786</v>
      </c>
      <c r="AE660">
        <v>7460295.2984000007</v>
      </c>
      <c r="AF660">
        <v>37787366562.873177</v>
      </c>
      <c r="AG660">
        <v>7489975.2984000007</v>
      </c>
      <c r="AH660">
        <v>40978174727.254341</v>
      </c>
      <c r="AI660">
        <v>7520775.2984000007</v>
      </c>
      <c r="AJ660">
        <v>42909211773.424713</v>
      </c>
      <c r="AK660">
        <v>7565015.2984000007</v>
      </c>
    </row>
    <row r="661" spans="1:37" x14ac:dyDescent="0.35">
      <c r="A661" t="s">
        <v>7136</v>
      </c>
      <c r="B661">
        <v>252.28</v>
      </c>
      <c r="C661" t="s">
        <v>487</v>
      </c>
      <c r="D661" t="s">
        <v>7137</v>
      </c>
      <c r="E661" t="s">
        <v>7138</v>
      </c>
      <c r="F661">
        <v>2.8000000000000001E-2</v>
      </c>
      <c r="G661" t="s">
        <v>7139</v>
      </c>
      <c r="H661">
        <v>40.15</v>
      </c>
      <c r="I661">
        <v>1.27</v>
      </c>
      <c r="J661" t="s">
        <v>7140</v>
      </c>
      <c r="K661" t="s">
        <v>7141</v>
      </c>
      <c r="L661" t="s">
        <v>7142</v>
      </c>
      <c r="M661" t="s">
        <v>7143</v>
      </c>
      <c r="N661">
        <v>4761.448013576749</v>
      </c>
      <c r="O661">
        <v>4818.5853897396701</v>
      </c>
      <c r="P661">
        <v>5045.0589030574338</v>
      </c>
      <c r="Q661">
        <v>5448.663615302029</v>
      </c>
      <c r="R661">
        <v>5672.0588235294117</v>
      </c>
      <c r="S661" t="s">
        <v>7144</v>
      </c>
      <c r="T661" t="s">
        <v>7145</v>
      </c>
      <c r="U661" t="s">
        <v>7146</v>
      </c>
      <c r="V661" t="s">
        <v>94</v>
      </c>
      <c r="W661">
        <v>265472419.80000001</v>
      </c>
      <c r="X661">
        <v>266439117.80000001</v>
      </c>
      <c r="Y661">
        <v>267499117.80000001</v>
      </c>
      <c r="Z661">
        <v>268599117.80000001</v>
      </c>
      <c r="AA661">
        <v>270179117.80000001</v>
      </c>
      <c r="AB661">
        <v>35392927525.651443</v>
      </c>
      <c r="AC661">
        <v>7433227.7544000009</v>
      </c>
      <c r="AD661">
        <v>35948069928.013786</v>
      </c>
      <c r="AE661">
        <v>7460295.2984000007</v>
      </c>
      <c r="AF661">
        <v>37787366562.873177</v>
      </c>
      <c r="AG661">
        <v>7489975.2984000007</v>
      </c>
      <c r="AH661">
        <v>40978174727.254341</v>
      </c>
      <c r="AI661">
        <v>7520775.2984000007</v>
      </c>
      <c r="AJ661">
        <v>42909211773.424713</v>
      </c>
      <c r="AK661">
        <v>7565015.2984000007</v>
      </c>
    </row>
    <row r="662" spans="1:37" x14ac:dyDescent="0.35">
      <c r="A662" t="s">
        <v>7147</v>
      </c>
      <c r="B662">
        <v>378.09</v>
      </c>
      <c r="C662" t="s">
        <v>487</v>
      </c>
      <c r="D662" t="s">
        <v>7148</v>
      </c>
      <c r="E662" t="s">
        <v>7149</v>
      </c>
      <c r="F662">
        <v>2.8000000000000001E-2</v>
      </c>
      <c r="G662" t="s">
        <v>7150</v>
      </c>
      <c r="H662">
        <v>40.159999999999997</v>
      </c>
      <c r="I662">
        <v>0.15</v>
      </c>
      <c r="J662" t="s">
        <v>7151</v>
      </c>
      <c r="K662" t="s">
        <v>7152</v>
      </c>
      <c r="L662" t="s">
        <v>7153</v>
      </c>
      <c r="M662" t="s">
        <v>7154</v>
      </c>
      <c r="N662">
        <v>4761.448013576749</v>
      </c>
      <c r="O662">
        <v>4818.5853897396701</v>
      </c>
      <c r="P662">
        <v>5045.0589030574338</v>
      </c>
      <c r="Q662">
        <v>5448.663615302029</v>
      </c>
      <c r="R662">
        <v>5672.0588235294117</v>
      </c>
      <c r="S662" t="s">
        <v>7155</v>
      </c>
      <c r="T662" t="s">
        <v>7156</v>
      </c>
      <c r="U662" t="s">
        <v>7157</v>
      </c>
      <c r="V662" t="s">
        <v>94</v>
      </c>
      <c r="W662">
        <v>265472419.80000001</v>
      </c>
      <c r="X662">
        <v>266439117.80000001</v>
      </c>
      <c r="Y662">
        <v>267499117.80000001</v>
      </c>
      <c r="Z662">
        <v>268599117.80000001</v>
      </c>
      <c r="AA662">
        <v>270179117.80000001</v>
      </c>
      <c r="AB662">
        <v>35392927525.651443</v>
      </c>
      <c r="AC662">
        <v>7433227.7544000009</v>
      </c>
      <c r="AD662">
        <v>35948069928.013786</v>
      </c>
      <c r="AE662">
        <v>7460295.2984000007</v>
      </c>
      <c r="AF662">
        <v>37787366562.873177</v>
      </c>
      <c r="AG662">
        <v>7489975.2984000007</v>
      </c>
      <c r="AH662">
        <v>40978174727.254341</v>
      </c>
      <c r="AI662">
        <v>7520775.2984000007</v>
      </c>
      <c r="AJ662">
        <v>42909211773.424713</v>
      </c>
      <c r="AK662">
        <v>7565015.2984000007</v>
      </c>
    </row>
    <row r="663" spans="1:37" x14ac:dyDescent="0.35">
      <c r="A663" t="s">
        <v>7158</v>
      </c>
      <c r="B663">
        <v>184.4</v>
      </c>
      <c r="C663" t="s">
        <v>487</v>
      </c>
      <c r="D663" t="s">
        <v>7159</v>
      </c>
      <c r="E663" t="s">
        <v>7160</v>
      </c>
      <c r="F663">
        <v>2.8000000000000001E-2</v>
      </c>
      <c r="G663" t="s">
        <v>7161</v>
      </c>
      <c r="H663">
        <v>0.3</v>
      </c>
      <c r="I663">
        <v>0.23</v>
      </c>
      <c r="J663" t="s">
        <v>7162</v>
      </c>
      <c r="K663" t="s">
        <v>7163</v>
      </c>
      <c r="L663" t="s">
        <v>7164</v>
      </c>
      <c r="M663" t="s">
        <v>7165</v>
      </c>
      <c r="N663">
        <v>4761.448013576749</v>
      </c>
      <c r="O663">
        <v>4818.5853897396701</v>
      </c>
      <c r="P663">
        <v>5045.0589030574338</v>
      </c>
      <c r="Q663">
        <v>5448.663615302029</v>
      </c>
      <c r="R663">
        <v>5672.0588235294117</v>
      </c>
      <c r="S663" t="s">
        <v>7166</v>
      </c>
      <c r="T663" t="s">
        <v>7167</v>
      </c>
      <c r="U663" t="s">
        <v>7168</v>
      </c>
      <c r="V663" t="s">
        <v>94</v>
      </c>
      <c r="W663">
        <v>265472419.80000001</v>
      </c>
      <c r="X663">
        <v>266439117.80000001</v>
      </c>
      <c r="Y663">
        <v>267499117.80000001</v>
      </c>
      <c r="Z663">
        <v>268599117.80000001</v>
      </c>
      <c r="AA663">
        <v>270179117.80000001</v>
      </c>
      <c r="AB663">
        <v>35392927525.651443</v>
      </c>
      <c r="AC663">
        <v>7433227.7544000009</v>
      </c>
      <c r="AD663">
        <v>35948069928.013786</v>
      </c>
      <c r="AE663">
        <v>7460295.2984000007</v>
      </c>
      <c r="AF663">
        <v>37787366562.873177</v>
      </c>
      <c r="AG663">
        <v>7489975.2984000007</v>
      </c>
      <c r="AH663">
        <v>40978174727.254341</v>
      </c>
      <c r="AI663">
        <v>7520775.2984000007</v>
      </c>
      <c r="AJ663">
        <v>42909211773.424713</v>
      </c>
      <c r="AK663">
        <v>7565015.2984000007</v>
      </c>
    </row>
    <row r="664" spans="1:37" x14ac:dyDescent="0.35">
      <c r="A664" t="s">
        <v>7169</v>
      </c>
      <c r="B664">
        <v>122.32</v>
      </c>
      <c r="C664" t="s">
        <v>487</v>
      </c>
      <c r="D664" t="s">
        <v>7170</v>
      </c>
      <c r="E664" t="s">
        <v>7171</v>
      </c>
      <c r="F664">
        <v>2.8000000000000001E-2</v>
      </c>
      <c r="G664" t="s">
        <v>7172</v>
      </c>
      <c r="H664">
        <v>50.4</v>
      </c>
      <c r="I664">
        <v>10.15</v>
      </c>
      <c r="J664" t="s">
        <v>7173</v>
      </c>
      <c r="K664" t="s">
        <v>7174</v>
      </c>
      <c r="L664" t="s">
        <v>7175</v>
      </c>
      <c r="M664" t="s">
        <v>7176</v>
      </c>
      <c r="N664">
        <v>4761.448013576749</v>
      </c>
      <c r="O664">
        <v>4818.5853897396701</v>
      </c>
      <c r="P664">
        <v>5045.0589030574338</v>
      </c>
      <c r="Q664">
        <v>5448.663615302029</v>
      </c>
      <c r="R664">
        <v>5672.0588235294117</v>
      </c>
      <c r="S664" t="s">
        <v>7177</v>
      </c>
      <c r="T664" t="s">
        <v>7178</v>
      </c>
      <c r="U664" t="s">
        <v>1304</v>
      </c>
      <c r="V664" t="s">
        <v>94</v>
      </c>
      <c r="W664">
        <v>265472419.80000001</v>
      </c>
      <c r="X664">
        <v>266439117.80000001</v>
      </c>
      <c r="Y664">
        <v>267499117.80000001</v>
      </c>
      <c r="Z664">
        <v>268599117.80000001</v>
      </c>
      <c r="AA664">
        <v>270179117.80000001</v>
      </c>
      <c r="AB664">
        <v>35392927525.651443</v>
      </c>
      <c r="AC664">
        <v>7433227.7544000009</v>
      </c>
      <c r="AD664">
        <v>35948069928.013786</v>
      </c>
      <c r="AE664">
        <v>7460295.2984000007</v>
      </c>
      <c r="AF664">
        <v>37787366562.873177</v>
      </c>
      <c r="AG664">
        <v>7489975.2984000007</v>
      </c>
      <c r="AH664">
        <v>40978174727.254341</v>
      </c>
      <c r="AI664">
        <v>7520775.2984000007</v>
      </c>
      <c r="AJ664">
        <v>42909211773.424713</v>
      </c>
      <c r="AK664">
        <v>7565015.2984000007</v>
      </c>
    </row>
    <row r="665" spans="1:37" x14ac:dyDescent="0.35">
      <c r="A665" t="s">
        <v>7179</v>
      </c>
      <c r="B665">
        <v>64.349999999999994</v>
      </c>
      <c r="C665" t="s">
        <v>4253</v>
      </c>
      <c r="D665" t="s">
        <v>7180</v>
      </c>
      <c r="E665" t="s">
        <v>7181</v>
      </c>
      <c r="F665">
        <v>0.25</v>
      </c>
      <c r="G665" t="s">
        <v>7182</v>
      </c>
      <c r="H665">
        <v>0.3</v>
      </c>
      <c r="I665">
        <v>6970</v>
      </c>
      <c r="J665" t="s">
        <v>7183</v>
      </c>
      <c r="K665" t="s">
        <v>7184</v>
      </c>
      <c r="L665" t="s">
        <v>7185</v>
      </c>
      <c r="M665" t="s">
        <v>7186</v>
      </c>
      <c r="N665">
        <v>6104.049729468441</v>
      </c>
      <c r="O665">
        <v>6177.2983262220623</v>
      </c>
      <c r="P665">
        <v>6467.6313475544976</v>
      </c>
      <c r="Q665">
        <v>6985.0418553588588</v>
      </c>
      <c r="R665">
        <v>7271.4285714285716</v>
      </c>
      <c r="S665" t="s">
        <v>7187</v>
      </c>
      <c r="T665" t="s">
        <v>7188</v>
      </c>
      <c r="U665" t="s">
        <v>5867</v>
      </c>
      <c r="V665" t="s">
        <v>4264</v>
      </c>
      <c r="W665">
        <v>256761605</v>
      </c>
      <c r="X665">
        <v>257719695</v>
      </c>
      <c r="Y665">
        <v>258779695</v>
      </c>
      <c r="Z665">
        <v>259879695</v>
      </c>
      <c r="AA665">
        <v>261179695</v>
      </c>
      <c r="AB665">
        <v>391821401384.5332</v>
      </c>
      <c r="AC665">
        <v>64190401.25</v>
      </c>
      <c r="AD665">
        <v>398002860139.49011</v>
      </c>
      <c r="AE665">
        <v>64429923.75</v>
      </c>
      <c r="AF665">
        <v>418422916873.14801</v>
      </c>
      <c r="AG665">
        <v>64694923.75</v>
      </c>
      <c r="AH665">
        <v>453817636733.22357</v>
      </c>
      <c r="AI665">
        <v>64969923.75</v>
      </c>
      <c r="AJ665">
        <v>474787374125</v>
      </c>
      <c r="AK665">
        <v>65294923.75</v>
      </c>
    </row>
    <row r="666" spans="1:37" x14ac:dyDescent="0.35">
      <c r="A666" t="s">
        <v>7189</v>
      </c>
      <c r="B666">
        <v>26.11</v>
      </c>
      <c r="C666" t="s">
        <v>243</v>
      </c>
      <c r="D666" t="s">
        <v>7190</v>
      </c>
      <c r="E666" t="s">
        <v>7191</v>
      </c>
      <c r="F666">
        <v>0.45</v>
      </c>
      <c r="G666" t="s">
        <v>7192</v>
      </c>
      <c r="H666">
        <v>0.3</v>
      </c>
      <c r="I666">
        <v>0.1</v>
      </c>
      <c r="J666" t="s">
        <v>7193</v>
      </c>
      <c r="K666" t="s">
        <v>7194</v>
      </c>
      <c r="L666" t="s">
        <v>7195</v>
      </c>
      <c r="M666" t="s">
        <v>7196</v>
      </c>
      <c r="N666">
        <v>207.765543345856</v>
      </c>
      <c r="O666">
        <v>210.25872986600629</v>
      </c>
      <c r="P666">
        <v>220.1408901697086</v>
      </c>
      <c r="Q666">
        <v>237.75216138328531</v>
      </c>
      <c r="R666">
        <v>247.5</v>
      </c>
      <c r="S666" t="s">
        <v>7197</v>
      </c>
      <c r="T666" t="s">
        <v>7198</v>
      </c>
      <c r="U666" t="s">
        <v>7199</v>
      </c>
      <c r="V666" t="s">
        <v>49</v>
      </c>
      <c r="W666">
        <v>338996155</v>
      </c>
      <c r="X666">
        <v>339500751</v>
      </c>
      <c r="Y666">
        <v>340560751</v>
      </c>
      <c r="Z666">
        <v>341660751</v>
      </c>
      <c r="AA666">
        <v>343660751</v>
      </c>
      <c r="AB666">
        <v>31694274151.07896</v>
      </c>
      <c r="AC666">
        <v>152548269.75</v>
      </c>
      <c r="AD666">
        <v>32122348512.216869</v>
      </c>
      <c r="AE666">
        <v>152775337.94999999</v>
      </c>
      <c r="AF666">
        <v>33737106096.90202</v>
      </c>
      <c r="AG666">
        <v>153252337.94999999</v>
      </c>
      <c r="AH666">
        <v>36553761904.53891</v>
      </c>
      <c r="AI666">
        <v>153747337.94999999</v>
      </c>
      <c r="AJ666">
        <v>38275216142.625</v>
      </c>
      <c r="AK666">
        <v>154647337.94999999</v>
      </c>
    </row>
    <row r="667" spans="1:37" x14ac:dyDescent="0.35">
      <c r="A667" t="s">
        <v>7200</v>
      </c>
      <c r="B667">
        <v>14.67</v>
      </c>
      <c r="C667" t="s">
        <v>83</v>
      </c>
      <c r="D667" t="s">
        <v>7201</v>
      </c>
      <c r="E667" t="s">
        <v>7202</v>
      </c>
      <c r="F667">
        <v>4.5999999999999999E-2</v>
      </c>
      <c r="G667" t="s">
        <v>7203</v>
      </c>
      <c r="H667">
        <v>0.3</v>
      </c>
      <c r="I667">
        <v>0.05</v>
      </c>
      <c r="J667" t="s">
        <v>7204</v>
      </c>
      <c r="K667" t="s">
        <v>7205</v>
      </c>
      <c r="L667" t="s">
        <v>7206</v>
      </c>
      <c r="M667" t="s">
        <v>7207</v>
      </c>
      <c r="N667">
        <v>963.93530786561541</v>
      </c>
      <c r="O667">
        <v>975.50253156000281</v>
      </c>
      <c r="P667">
        <v>1021.351150543323</v>
      </c>
      <c r="Q667">
        <v>1103.059242586789</v>
      </c>
      <c r="R667">
        <v>1148.2846715328469</v>
      </c>
      <c r="S667" t="s">
        <v>7208</v>
      </c>
      <c r="T667" t="s">
        <v>7209</v>
      </c>
      <c r="U667" t="s">
        <v>126</v>
      </c>
      <c r="V667" t="s">
        <v>94</v>
      </c>
      <c r="W667">
        <v>265472419.80000001</v>
      </c>
      <c r="X667">
        <v>266439117.80000001</v>
      </c>
      <c r="Y667">
        <v>267499117.80000001</v>
      </c>
      <c r="Z667">
        <v>268599117.80000001</v>
      </c>
      <c r="AA667">
        <v>270179117.80000001</v>
      </c>
      <c r="AB667">
        <v>11771318980.64817</v>
      </c>
      <c r="AC667">
        <v>12211731.310799999</v>
      </c>
      <c r="AD667">
        <v>11955953560.343639</v>
      </c>
      <c r="AE667">
        <v>12256199.4188</v>
      </c>
      <c r="AF667">
        <v>12567684459.780279</v>
      </c>
      <c r="AG667">
        <v>12304959.4188</v>
      </c>
      <c r="AH667">
        <v>13628914014.237591</v>
      </c>
      <c r="AI667">
        <v>12355559.4188</v>
      </c>
      <c r="AJ667">
        <v>14271156818.748341</v>
      </c>
      <c r="AK667">
        <v>12428239.4188</v>
      </c>
    </row>
    <row r="668" spans="1:37" x14ac:dyDescent="0.35">
      <c r="A668" t="s">
        <v>7210</v>
      </c>
      <c r="B668">
        <v>19.78</v>
      </c>
      <c r="C668" t="s">
        <v>83</v>
      </c>
      <c r="D668" t="s">
        <v>7211</v>
      </c>
      <c r="E668" t="s">
        <v>4377</v>
      </c>
      <c r="F668">
        <v>4.5999999999999999E-2</v>
      </c>
      <c r="G668" t="s">
        <v>7212</v>
      </c>
      <c r="H668">
        <v>0.3</v>
      </c>
      <c r="I668">
        <v>0.12</v>
      </c>
      <c r="J668" t="s">
        <v>7213</v>
      </c>
      <c r="K668" t="s">
        <v>7214</v>
      </c>
      <c r="L668" t="s">
        <v>7215</v>
      </c>
      <c r="M668" t="s">
        <v>7216</v>
      </c>
      <c r="N668">
        <v>963.93530786561541</v>
      </c>
      <c r="O668">
        <v>975.50253156000281</v>
      </c>
      <c r="P668">
        <v>1021.351150543323</v>
      </c>
      <c r="Q668">
        <v>1103.059242586789</v>
      </c>
      <c r="R668">
        <v>1148.2846715328469</v>
      </c>
      <c r="S668" t="s">
        <v>7217</v>
      </c>
      <c r="T668" t="s">
        <v>7218</v>
      </c>
      <c r="U668" t="s">
        <v>115</v>
      </c>
      <c r="V668" t="s">
        <v>94</v>
      </c>
      <c r="W668">
        <v>265472419.80000001</v>
      </c>
      <c r="X668">
        <v>266439117.80000001</v>
      </c>
      <c r="Y668">
        <v>267499117.80000001</v>
      </c>
      <c r="Z668">
        <v>268599117.80000001</v>
      </c>
      <c r="AA668">
        <v>270179117.80000001</v>
      </c>
      <c r="AB668">
        <v>11771318980.64817</v>
      </c>
      <c r="AC668">
        <v>12211731.310799999</v>
      </c>
      <c r="AD668">
        <v>11955953560.343639</v>
      </c>
      <c r="AE668">
        <v>12256199.4188</v>
      </c>
      <c r="AF668">
        <v>12567684459.780279</v>
      </c>
      <c r="AG668">
        <v>12304959.4188</v>
      </c>
      <c r="AH668">
        <v>13628914014.237591</v>
      </c>
      <c r="AI668">
        <v>12355559.4188</v>
      </c>
      <c r="AJ668">
        <v>14271156818.748341</v>
      </c>
      <c r="AK668">
        <v>12428239.4188</v>
      </c>
    </row>
    <row r="669" spans="1:37" x14ac:dyDescent="0.35">
      <c r="A669" t="s">
        <v>7219</v>
      </c>
      <c r="B669">
        <v>1.71</v>
      </c>
      <c r="C669" t="s">
        <v>231</v>
      </c>
      <c r="D669" t="s">
        <v>7220</v>
      </c>
      <c r="E669" t="s">
        <v>7221</v>
      </c>
      <c r="F669">
        <v>0.191</v>
      </c>
      <c r="G669" t="s">
        <v>7222</v>
      </c>
      <c r="H669">
        <v>0.4</v>
      </c>
      <c r="I669">
        <v>0.1</v>
      </c>
      <c r="J669" t="s">
        <v>7223</v>
      </c>
      <c r="K669" t="s">
        <v>7224</v>
      </c>
      <c r="L669" t="s">
        <v>7225</v>
      </c>
      <c r="M669" t="s">
        <v>7226</v>
      </c>
      <c r="N669">
        <v>725.9551939635088</v>
      </c>
      <c r="O669">
        <v>734.66665629107092</v>
      </c>
      <c r="P669">
        <v>769.19598913675122</v>
      </c>
      <c r="Q669">
        <v>830.73166826769136</v>
      </c>
      <c r="R669">
        <v>864.79166666666663</v>
      </c>
      <c r="S669" t="s">
        <v>7227</v>
      </c>
      <c r="T669" t="s">
        <v>7228</v>
      </c>
      <c r="U669" t="s">
        <v>5326</v>
      </c>
      <c r="V669" t="s">
        <v>94</v>
      </c>
      <c r="W669">
        <v>265472419.80000001</v>
      </c>
      <c r="X669">
        <v>266439117.80000001</v>
      </c>
      <c r="Y669">
        <v>267499117.80000001</v>
      </c>
      <c r="Z669">
        <v>268599117.80000001</v>
      </c>
      <c r="AA669">
        <v>270179117.80000001</v>
      </c>
      <c r="AB669">
        <v>36809726663.503357</v>
      </c>
      <c r="AC669">
        <v>50705232.1818</v>
      </c>
      <c r="AD669">
        <v>37387091733.840332</v>
      </c>
      <c r="AE669">
        <v>50889871.499799997</v>
      </c>
      <c r="AF669">
        <v>39300016465.291458</v>
      </c>
      <c r="AG669">
        <v>51092331.499799997</v>
      </c>
      <c r="AH669">
        <v>42618554506.017807</v>
      </c>
      <c r="AI669">
        <v>51302431.499799997</v>
      </c>
      <c r="AJ669">
        <v>44626892069.931213</v>
      </c>
      <c r="AK669">
        <v>51604211.499799997</v>
      </c>
    </row>
    <row r="670" spans="1:37" x14ac:dyDescent="0.35">
      <c r="A670" t="s">
        <v>7229</v>
      </c>
      <c r="B670">
        <v>9787.0300000000007</v>
      </c>
      <c r="C670" t="s">
        <v>3897</v>
      </c>
      <c r="D670" t="s">
        <v>7230</v>
      </c>
      <c r="E670" t="s">
        <v>7231</v>
      </c>
      <c r="F670">
        <v>4.6E-5</v>
      </c>
      <c r="G670" t="s">
        <v>7232</v>
      </c>
      <c r="H670">
        <v>8530.2000000000007</v>
      </c>
      <c r="I670">
        <v>503.05</v>
      </c>
      <c r="J670" t="s">
        <v>7233</v>
      </c>
      <c r="K670" t="s">
        <v>7234</v>
      </c>
      <c r="L670" t="s">
        <v>7235</v>
      </c>
      <c r="M670" t="s">
        <v>7236</v>
      </c>
      <c r="N670">
        <v>83246.126795140968</v>
      </c>
      <c r="O670">
        <v>84245.080316682666</v>
      </c>
      <c r="P670">
        <v>88204.59909156675</v>
      </c>
      <c r="Q670">
        <v>95260.967018892101</v>
      </c>
      <c r="R670">
        <v>99166.666666666672</v>
      </c>
      <c r="S670" t="s">
        <v>7237</v>
      </c>
      <c r="T670" t="s">
        <v>7238</v>
      </c>
      <c r="U670" t="s">
        <v>7239</v>
      </c>
      <c r="V670" t="s">
        <v>49</v>
      </c>
      <c r="W670">
        <v>338996155</v>
      </c>
      <c r="X670">
        <v>339500751</v>
      </c>
      <c r="Y670">
        <v>340560751</v>
      </c>
      <c r="Z670">
        <v>341660751</v>
      </c>
      <c r="AA670">
        <v>343660751</v>
      </c>
      <c r="AB670">
        <v>1298125377.500982</v>
      </c>
      <c r="AC670">
        <v>15593.823130000001</v>
      </c>
      <c r="AD670">
        <v>1315658329.636178</v>
      </c>
      <c r="AE670">
        <v>15617.034546000001</v>
      </c>
      <c r="AF670">
        <v>1381795127.3807831</v>
      </c>
      <c r="AG670">
        <v>15665.794545999999</v>
      </c>
      <c r="AH670">
        <v>1497158942.5024021</v>
      </c>
      <c r="AI670">
        <v>15716.394546</v>
      </c>
      <c r="AJ670">
        <v>1567665792.478333</v>
      </c>
      <c r="AK670">
        <v>15808.394546</v>
      </c>
    </row>
    <row r="671" spans="1:37" x14ac:dyDescent="0.35">
      <c r="A671" t="s">
        <v>7240</v>
      </c>
      <c r="B671">
        <v>2.4900000000000002</v>
      </c>
      <c r="C671" t="s">
        <v>1368</v>
      </c>
      <c r="D671" t="s">
        <v>7241</v>
      </c>
      <c r="E671" t="s">
        <v>7242</v>
      </c>
      <c r="F671">
        <v>0.2</v>
      </c>
      <c r="G671" t="s">
        <v>7243</v>
      </c>
      <c r="H671">
        <v>15.2</v>
      </c>
      <c r="I671">
        <v>0.01</v>
      </c>
      <c r="J671" t="s">
        <v>7244</v>
      </c>
      <c r="K671" t="s">
        <v>7245</v>
      </c>
      <c r="L671" t="s">
        <v>7246</v>
      </c>
      <c r="M671" t="s">
        <v>7247</v>
      </c>
      <c r="N671">
        <v>260.23158964531473</v>
      </c>
      <c r="O671">
        <v>263.35436872105839</v>
      </c>
      <c r="P671">
        <v>275.73202405094821</v>
      </c>
      <c r="Q671">
        <v>297.79058597502399</v>
      </c>
      <c r="R671">
        <v>310</v>
      </c>
      <c r="S671" t="s">
        <v>7248</v>
      </c>
      <c r="T671" t="s">
        <v>1867</v>
      </c>
      <c r="U671" t="s">
        <v>7249</v>
      </c>
      <c r="V671" t="s">
        <v>1017</v>
      </c>
      <c r="W671">
        <v>331357816</v>
      </c>
      <c r="X671">
        <v>331968553.60000002</v>
      </c>
      <c r="Y671">
        <v>333028553.60000002</v>
      </c>
      <c r="Z671">
        <v>334128553.60000002</v>
      </c>
      <c r="AA671">
        <v>336128553.60000002</v>
      </c>
      <c r="AB671">
        <v>17245954239.815941</v>
      </c>
      <c r="AC671">
        <v>66271563.200000003</v>
      </c>
      <c r="AD671">
        <v>17485073773.714169</v>
      </c>
      <c r="AE671">
        <v>66393710.720000014</v>
      </c>
      <c r="AF671">
        <v>18365327430.17754</v>
      </c>
      <c r="AG671">
        <v>66605710.720000014</v>
      </c>
      <c r="AH671">
        <v>19900067553.506248</v>
      </c>
      <c r="AI671">
        <v>66825710.720000014</v>
      </c>
      <c r="AJ671">
        <v>20839970323.200001</v>
      </c>
      <c r="AK671">
        <v>67225710.720000014</v>
      </c>
    </row>
    <row r="672" spans="1:37" x14ac:dyDescent="0.35">
      <c r="A672" t="s">
        <v>7250</v>
      </c>
      <c r="B672">
        <v>102.75</v>
      </c>
      <c r="C672" t="s">
        <v>2436</v>
      </c>
      <c r="D672" t="s">
        <v>7251</v>
      </c>
      <c r="E672" t="s">
        <v>7252</v>
      </c>
      <c r="F672">
        <v>1.4999999999999999E-2</v>
      </c>
      <c r="G672" t="s">
        <v>7253</v>
      </c>
      <c r="H672">
        <v>0.3</v>
      </c>
      <c r="I672">
        <v>0.02</v>
      </c>
      <c r="J672" t="s">
        <v>7254</v>
      </c>
      <c r="K672" t="s">
        <v>7255</v>
      </c>
      <c r="L672" t="s">
        <v>7256</v>
      </c>
      <c r="M672" t="s">
        <v>7257</v>
      </c>
      <c r="N672">
        <v>2999.6587537610458</v>
      </c>
      <c r="O672">
        <v>3035.6546588061792</v>
      </c>
      <c r="P672">
        <v>3178.330427770069</v>
      </c>
      <c r="Q672">
        <v>3432.5968619916748</v>
      </c>
      <c r="R672">
        <v>3573.333333333333</v>
      </c>
      <c r="S672" t="s">
        <v>7258</v>
      </c>
      <c r="T672" t="s">
        <v>7259</v>
      </c>
      <c r="U672" t="s">
        <v>7260</v>
      </c>
      <c r="V672" t="s">
        <v>49</v>
      </c>
      <c r="W672">
        <v>338996155</v>
      </c>
      <c r="X672">
        <v>339500751</v>
      </c>
      <c r="Y672">
        <v>340560751</v>
      </c>
      <c r="Z672">
        <v>341660751</v>
      </c>
      <c r="AA672">
        <v>343660751</v>
      </c>
      <c r="AB672">
        <v>15253091757.556299</v>
      </c>
      <c r="AC672">
        <v>5084942.3250000002</v>
      </c>
      <c r="AD672">
        <v>15459105546.620199</v>
      </c>
      <c r="AE672">
        <v>5092511.2649999997</v>
      </c>
      <c r="AF672">
        <v>16236218961.11289</v>
      </c>
      <c r="AG672">
        <v>5108411.2649999997</v>
      </c>
      <c r="AH672">
        <v>17591754326.224781</v>
      </c>
      <c r="AI672">
        <v>5124911.2649999997</v>
      </c>
      <c r="AJ672">
        <v>18420216253.599998</v>
      </c>
      <c r="AK672">
        <v>5154911.2649999997</v>
      </c>
    </row>
    <row r="673" spans="1:37" x14ac:dyDescent="0.35">
      <c r="A673" t="s">
        <v>7261</v>
      </c>
      <c r="B673">
        <v>21.09</v>
      </c>
      <c r="C673" t="s">
        <v>2436</v>
      </c>
      <c r="D673" t="s">
        <v>6871</v>
      </c>
      <c r="E673" t="s">
        <v>7262</v>
      </c>
      <c r="F673">
        <v>1.4999999999999999E-2</v>
      </c>
      <c r="G673" t="s">
        <v>7263</v>
      </c>
      <c r="H673">
        <v>0.25</v>
      </c>
      <c r="I673">
        <v>0.12</v>
      </c>
      <c r="J673" t="s">
        <v>7264</v>
      </c>
      <c r="K673" t="s">
        <v>7265</v>
      </c>
      <c r="L673" t="s">
        <v>7266</v>
      </c>
      <c r="M673" t="s">
        <v>7267</v>
      </c>
      <c r="N673">
        <v>2999.6587537610458</v>
      </c>
      <c r="O673">
        <v>3035.6546588061792</v>
      </c>
      <c r="P673">
        <v>3178.330427770069</v>
      </c>
      <c r="Q673">
        <v>3432.5968619916748</v>
      </c>
      <c r="R673">
        <v>3573.333333333333</v>
      </c>
      <c r="S673" t="s">
        <v>7268</v>
      </c>
      <c r="T673" t="s">
        <v>7269</v>
      </c>
      <c r="U673" t="s">
        <v>7270</v>
      </c>
      <c r="V673" t="s">
        <v>49</v>
      </c>
      <c r="W673">
        <v>338996155</v>
      </c>
      <c r="X673">
        <v>339500751</v>
      </c>
      <c r="Y673">
        <v>340560751</v>
      </c>
      <c r="Z673">
        <v>341660751</v>
      </c>
      <c r="AA673">
        <v>343660751</v>
      </c>
      <c r="AB673">
        <v>15253091757.556299</v>
      </c>
      <c r="AC673">
        <v>5084942.3250000002</v>
      </c>
      <c r="AD673">
        <v>15459105546.620199</v>
      </c>
      <c r="AE673">
        <v>5092511.2649999997</v>
      </c>
      <c r="AF673">
        <v>16236218961.11289</v>
      </c>
      <c r="AG673">
        <v>5108411.2649999997</v>
      </c>
      <c r="AH673">
        <v>17591754326.224781</v>
      </c>
      <c r="AI673">
        <v>5124911.2649999997</v>
      </c>
      <c r="AJ673">
        <v>18420216253.599998</v>
      </c>
      <c r="AK673">
        <v>5154911.2649999997</v>
      </c>
    </row>
    <row r="674" spans="1:37" x14ac:dyDescent="0.35">
      <c r="A674" t="s">
        <v>7271</v>
      </c>
      <c r="B674">
        <v>52.34</v>
      </c>
      <c r="C674" t="s">
        <v>1042</v>
      </c>
      <c r="D674" t="s">
        <v>7272</v>
      </c>
      <c r="E674" t="s">
        <v>7273</v>
      </c>
      <c r="F674">
        <v>0.187</v>
      </c>
      <c r="G674" t="s">
        <v>7274</v>
      </c>
      <c r="H674">
        <v>0.15</v>
      </c>
      <c r="I674">
        <v>0.01</v>
      </c>
      <c r="J674" t="s">
        <v>7275</v>
      </c>
      <c r="K674" t="s">
        <v>7276</v>
      </c>
      <c r="L674" t="s">
        <v>7277</v>
      </c>
      <c r="M674" t="s">
        <v>7278</v>
      </c>
      <c r="N674">
        <v>1770.7290626067279</v>
      </c>
      <c r="O674">
        <v>1791.9778113580089</v>
      </c>
      <c r="P674">
        <v>1876.2007684918351</v>
      </c>
      <c r="Q674">
        <v>2026.296829971182</v>
      </c>
      <c r="R674">
        <v>2109.375</v>
      </c>
      <c r="S674" t="s">
        <v>7279</v>
      </c>
      <c r="T674" t="s">
        <v>7280</v>
      </c>
      <c r="U674" t="s">
        <v>6558</v>
      </c>
      <c r="V674" t="s">
        <v>1053</v>
      </c>
      <c r="W674">
        <v>158713600</v>
      </c>
      <c r="X674">
        <v>160457415</v>
      </c>
      <c r="Y674">
        <v>160457415</v>
      </c>
      <c r="Z674">
        <v>160557415</v>
      </c>
      <c r="AA674">
        <v>160557415</v>
      </c>
      <c r="AB674">
        <v>52554252636.225616</v>
      </c>
      <c r="AC674">
        <v>29679443.199999999</v>
      </c>
      <c r="AD674">
        <v>53769255814.050507</v>
      </c>
      <c r="AE674">
        <v>30005536.605</v>
      </c>
      <c r="AF674">
        <v>56296410837.310883</v>
      </c>
      <c r="AG674">
        <v>30005536.605</v>
      </c>
      <c r="AH674">
        <v>60838015455.01622</v>
      </c>
      <c r="AI674">
        <v>30024236.605</v>
      </c>
      <c r="AJ674">
        <v>63332374088.671883</v>
      </c>
      <c r="AK674">
        <v>30024236.605</v>
      </c>
    </row>
    <row r="675" spans="1:37" x14ac:dyDescent="0.35">
      <c r="A675" t="s">
        <v>7281</v>
      </c>
      <c r="B675">
        <v>76.760000000000005</v>
      </c>
      <c r="C675" t="s">
        <v>1042</v>
      </c>
      <c r="D675" t="s">
        <v>7282</v>
      </c>
      <c r="E675" t="s">
        <v>7283</v>
      </c>
      <c r="F675">
        <v>0.187</v>
      </c>
      <c r="G675" t="s">
        <v>7284</v>
      </c>
      <c r="H675">
        <v>0.2</v>
      </c>
      <c r="I675">
        <v>0.12</v>
      </c>
      <c r="J675" t="s">
        <v>7285</v>
      </c>
      <c r="K675" t="s">
        <v>7286</v>
      </c>
      <c r="L675" t="s">
        <v>7287</v>
      </c>
      <c r="M675" t="s">
        <v>7288</v>
      </c>
      <c r="N675">
        <v>1770.7290626067279</v>
      </c>
      <c r="O675">
        <v>1791.9778113580089</v>
      </c>
      <c r="P675">
        <v>1876.2007684918351</v>
      </c>
      <c r="Q675">
        <v>2026.296829971182</v>
      </c>
      <c r="R675">
        <v>2109.375</v>
      </c>
      <c r="S675" t="s">
        <v>7289</v>
      </c>
      <c r="T675" t="s">
        <v>7290</v>
      </c>
      <c r="U675" t="s">
        <v>7291</v>
      </c>
      <c r="V675" t="s">
        <v>1053</v>
      </c>
      <c r="W675">
        <v>158713600</v>
      </c>
      <c r="X675">
        <v>160457415</v>
      </c>
      <c r="Y675">
        <v>160457415</v>
      </c>
      <c r="Z675">
        <v>160557415</v>
      </c>
      <c r="AA675">
        <v>160557415</v>
      </c>
      <c r="AB675">
        <v>52554252636.225616</v>
      </c>
      <c r="AC675">
        <v>29679443.199999999</v>
      </c>
      <c r="AD675">
        <v>53769255814.050507</v>
      </c>
      <c r="AE675">
        <v>30005536.605</v>
      </c>
      <c r="AF675">
        <v>56296410837.310883</v>
      </c>
      <c r="AG675">
        <v>30005536.605</v>
      </c>
      <c r="AH675">
        <v>60838015455.01622</v>
      </c>
      <c r="AI675">
        <v>30024236.605</v>
      </c>
      <c r="AJ675">
        <v>63332374088.671883</v>
      </c>
      <c r="AK675">
        <v>30024236.605</v>
      </c>
    </row>
    <row r="676" spans="1:37" x14ac:dyDescent="0.35">
      <c r="A676" t="s">
        <v>7292</v>
      </c>
      <c r="B676">
        <v>43.79</v>
      </c>
      <c r="C676" t="s">
        <v>1042</v>
      </c>
      <c r="D676" t="s">
        <v>7293</v>
      </c>
      <c r="E676" t="s">
        <v>7294</v>
      </c>
      <c r="F676">
        <v>0.187</v>
      </c>
      <c r="G676" t="s">
        <v>7295</v>
      </c>
      <c r="H676">
        <v>1520.2</v>
      </c>
      <c r="I676">
        <v>1.02</v>
      </c>
      <c r="J676" t="s">
        <v>7296</v>
      </c>
      <c r="K676" t="s">
        <v>7297</v>
      </c>
      <c r="L676" t="s">
        <v>7298</v>
      </c>
      <c r="M676" t="s">
        <v>7299</v>
      </c>
      <c r="N676">
        <v>1770.7290626067279</v>
      </c>
      <c r="O676">
        <v>1791.9778113580089</v>
      </c>
      <c r="P676">
        <v>1876.2007684918351</v>
      </c>
      <c r="Q676">
        <v>2026.296829971182</v>
      </c>
      <c r="R676">
        <v>2109.375</v>
      </c>
      <c r="S676" t="s">
        <v>7300</v>
      </c>
      <c r="T676" t="s">
        <v>7301</v>
      </c>
      <c r="U676" t="s">
        <v>7302</v>
      </c>
      <c r="V676" t="s">
        <v>1053</v>
      </c>
      <c r="W676">
        <v>158713600</v>
      </c>
      <c r="X676">
        <v>160457415</v>
      </c>
      <c r="Y676">
        <v>160457415</v>
      </c>
      <c r="Z676">
        <v>160557415</v>
      </c>
      <c r="AA676">
        <v>160557415</v>
      </c>
      <c r="AB676">
        <v>52554252636.225616</v>
      </c>
      <c r="AC676">
        <v>29679443.199999999</v>
      </c>
      <c r="AD676">
        <v>53769255814.050507</v>
      </c>
      <c r="AE676">
        <v>30005536.605</v>
      </c>
      <c r="AF676">
        <v>56296410837.310883</v>
      </c>
      <c r="AG676">
        <v>30005536.605</v>
      </c>
      <c r="AH676">
        <v>60838015455.01622</v>
      </c>
      <c r="AI676">
        <v>30024236.605</v>
      </c>
      <c r="AJ676">
        <v>63332374088.671883</v>
      </c>
      <c r="AK676">
        <v>30024236.605</v>
      </c>
    </row>
    <row r="677" spans="1:37" x14ac:dyDescent="0.35">
      <c r="A677" t="s">
        <v>7303</v>
      </c>
      <c r="B677">
        <v>3.8</v>
      </c>
      <c r="C677" t="s">
        <v>487</v>
      </c>
      <c r="D677" t="s">
        <v>7304</v>
      </c>
      <c r="E677" t="s">
        <v>7305</v>
      </c>
      <c r="F677">
        <v>2.8000000000000001E-2</v>
      </c>
      <c r="G677" t="s">
        <v>7306</v>
      </c>
      <c r="H677">
        <v>30.5</v>
      </c>
      <c r="I677">
        <v>1710.2</v>
      </c>
      <c r="J677" t="s">
        <v>7307</v>
      </c>
      <c r="K677" t="s">
        <v>7308</v>
      </c>
      <c r="L677" t="s">
        <v>7309</v>
      </c>
      <c r="M677" t="s">
        <v>7310</v>
      </c>
      <c r="N677">
        <v>4761.448013576749</v>
      </c>
      <c r="O677">
        <v>4818.5853897396701</v>
      </c>
      <c r="P677">
        <v>5045.0589030574338</v>
      </c>
      <c r="Q677">
        <v>5448.663615302029</v>
      </c>
      <c r="R677">
        <v>5672.0588235294117</v>
      </c>
      <c r="S677" t="s">
        <v>7311</v>
      </c>
      <c r="T677" t="s">
        <v>7312</v>
      </c>
      <c r="U677" t="s">
        <v>6357</v>
      </c>
      <c r="V677" t="s">
        <v>94</v>
      </c>
      <c r="W677">
        <v>265472419.80000001</v>
      </c>
      <c r="X677">
        <v>266439117.80000001</v>
      </c>
      <c r="Y677">
        <v>267499117.80000001</v>
      </c>
      <c r="Z677">
        <v>268599117.80000001</v>
      </c>
      <c r="AA677">
        <v>270179117.80000001</v>
      </c>
      <c r="AB677">
        <v>35392927525.651443</v>
      </c>
      <c r="AC677">
        <v>7433227.7544000009</v>
      </c>
      <c r="AD677">
        <v>35948069928.013786</v>
      </c>
      <c r="AE677">
        <v>7460295.2984000007</v>
      </c>
      <c r="AF677">
        <v>37787366562.873177</v>
      </c>
      <c r="AG677">
        <v>7489975.2984000007</v>
      </c>
      <c r="AH677">
        <v>40978174727.254341</v>
      </c>
      <c r="AI677">
        <v>7520775.2984000007</v>
      </c>
      <c r="AJ677">
        <v>42909211773.424713</v>
      </c>
      <c r="AK677">
        <v>7565015.2984000007</v>
      </c>
    </row>
    <row r="678" spans="1:37" x14ac:dyDescent="0.35">
      <c r="A678" t="s">
        <v>7313</v>
      </c>
      <c r="B678">
        <v>24.23</v>
      </c>
      <c r="C678" t="s">
        <v>1019</v>
      </c>
      <c r="D678" t="s">
        <v>7314</v>
      </c>
      <c r="E678" t="s">
        <v>7315</v>
      </c>
      <c r="F678">
        <v>0.28999999999999998</v>
      </c>
      <c r="G678" t="s">
        <v>4929</v>
      </c>
      <c r="H678">
        <v>0.5</v>
      </c>
      <c r="I678">
        <v>0</v>
      </c>
      <c r="J678" t="s">
        <v>7316</v>
      </c>
      <c r="K678" t="s">
        <v>7317</v>
      </c>
      <c r="L678" t="s">
        <v>7318</v>
      </c>
      <c r="M678" t="s">
        <v>7319</v>
      </c>
      <c r="N678">
        <v>349.3072771403954</v>
      </c>
      <c r="O678">
        <v>353.49896446608022</v>
      </c>
      <c r="P678">
        <v>370.11341579598587</v>
      </c>
      <c r="Q678">
        <v>399.72248905966478</v>
      </c>
      <c r="R678">
        <v>416.11111111111109</v>
      </c>
      <c r="S678" t="s">
        <v>7320</v>
      </c>
      <c r="T678" t="s">
        <v>1157</v>
      </c>
      <c r="U678" t="s">
        <v>7321</v>
      </c>
      <c r="V678" t="s">
        <v>1029</v>
      </c>
      <c r="W678">
        <v>139921842</v>
      </c>
      <c r="X678">
        <v>139603232</v>
      </c>
      <c r="Y678">
        <v>140663232</v>
      </c>
      <c r="Z678">
        <v>141763232</v>
      </c>
      <c r="AA678">
        <v>143763232</v>
      </c>
      <c r="AB678">
        <v>14173958116.0317</v>
      </c>
      <c r="AC678">
        <v>40577334.18</v>
      </c>
      <c r="AD678">
        <v>14311383404.954201</v>
      </c>
      <c r="AE678">
        <v>40484937.279999986</v>
      </c>
      <c r="AF678">
        <v>15097791289.002741</v>
      </c>
      <c r="AG678">
        <v>40792337.279999986</v>
      </c>
      <c r="AH678">
        <v>16433126066.13299</v>
      </c>
      <c r="AI678">
        <v>41111337.279999986</v>
      </c>
      <c r="AJ678">
        <v>17348228679.288891</v>
      </c>
      <c r="AK678">
        <v>41691337.279999986</v>
      </c>
    </row>
    <row r="679" spans="1:37" x14ac:dyDescent="0.35">
      <c r="A679" t="s">
        <v>7322</v>
      </c>
      <c r="B679">
        <v>34.57</v>
      </c>
      <c r="C679" t="s">
        <v>1006</v>
      </c>
      <c r="D679" t="s">
        <v>7323</v>
      </c>
      <c r="E679" t="s">
        <v>7324</v>
      </c>
      <c r="F679">
        <v>2.5000000000000001E-5</v>
      </c>
      <c r="G679" t="s">
        <v>7325</v>
      </c>
      <c r="H679">
        <v>0.7</v>
      </c>
      <c r="I679">
        <v>10.199999999999999</v>
      </c>
      <c r="J679" t="s">
        <v>7326</v>
      </c>
      <c r="K679" t="s">
        <v>7327</v>
      </c>
      <c r="L679" t="s">
        <v>7328</v>
      </c>
      <c r="M679" t="s">
        <v>7329</v>
      </c>
      <c r="N679">
        <v>16395.639468580812</v>
      </c>
      <c r="O679">
        <v>16592.387142203781</v>
      </c>
      <c r="P679">
        <v>17372.229337887358</v>
      </c>
      <c r="Q679">
        <v>18762.00768491835</v>
      </c>
      <c r="R679">
        <v>19531.25</v>
      </c>
      <c r="S679" t="s">
        <v>7330</v>
      </c>
      <c r="T679" t="s">
        <v>7331</v>
      </c>
      <c r="U679" t="s">
        <v>2360</v>
      </c>
      <c r="V679" t="s">
        <v>1017</v>
      </c>
      <c r="W679">
        <v>331357816</v>
      </c>
      <c r="X679">
        <v>331968553.60000002</v>
      </c>
      <c r="Y679">
        <v>333028553.60000002</v>
      </c>
      <c r="Z679">
        <v>334128553.60000002</v>
      </c>
      <c r="AA679">
        <v>336128553.60000002</v>
      </c>
      <c r="AB679">
        <v>135820582.15580839</v>
      </c>
      <c r="AC679">
        <v>8283.9454000000005</v>
      </c>
      <c r="AD679">
        <v>137703769.00921571</v>
      </c>
      <c r="AE679">
        <v>8299.2138400000003</v>
      </c>
      <c r="AF679">
        <v>144636210.23010281</v>
      </c>
      <c r="AG679">
        <v>8325.7138400000003</v>
      </c>
      <c r="AH679">
        <v>156723062.2598463</v>
      </c>
      <c r="AI679">
        <v>8353.2138400000003</v>
      </c>
      <c r="AJ679">
        <v>164125270.3125</v>
      </c>
      <c r="AK679">
        <v>8403.2138400000003</v>
      </c>
    </row>
    <row r="680" spans="1:37" x14ac:dyDescent="0.35">
      <c r="A680" t="s">
        <v>7332</v>
      </c>
      <c r="B680">
        <v>98.5</v>
      </c>
      <c r="C680" t="s">
        <v>208</v>
      </c>
      <c r="D680" t="s">
        <v>7333</v>
      </c>
      <c r="E680" t="s">
        <v>7334</v>
      </c>
      <c r="F680">
        <v>3.1E-2</v>
      </c>
      <c r="G680" t="s">
        <v>7335</v>
      </c>
      <c r="H680">
        <v>0.25</v>
      </c>
      <c r="I680">
        <v>0.21</v>
      </c>
      <c r="J680" t="s">
        <v>7336</v>
      </c>
      <c r="K680" t="s">
        <v>7337</v>
      </c>
      <c r="L680" t="s">
        <v>7338</v>
      </c>
      <c r="M680" t="s">
        <v>7339</v>
      </c>
      <c r="N680">
        <v>1106.1651733936201</v>
      </c>
      <c r="O680">
        <v>1119.4391554743429</v>
      </c>
      <c r="P680">
        <v>1172.0527957816371</v>
      </c>
      <c r="Q680">
        <v>1265.817019444168</v>
      </c>
      <c r="R680">
        <v>1317.7155172413791</v>
      </c>
      <c r="S680" t="s">
        <v>7340</v>
      </c>
      <c r="T680" t="s">
        <v>7341</v>
      </c>
      <c r="U680" t="s">
        <v>7342</v>
      </c>
      <c r="V680" t="s">
        <v>94</v>
      </c>
      <c r="W680">
        <v>265472419.80000001</v>
      </c>
      <c r="X680">
        <v>266439117.80000001</v>
      </c>
      <c r="Y680">
        <v>267499117.80000001</v>
      </c>
      <c r="Z680">
        <v>268599117.80000001</v>
      </c>
      <c r="AA680">
        <v>270179117.80000001</v>
      </c>
      <c r="AB680">
        <v>9103346703.6580143</v>
      </c>
      <c r="AC680">
        <v>8229645.0138000008</v>
      </c>
      <c r="AD680">
        <v>9246133811.4761925</v>
      </c>
      <c r="AE680">
        <v>8259612.6518000001</v>
      </c>
      <c r="AF680">
        <v>9719215755.4849567</v>
      </c>
      <c r="AG680">
        <v>8292472.6518000001</v>
      </c>
      <c r="AH680">
        <v>10539917376.2868</v>
      </c>
      <c r="AI680">
        <v>8326572.6518000001</v>
      </c>
      <c r="AJ680">
        <v>11036595694.749041</v>
      </c>
      <c r="AK680">
        <v>8375552.6518000001</v>
      </c>
    </row>
    <row r="681" spans="1:37" x14ac:dyDescent="0.35">
      <c r="A681" t="s">
        <v>7343</v>
      </c>
      <c r="B681">
        <v>31.68</v>
      </c>
      <c r="C681" t="s">
        <v>208</v>
      </c>
      <c r="D681" t="s">
        <v>7344</v>
      </c>
      <c r="E681" t="s">
        <v>7345</v>
      </c>
      <c r="F681">
        <v>3.1E-2</v>
      </c>
      <c r="G681" t="s">
        <v>7346</v>
      </c>
      <c r="H681">
        <v>0.3</v>
      </c>
      <c r="I681">
        <v>0.01</v>
      </c>
      <c r="J681" t="s">
        <v>7347</v>
      </c>
      <c r="K681" t="s">
        <v>7348</v>
      </c>
      <c r="L681" t="s">
        <v>7349</v>
      </c>
      <c r="M681" t="s">
        <v>7350</v>
      </c>
      <c r="N681">
        <v>1106.1651733936201</v>
      </c>
      <c r="O681">
        <v>1119.4391554743429</v>
      </c>
      <c r="P681">
        <v>1172.0527957816371</v>
      </c>
      <c r="Q681">
        <v>1265.817019444168</v>
      </c>
      <c r="R681">
        <v>1317.7155172413791</v>
      </c>
      <c r="S681" t="s">
        <v>7351</v>
      </c>
      <c r="T681" t="s">
        <v>7352</v>
      </c>
      <c r="U681" t="s">
        <v>7353</v>
      </c>
      <c r="V681" t="s">
        <v>94</v>
      </c>
      <c r="W681">
        <v>265472419.80000001</v>
      </c>
      <c r="X681">
        <v>266439117.80000001</v>
      </c>
      <c r="Y681">
        <v>267499117.80000001</v>
      </c>
      <c r="Z681">
        <v>268599117.80000001</v>
      </c>
      <c r="AA681">
        <v>270179117.80000001</v>
      </c>
      <c r="AB681">
        <v>9103346703.6580143</v>
      </c>
      <c r="AC681">
        <v>8229645.0138000008</v>
      </c>
      <c r="AD681">
        <v>9246133811.4761925</v>
      </c>
      <c r="AE681">
        <v>8259612.6518000001</v>
      </c>
      <c r="AF681">
        <v>9719215755.4849567</v>
      </c>
      <c r="AG681">
        <v>8292472.6518000001</v>
      </c>
      <c r="AH681">
        <v>10539917376.2868</v>
      </c>
      <c r="AI681">
        <v>8326572.6518000001</v>
      </c>
      <c r="AJ681">
        <v>11036595694.749041</v>
      </c>
      <c r="AK681">
        <v>8375552.6518000001</v>
      </c>
    </row>
    <row r="682" spans="1:37" x14ac:dyDescent="0.35">
      <c r="A682" t="s">
        <v>7354</v>
      </c>
      <c r="B682">
        <v>32.67</v>
      </c>
      <c r="C682" t="s">
        <v>208</v>
      </c>
      <c r="D682" t="s">
        <v>7355</v>
      </c>
      <c r="E682" t="s">
        <v>7356</v>
      </c>
      <c r="F682">
        <v>3.1E-2</v>
      </c>
      <c r="G682" t="s">
        <v>7357</v>
      </c>
      <c r="H682">
        <v>25.4</v>
      </c>
      <c r="I682">
        <v>0.15</v>
      </c>
      <c r="J682" t="s">
        <v>7358</v>
      </c>
      <c r="K682" t="s">
        <v>7359</v>
      </c>
      <c r="L682" t="s">
        <v>7360</v>
      </c>
      <c r="M682" t="s">
        <v>7361</v>
      </c>
      <c r="N682">
        <v>1106.1651733936201</v>
      </c>
      <c r="O682">
        <v>1119.4391554743429</v>
      </c>
      <c r="P682">
        <v>1172.0527957816371</v>
      </c>
      <c r="Q682">
        <v>1265.817019444168</v>
      </c>
      <c r="R682">
        <v>1317.7155172413791</v>
      </c>
      <c r="S682" t="s">
        <v>7362</v>
      </c>
      <c r="T682" t="s">
        <v>7363</v>
      </c>
      <c r="U682" t="s">
        <v>530</v>
      </c>
      <c r="V682" t="s">
        <v>94</v>
      </c>
      <c r="W682">
        <v>265472419.80000001</v>
      </c>
      <c r="X682">
        <v>266439117.80000001</v>
      </c>
      <c r="Y682">
        <v>267499117.80000001</v>
      </c>
      <c r="Z682">
        <v>268599117.80000001</v>
      </c>
      <c r="AA682">
        <v>270179117.80000001</v>
      </c>
      <c r="AB682">
        <v>9103346703.6580143</v>
      </c>
      <c r="AC682">
        <v>8229645.0138000008</v>
      </c>
      <c r="AD682">
        <v>9246133811.4761925</v>
      </c>
      <c r="AE682">
        <v>8259612.6518000001</v>
      </c>
      <c r="AF682">
        <v>9719215755.4849567</v>
      </c>
      <c r="AG682">
        <v>8292472.6518000001</v>
      </c>
      <c r="AH682">
        <v>10539917376.2868</v>
      </c>
      <c r="AI682">
        <v>8326572.6518000001</v>
      </c>
      <c r="AJ682">
        <v>11036595694.749041</v>
      </c>
      <c r="AK682">
        <v>8375552.6518000001</v>
      </c>
    </row>
    <row r="683" spans="1:37" x14ac:dyDescent="0.35">
      <c r="A683" t="s">
        <v>7364</v>
      </c>
      <c r="B683">
        <v>35.64</v>
      </c>
      <c r="C683" t="s">
        <v>208</v>
      </c>
      <c r="D683" t="s">
        <v>7365</v>
      </c>
      <c r="E683" t="s">
        <v>7366</v>
      </c>
      <c r="F683">
        <v>3.1E-2</v>
      </c>
      <c r="G683" t="s">
        <v>7367</v>
      </c>
      <c r="H683">
        <v>0.4</v>
      </c>
      <c r="I683">
        <v>6.15</v>
      </c>
      <c r="J683" t="s">
        <v>7368</v>
      </c>
      <c r="K683" t="s">
        <v>7369</v>
      </c>
      <c r="L683" t="s">
        <v>7370</v>
      </c>
      <c r="M683" t="s">
        <v>7371</v>
      </c>
      <c r="N683">
        <v>1106.1651733936201</v>
      </c>
      <c r="O683">
        <v>1119.4391554743429</v>
      </c>
      <c r="P683">
        <v>1172.0527957816371</v>
      </c>
      <c r="Q683">
        <v>1265.817019444168</v>
      </c>
      <c r="R683">
        <v>1317.7155172413791</v>
      </c>
      <c r="S683" t="s">
        <v>7372</v>
      </c>
      <c r="T683" t="s">
        <v>7373</v>
      </c>
      <c r="U683" t="s">
        <v>519</v>
      </c>
      <c r="V683" t="s">
        <v>94</v>
      </c>
      <c r="W683">
        <v>265472419.80000001</v>
      </c>
      <c r="X683">
        <v>266439117.80000001</v>
      </c>
      <c r="Y683">
        <v>267499117.80000001</v>
      </c>
      <c r="Z683">
        <v>268599117.80000001</v>
      </c>
      <c r="AA683">
        <v>270179117.80000001</v>
      </c>
      <c r="AB683">
        <v>9103346703.6580143</v>
      </c>
      <c r="AC683">
        <v>8229645.0138000008</v>
      </c>
      <c r="AD683">
        <v>9246133811.4761925</v>
      </c>
      <c r="AE683">
        <v>8259612.6518000001</v>
      </c>
      <c r="AF683">
        <v>9719215755.4849567</v>
      </c>
      <c r="AG683">
        <v>8292472.6518000001</v>
      </c>
      <c r="AH683">
        <v>10539917376.2868</v>
      </c>
      <c r="AI683">
        <v>8326572.6518000001</v>
      </c>
      <c r="AJ683">
        <v>11036595694.749041</v>
      </c>
      <c r="AK683">
        <v>8375552.6518000001</v>
      </c>
    </row>
    <row r="684" spans="1:37" x14ac:dyDescent="0.35">
      <c r="A684" t="s">
        <v>7374</v>
      </c>
      <c r="B684">
        <v>213.2</v>
      </c>
      <c r="C684" t="s">
        <v>613</v>
      </c>
      <c r="D684" t="s">
        <v>7375</v>
      </c>
      <c r="E684" t="s">
        <v>7376</v>
      </c>
      <c r="F684">
        <v>4.6899999999999997E-2</v>
      </c>
      <c r="G684" t="s">
        <v>7377</v>
      </c>
      <c r="H684">
        <v>0.26</v>
      </c>
      <c r="I684">
        <v>0.1</v>
      </c>
      <c r="J684" t="s">
        <v>7378</v>
      </c>
      <c r="K684" t="s">
        <v>7379</v>
      </c>
      <c r="L684" t="s">
        <v>7380</v>
      </c>
      <c r="M684" t="s">
        <v>7381</v>
      </c>
      <c r="N684">
        <v>3294.8677076059998</v>
      </c>
      <c r="O684">
        <v>3334.4061200972719</v>
      </c>
      <c r="P684">
        <v>3491.123207741844</v>
      </c>
      <c r="Q684">
        <v>3770.413064361192</v>
      </c>
      <c r="R684">
        <v>3925</v>
      </c>
      <c r="S684" t="s">
        <v>7382</v>
      </c>
      <c r="T684" t="s">
        <v>7383</v>
      </c>
      <c r="U684" t="s">
        <v>7384</v>
      </c>
      <c r="V684" t="s">
        <v>94</v>
      </c>
      <c r="W684">
        <v>265472419.80000001</v>
      </c>
      <c r="X684">
        <v>266439117.80000001</v>
      </c>
      <c r="Y684">
        <v>267499117.80000001</v>
      </c>
      <c r="Z684">
        <v>268599117.80000001</v>
      </c>
      <c r="AA684">
        <v>270179117.80000001</v>
      </c>
      <c r="AB684">
        <v>41023266002.849152</v>
      </c>
      <c r="AC684">
        <v>12450656.48862</v>
      </c>
      <c r="AD684">
        <v>41666720953.702423</v>
      </c>
      <c r="AE684">
        <v>12495994.62482</v>
      </c>
      <c r="AF684">
        <v>43798614537.676117</v>
      </c>
      <c r="AG684">
        <v>12545708.62482</v>
      </c>
      <c r="AH684">
        <v>47497019310.680603</v>
      </c>
      <c r="AI684">
        <v>12597298.62482</v>
      </c>
      <c r="AJ684">
        <v>49735247452.418503</v>
      </c>
      <c r="AK684">
        <v>12671400.62482</v>
      </c>
    </row>
    <row r="685" spans="1:37" x14ac:dyDescent="0.35">
      <c r="A685" t="s">
        <v>7385</v>
      </c>
      <c r="B685">
        <v>80</v>
      </c>
      <c r="C685" t="s">
        <v>487</v>
      </c>
      <c r="D685" t="s">
        <v>7386</v>
      </c>
      <c r="E685" t="s">
        <v>7387</v>
      </c>
      <c r="F685">
        <v>2.8000000000000001E-2</v>
      </c>
      <c r="G685" t="s">
        <v>7388</v>
      </c>
      <c r="H685">
        <v>80.7</v>
      </c>
      <c r="I685">
        <v>25.15</v>
      </c>
      <c r="J685" t="s">
        <v>7389</v>
      </c>
      <c r="K685" t="s">
        <v>7390</v>
      </c>
      <c r="L685" t="s">
        <v>7391</v>
      </c>
      <c r="M685" t="s">
        <v>7392</v>
      </c>
      <c r="N685">
        <v>4761.448013576749</v>
      </c>
      <c r="O685">
        <v>4818.5853897396701</v>
      </c>
      <c r="P685">
        <v>5045.0589030574338</v>
      </c>
      <c r="Q685">
        <v>5448.663615302029</v>
      </c>
      <c r="R685">
        <v>5672.0588235294117</v>
      </c>
      <c r="S685" t="s">
        <v>7393</v>
      </c>
      <c r="T685" t="s">
        <v>7394</v>
      </c>
      <c r="U685" t="s">
        <v>1293</v>
      </c>
      <c r="V685" t="s">
        <v>94</v>
      </c>
      <c r="W685">
        <v>265472419.80000001</v>
      </c>
      <c r="X685">
        <v>266439117.80000001</v>
      </c>
      <c r="Y685">
        <v>267499117.80000001</v>
      </c>
      <c r="Z685">
        <v>268599117.80000001</v>
      </c>
      <c r="AA685">
        <v>270179117.80000001</v>
      </c>
      <c r="AB685">
        <v>35392927525.651443</v>
      </c>
      <c r="AC685">
        <v>7433227.7544000009</v>
      </c>
      <c r="AD685">
        <v>35948069928.013786</v>
      </c>
      <c r="AE685">
        <v>7460295.2984000007</v>
      </c>
      <c r="AF685">
        <v>37787366562.873177</v>
      </c>
      <c r="AG685">
        <v>7489975.2984000007</v>
      </c>
      <c r="AH685">
        <v>40978174727.254341</v>
      </c>
      <c r="AI685">
        <v>7520775.2984000007</v>
      </c>
      <c r="AJ685">
        <v>42909211773.424713</v>
      </c>
      <c r="AK685">
        <v>7565015.2984000007</v>
      </c>
    </row>
    <row r="686" spans="1:37" x14ac:dyDescent="0.35">
      <c r="A686" t="s">
        <v>7395</v>
      </c>
      <c r="B686">
        <v>9.25</v>
      </c>
      <c r="C686" t="s">
        <v>2436</v>
      </c>
      <c r="D686" t="s">
        <v>7396</v>
      </c>
      <c r="E686" t="s">
        <v>7397</v>
      </c>
      <c r="F686">
        <v>1.4999999999999999E-2</v>
      </c>
      <c r="G686" t="s">
        <v>7398</v>
      </c>
      <c r="H686">
        <v>0.25</v>
      </c>
      <c r="I686">
        <v>2520.3000000000002</v>
      </c>
      <c r="J686" t="s">
        <v>7399</v>
      </c>
      <c r="K686" t="s">
        <v>7400</v>
      </c>
      <c r="L686" t="s">
        <v>7401</v>
      </c>
      <c r="M686" t="s">
        <v>7402</v>
      </c>
      <c r="N686">
        <v>2999.6587537610458</v>
      </c>
      <c r="O686">
        <v>3035.6546588061792</v>
      </c>
      <c r="P686">
        <v>3178.330427770069</v>
      </c>
      <c r="Q686">
        <v>3432.5968619916748</v>
      </c>
      <c r="R686">
        <v>3573.333333333333</v>
      </c>
      <c r="S686" t="s">
        <v>7403</v>
      </c>
      <c r="T686" t="s">
        <v>7404</v>
      </c>
      <c r="U686" t="s">
        <v>7405</v>
      </c>
      <c r="V686" t="s">
        <v>49</v>
      </c>
      <c r="W686">
        <v>338996155</v>
      </c>
      <c r="X686">
        <v>339500751</v>
      </c>
      <c r="Y686">
        <v>340560751</v>
      </c>
      <c r="Z686">
        <v>341660751</v>
      </c>
      <c r="AA686">
        <v>343660751</v>
      </c>
      <c r="AB686">
        <v>15253091757.556299</v>
      </c>
      <c r="AC686">
        <v>5084942.3250000002</v>
      </c>
      <c r="AD686">
        <v>15459105546.620199</v>
      </c>
      <c r="AE686">
        <v>5092511.2649999997</v>
      </c>
      <c r="AF686">
        <v>16236218961.11289</v>
      </c>
      <c r="AG686">
        <v>5108411.2649999997</v>
      </c>
      <c r="AH686">
        <v>17591754326.224781</v>
      </c>
      <c r="AI686">
        <v>5124911.2649999997</v>
      </c>
      <c r="AJ686">
        <v>18420216253.599998</v>
      </c>
      <c r="AK686">
        <v>5154911.2649999997</v>
      </c>
    </row>
    <row r="687" spans="1:37" x14ac:dyDescent="0.35">
      <c r="A687" t="s">
        <v>7406</v>
      </c>
      <c r="B687">
        <v>5.58</v>
      </c>
      <c r="C687" t="s">
        <v>2436</v>
      </c>
      <c r="D687" t="s">
        <v>7407</v>
      </c>
      <c r="E687" t="s">
        <v>7408</v>
      </c>
      <c r="F687">
        <v>1.4999999999999999E-2</v>
      </c>
      <c r="G687" t="s">
        <v>7409</v>
      </c>
      <c r="H687">
        <v>0.3</v>
      </c>
      <c r="I687">
        <v>0.05</v>
      </c>
      <c r="J687" t="s">
        <v>7410</v>
      </c>
      <c r="K687" t="s">
        <v>7411</v>
      </c>
      <c r="L687" t="s">
        <v>7412</v>
      </c>
      <c r="M687" t="s">
        <v>7413</v>
      </c>
      <c r="N687">
        <v>2999.6587537610458</v>
      </c>
      <c r="O687">
        <v>3035.6546588061792</v>
      </c>
      <c r="P687">
        <v>3178.330427770069</v>
      </c>
      <c r="Q687">
        <v>3432.5968619916748</v>
      </c>
      <c r="R687">
        <v>3573.333333333333</v>
      </c>
      <c r="S687" t="s">
        <v>7414</v>
      </c>
      <c r="T687" t="s">
        <v>7415</v>
      </c>
      <c r="U687" t="s">
        <v>7416</v>
      </c>
      <c r="V687" t="s">
        <v>49</v>
      </c>
      <c r="W687">
        <v>338996155</v>
      </c>
      <c r="X687">
        <v>339500751</v>
      </c>
      <c r="Y687">
        <v>340560751</v>
      </c>
      <c r="Z687">
        <v>341660751</v>
      </c>
      <c r="AA687">
        <v>343660751</v>
      </c>
      <c r="AB687">
        <v>15253091757.556299</v>
      </c>
      <c r="AC687">
        <v>5084942.3250000002</v>
      </c>
      <c r="AD687">
        <v>15459105546.620199</v>
      </c>
      <c r="AE687">
        <v>5092511.2649999997</v>
      </c>
      <c r="AF687">
        <v>16236218961.11289</v>
      </c>
      <c r="AG687">
        <v>5108411.2649999997</v>
      </c>
      <c r="AH687">
        <v>17591754326.224781</v>
      </c>
      <c r="AI687">
        <v>5124911.2649999997</v>
      </c>
      <c r="AJ687">
        <v>18420216253.599998</v>
      </c>
      <c r="AK687">
        <v>5154911.2649999997</v>
      </c>
    </row>
    <row r="688" spans="1:37" x14ac:dyDescent="0.35">
      <c r="A688" t="s">
        <v>7417</v>
      </c>
      <c r="B688">
        <v>20.95</v>
      </c>
      <c r="C688" t="s">
        <v>1724</v>
      </c>
      <c r="D688" t="s">
        <v>7418</v>
      </c>
      <c r="E688" t="s">
        <v>7419</v>
      </c>
      <c r="F688">
        <v>4.0000000000000003E-5</v>
      </c>
      <c r="G688" t="s">
        <v>7420</v>
      </c>
      <c r="H688">
        <v>10.199999999999999</v>
      </c>
      <c r="J688" t="s">
        <v>7421</v>
      </c>
      <c r="K688" t="s">
        <v>7422</v>
      </c>
      <c r="L688" t="s">
        <v>7423</v>
      </c>
      <c r="M688" t="s">
        <v>7424</v>
      </c>
      <c r="N688">
        <v>3612.8926651750271</v>
      </c>
      <c r="O688">
        <v>3656.2473771571272</v>
      </c>
      <c r="P688">
        <v>3828.0910038835118</v>
      </c>
      <c r="Q688">
        <v>4134.338284194193</v>
      </c>
      <c r="R688">
        <v>4303.8461538461543</v>
      </c>
      <c r="S688" t="s">
        <v>7425</v>
      </c>
      <c r="T688" t="s">
        <v>7426</v>
      </c>
      <c r="U688" t="s">
        <v>7427</v>
      </c>
      <c r="V688" t="s">
        <v>49</v>
      </c>
      <c r="W688">
        <v>338996155</v>
      </c>
      <c r="X688">
        <v>339500751</v>
      </c>
      <c r="Y688">
        <v>340560751</v>
      </c>
      <c r="Z688">
        <v>341660751</v>
      </c>
      <c r="AA688">
        <v>343660751</v>
      </c>
      <c r="AB688">
        <v>48990268.876881473</v>
      </c>
      <c r="AC688">
        <v>13559.8462</v>
      </c>
      <c r="AD688">
        <v>49651949.215465002</v>
      </c>
      <c r="AE688">
        <v>13580.03004</v>
      </c>
      <c r="AF688">
        <v>52147901.887156516</v>
      </c>
      <c r="AG688">
        <v>13622.430039999999</v>
      </c>
      <c r="AH688">
        <v>56501644.922633581</v>
      </c>
      <c r="AI688">
        <v>13666.430039999999</v>
      </c>
      <c r="AJ688">
        <v>59162520.056769237</v>
      </c>
      <c r="AK688">
        <v>13746.430039999999</v>
      </c>
    </row>
    <row r="689" spans="1:37" x14ac:dyDescent="0.35">
      <c r="A689" t="s">
        <v>7428</v>
      </c>
      <c r="B689">
        <v>23.41</v>
      </c>
      <c r="C689" t="s">
        <v>1724</v>
      </c>
      <c r="D689" t="s">
        <v>7429</v>
      </c>
      <c r="E689" t="s">
        <v>7430</v>
      </c>
      <c r="F689">
        <v>4.0000000000000003E-5</v>
      </c>
      <c r="G689" t="s">
        <v>7431</v>
      </c>
      <c r="H689">
        <v>0.1</v>
      </c>
      <c r="I689">
        <v>0.01</v>
      </c>
      <c r="J689" t="s">
        <v>7432</v>
      </c>
      <c r="K689" t="s">
        <v>7433</v>
      </c>
      <c r="L689" t="s">
        <v>7434</v>
      </c>
      <c r="M689" t="s">
        <v>7435</v>
      </c>
      <c r="N689">
        <v>3612.8926651750271</v>
      </c>
      <c r="O689">
        <v>3656.2473771571272</v>
      </c>
      <c r="P689">
        <v>3828.0910038835118</v>
      </c>
      <c r="Q689">
        <v>4134.338284194193</v>
      </c>
      <c r="R689">
        <v>4303.8461538461543</v>
      </c>
      <c r="S689" t="s">
        <v>7436</v>
      </c>
      <c r="T689" t="s">
        <v>7437</v>
      </c>
      <c r="U689" t="s">
        <v>7438</v>
      </c>
      <c r="V689" t="s">
        <v>49</v>
      </c>
      <c r="W689">
        <v>338996155</v>
      </c>
      <c r="X689">
        <v>339500751</v>
      </c>
      <c r="Y689">
        <v>340560751</v>
      </c>
      <c r="Z689">
        <v>341660751</v>
      </c>
      <c r="AA689">
        <v>343660751</v>
      </c>
      <c r="AB689">
        <v>48990268.876881473</v>
      </c>
      <c r="AC689">
        <v>13559.8462</v>
      </c>
      <c r="AD689">
        <v>49651949.215465002</v>
      </c>
      <c r="AE689">
        <v>13580.03004</v>
      </c>
      <c r="AF689">
        <v>52147901.887156516</v>
      </c>
      <c r="AG689">
        <v>13622.430039999999</v>
      </c>
      <c r="AH689">
        <v>56501644.922633581</v>
      </c>
      <c r="AI689">
        <v>13666.430039999999</v>
      </c>
      <c r="AJ689">
        <v>59162520.056769237</v>
      </c>
      <c r="AK689">
        <v>13746.430039999999</v>
      </c>
    </row>
    <row r="690" spans="1:37" x14ac:dyDescent="0.35">
      <c r="A690" t="s">
        <v>7439</v>
      </c>
      <c r="B690">
        <v>19.100000000000001</v>
      </c>
      <c r="C690" t="s">
        <v>1724</v>
      </c>
      <c r="D690" t="s">
        <v>7440</v>
      </c>
      <c r="E690" t="s">
        <v>7441</v>
      </c>
      <c r="F690">
        <v>4.0000000000000003E-5</v>
      </c>
      <c r="G690" t="s">
        <v>7442</v>
      </c>
      <c r="H690">
        <v>0.2</v>
      </c>
      <c r="I690">
        <v>0.12</v>
      </c>
      <c r="J690" t="s">
        <v>7443</v>
      </c>
      <c r="K690" t="s">
        <v>7444</v>
      </c>
      <c r="L690" t="s">
        <v>7445</v>
      </c>
      <c r="M690" t="s">
        <v>7446</v>
      </c>
      <c r="N690">
        <v>3612.8926651750271</v>
      </c>
      <c r="O690">
        <v>3656.2473771571272</v>
      </c>
      <c r="P690">
        <v>3828.0910038835118</v>
      </c>
      <c r="Q690">
        <v>4134.338284194193</v>
      </c>
      <c r="R690">
        <v>4303.8461538461543</v>
      </c>
      <c r="S690" t="s">
        <v>7447</v>
      </c>
      <c r="T690" t="s">
        <v>7448</v>
      </c>
      <c r="U690" t="s">
        <v>7449</v>
      </c>
      <c r="V690" t="s">
        <v>49</v>
      </c>
      <c r="W690">
        <v>338996155</v>
      </c>
      <c r="X690">
        <v>339500751</v>
      </c>
      <c r="Y690">
        <v>340560751</v>
      </c>
      <c r="Z690">
        <v>341660751</v>
      </c>
      <c r="AA690">
        <v>343660751</v>
      </c>
      <c r="AB690">
        <v>48990268.876881473</v>
      </c>
      <c r="AC690">
        <v>13559.8462</v>
      </c>
      <c r="AD690">
        <v>49651949.215465002</v>
      </c>
      <c r="AE690">
        <v>13580.03004</v>
      </c>
      <c r="AF690">
        <v>52147901.887156516</v>
      </c>
      <c r="AG690">
        <v>13622.430039999999</v>
      </c>
      <c r="AH690">
        <v>56501644.922633581</v>
      </c>
      <c r="AI690">
        <v>13666.430039999999</v>
      </c>
      <c r="AJ690">
        <v>59162520.056769237</v>
      </c>
      <c r="AK690">
        <v>13746.430039999999</v>
      </c>
    </row>
    <row r="691" spans="1:37" x14ac:dyDescent="0.35">
      <c r="A691" t="s">
        <v>7450</v>
      </c>
      <c r="B691">
        <v>3.25</v>
      </c>
      <c r="C691" t="s">
        <v>487</v>
      </c>
      <c r="D691" t="s">
        <v>7451</v>
      </c>
      <c r="E691" t="s">
        <v>7452</v>
      </c>
      <c r="F691">
        <v>2.8000000000000001E-2</v>
      </c>
      <c r="G691" t="s">
        <v>7453</v>
      </c>
      <c r="H691">
        <v>40.299999999999997</v>
      </c>
      <c r="I691">
        <v>0.23</v>
      </c>
      <c r="J691" t="s">
        <v>7454</v>
      </c>
      <c r="K691" t="s">
        <v>7455</v>
      </c>
      <c r="L691" t="s">
        <v>7456</v>
      </c>
      <c r="M691" t="s">
        <v>7457</v>
      </c>
      <c r="N691">
        <v>4761.448013576749</v>
      </c>
      <c r="O691">
        <v>4818.5853897396701</v>
      </c>
      <c r="P691">
        <v>5045.0589030574338</v>
      </c>
      <c r="Q691">
        <v>5448.663615302029</v>
      </c>
      <c r="R691">
        <v>5672.0588235294117</v>
      </c>
      <c r="S691" t="s">
        <v>7458</v>
      </c>
      <c r="T691" t="s">
        <v>7459</v>
      </c>
      <c r="U691" t="s">
        <v>1270</v>
      </c>
      <c r="V691" t="s">
        <v>94</v>
      </c>
      <c r="W691">
        <v>265472419.80000001</v>
      </c>
      <c r="X691">
        <v>266439117.80000001</v>
      </c>
      <c r="Y691">
        <v>267499117.80000001</v>
      </c>
      <c r="Z691">
        <v>268599117.80000001</v>
      </c>
      <c r="AA691">
        <v>270179117.80000001</v>
      </c>
      <c r="AB691">
        <v>35392927525.651443</v>
      </c>
      <c r="AC691">
        <v>7433227.7544000009</v>
      </c>
      <c r="AD691">
        <v>35948069928.013786</v>
      </c>
      <c r="AE691">
        <v>7460295.2984000007</v>
      </c>
      <c r="AF691">
        <v>37787366562.873177</v>
      </c>
      <c r="AG691">
        <v>7489975.2984000007</v>
      </c>
      <c r="AH691">
        <v>40978174727.254341</v>
      </c>
      <c r="AI691">
        <v>7520775.2984000007</v>
      </c>
      <c r="AJ691">
        <v>42909211773.424713</v>
      </c>
      <c r="AK691">
        <v>7565015.2984000007</v>
      </c>
    </row>
    <row r="692" spans="1:37" x14ac:dyDescent="0.35">
      <c r="A692" t="s">
        <v>7460</v>
      </c>
      <c r="B692">
        <v>8.6999999999999993</v>
      </c>
      <c r="C692" t="s">
        <v>487</v>
      </c>
      <c r="D692" t="s">
        <v>7461</v>
      </c>
      <c r="E692" t="s">
        <v>1296</v>
      </c>
      <c r="F692">
        <v>2.8000000000000001E-2</v>
      </c>
      <c r="G692" t="s">
        <v>7462</v>
      </c>
      <c r="H692">
        <v>0.2</v>
      </c>
      <c r="I692">
        <v>0.05</v>
      </c>
      <c r="J692" t="s">
        <v>7463</v>
      </c>
      <c r="K692" t="s">
        <v>7464</v>
      </c>
      <c r="L692" t="s">
        <v>7465</v>
      </c>
      <c r="M692" t="s">
        <v>7466</v>
      </c>
      <c r="N692">
        <v>4761.448013576749</v>
      </c>
      <c r="O692">
        <v>4818.5853897396701</v>
      </c>
      <c r="P692">
        <v>5045.0589030574338</v>
      </c>
      <c r="Q692">
        <v>5448.663615302029</v>
      </c>
      <c r="R692">
        <v>5672.0588235294117</v>
      </c>
      <c r="S692" t="s">
        <v>7467</v>
      </c>
      <c r="T692" t="s">
        <v>1945</v>
      </c>
      <c r="U692" t="s">
        <v>1304</v>
      </c>
      <c r="V692" t="s">
        <v>94</v>
      </c>
      <c r="W692">
        <v>265472419.80000001</v>
      </c>
      <c r="X692">
        <v>266439117.80000001</v>
      </c>
      <c r="Y692">
        <v>267499117.80000001</v>
      </c>
      <c r="Z692">
        <v>268599117.80000001</v>
      </c>
      <c r="AA692">
        <v>270179117.80000001</v>
      </c>
      <c r="AB692">
        <v>35392927525.651443</v>
      </c>
      <c r="AC692">
        <v>7433227.7544000009</v>
      </c>
      <c r="AD692">
        <v>35948069928.013786</v>
      </c>
      <c r="AE692">
        <v>7460295.2984000007</v>
      </c>
      <c r="AF692">
        <v>37787366562.873177</v>
      </c>
      <c r="AG692">
        <v>7489975.2984000007</v>
      </c>
      <c r="AH692">
        <v>40978174727.254341</v>
      </c>
      <c r="AI692">
        <v>7520775.2984000007</v>
      </c>
      <c r="AJ692">
        <v>42909211773.424713</v>
      </c>
      <c r="AK692">
        <v>7565015.2984000007</v>
      </c>
    </row>
    <row r="693" spans="1:37" x14ac:dyDescent="0.35">
      <c r="A693" t="s">
        <v>7468</v>
      </c>
      <c r="B693">
        <v>64.260000000000005</v>
      </c>
      <c r="C693" t="s">
        <v>1614</v>
      </c>
      <c r="D693" t="s">
        <v>7469</v>
      </c>
      <c r="E693" t="s">
        <v>7470</v>
      </c>
      <c r="F693">
        <v>0.05</v>
      </c>
      <c r="G693" t="s">
        <v>7471</v>
      </c>
      <c r="H693">
        <v>0.15</v>
      </c>
      <c r="I693">
        <v>0.01</v>
      </c>
      <c r="J693" t="s">
        <v>7472</v>
      </c>
      <c r="K693" t="s">
        <v>7473</v>
      </c>
      <c r="L693" t="s">
        <v>7474</v>
      </c>
      <c r="M693" t="s">
        <v>7475</v>
      </c>
      <c r="N693">
        <v>67.15653926330701</v>
      </c>
      <c r="O693">
        <v>67.962417734466698</v>
      </c>
      <c r="P693">
        <v>71.156651367986626</v>
      </c>
      <c r="Q693">
        <v>76.849183477425555</v>
      </c>
      <c r="R693">
        <v>80</v>
      </c>
      <c r="S693" t="s">
        <v>7476</v>
      </c>
      <c r="T693" t="s">
        <v>7477</v>
      </c>
      <c r="U693" t="s">
        <v>7478</v>
      </c>
      <c r="V693" t="s">
        <v>1017</v>
      </c>
      <c r="W693">
        <v>331357816</v>
      </c>
      <c r="X693">
        <v>331968553.60000002</v>
      </c>
      <c r="Y693">
        <v>333028553.60000002</v>
      </c>
      <c r="Z693">
        <v>334128553.60000002</v>
      </c>
      <c r="AA693">
        <v>336128553.60000002</v>
      </c>
      <c r="AB693">
        <v>1112642209.0203829</v>
      </c>
      <c r="AC693">
        <v>16567890.800000001</v>
      </c>
      <c r="AD693">
        <v>1128069275.723495</v>
      </c>
      <c r="AE693">
        <v>16598427.68</v>
      </c>
      <c r="AF693">
        <v>1184859834.205003</v>
      </c>
      <c r="AG693">
        <v>16651427.68</v>
      </c>
      <c r="AH693">
        <v>1283875326.032661</v>
      </c>
      <c r="AI693">
        <v>16706427.68</v>
      </c>
      <c r="AJ693">
        <v>1344514214.4000001</v>
      </c>
      <c r="AK693">
        <v>16806427.68</v>
      </c>
    </row>
    <row r="694" spans="1:37" x14ac:dyDescent="0.35">
      <c r="A694" t="s">
        <v>7479</v>
      </c>
      <c r="B694">
        <v>39.76</v>
      </c>
      <c r="C694" t="s">
        <v>487</v>
      </c>
      <c r="D694" t="s">
        <v>7480</v>
      </c>
      <c r="E694" t="s">
        <v>7481</v>
      </c>
      <c r="F694">
        <v>2.8000000000000001E-2</v>
      </c>
      <c r="G694" t="s">
        <v>7482</v>
      </c>
      <c r="H694">
        <v>20.6</v>
      </c>
      <c r="I694">
        <v>0.12</v>
      </c>
      <c r="J694" t="s">
        <v>7483</v>
      </c>
      <c r="K694" t="s">
        <v>7484</v>
      </c>
      <c r="L694" t="s">
        <v>7485</v>
      </c>
      <c r="M694" t="s">
        <v>7486</v>
      </c>
      <c r="N694">
        <v>4761.448013576749</v>
      </c>
      <c r="O694">
        <v>4818.5853897396701</v>
      </c>
      <c r="P694">
        <v>5045.0589030574338</v>
      </c>
      <c r="Q694">
        <v>5448.663615302029</v>
      </c>
      <c r="R694">
        <v>5672.0588235294117</v>
      </c>
      <c r="S694" t="s">
        <v>6377</v>
      </c>
      <c r="T694" t="s">
        <v>7487</v>
      </c>
      <c r="U694" t="s">
        <v>7488</v>
      </c>
      <c r="V694" t="s">
        <v>94</v>
      </c>
      <c r="W694">
        <v>265472419.80000001</v>
      </c>
      <c r="X694">
        <v>266439117.80000001</v>
      </c>
      <c r="Y694">
        <v>267499117.80000001</v>
      </c>
      <c r="Z694">
        <v>268599117.80000001</v>
      </c>
      <c r="AA694">
        <v>270179117.80000001</v>
      </c>
      <c r="AB694">
        <v>35392927525.651443</v>
      </c>
      <c r="AC694">
        <v>7433227.7544000009</v>
      </c>
      <c r="AD694">
        <v>35948069928.013786</v>
      </c>
      <c r="AE694">
        <v>7460295.2984000007</v>
      </c>
      <c r="AF694">
        <v>37787366562.873177</v>
      </c>
      <c r="AG694">
        <v>7489975.2984000007</v>
      </c>
      <c r="AH694">
        <v>40978174727.254341</v>
      </c>
      <c r="AI694">
        <v>7520775.2984000007</v>
      </c>
      <c r="AJ694">
        <v>42909211773.424713</v>
      </c>
      <c r="AK694">
        <v>7565015.2984000007</v>
      </c>
    </row>
    <row r="695" spans="1:37" x14ac:dyDescent="0.35">
      <c r="A695" t="s">
        <v>7489</v>
      </c>
      <c r="B695">
        <v>35.950000000000003</v>
      </c>
      <c r="C695" t="s">
        <v>863</v>
      </c>
      <c r="D695" t="s">
        <v>7490</v>
      </c>
      <c r="E695" t="s">
        <v>7491</v>
      </c>
      <c r="F695">
        <v>0.1</v>
      </c>
      <c r="G695" t="s">
        <v>7492</v>
      </c>
      <c r="H695">
        <v>15.25</v>
      </c>
      <c r="I695">
        <v>0</v>
      </c>
      <c r="J695" t="s">
        <v>7493</v>
      </c>
      <c r="K695" t="s">
        <v>7494</v>
      </c>
      <c r="L695" t="s">
        <v>7495</v>
      </c>
      <c r="M695" t="s">
        <v>7496</v>
      </c>
      <c r="N695">
        <v>278.56709214154648</v>
      </c>
      <c r="O695">
        <v>281.90989724724511</v>
      </c>
      <c r="P695">
        <v>295.1596624178656</v>
      </c>
      <c r="Q695">
        <v>318.77243541129491</v>
      </c>
      <c r="R695">
        <v>331.84210526315792</v>
      </c>
      <c r="S695" t="s">
        <v>6281</v>
      </c>
      <c r="T695" t="s">
        <v>7497</v>
      </c>
      <c r="U695" t="s">
        <v>7498</v>
      </c>
      <c r="V695" t="s">
        <v>49</v>
      </c>
      <c r="W695">
        <v>338996155</v>
      </c>
      <c r="X695">
        <v>339500751</v>
      </c>
      <c r="Y695">
        <v>340560751</v>
      </c>
      <c r="Z695">
        <v>341660751</v>
      </c>
      <c r="AA695">
        <v>343660751</v>
      </c>
      <c r="AB695">
        <v>9443317314.5515003</v>
      </c>
      <c r="AC695">
        <v>33899615.5</v>
      </c>
      <c r="AD695">
        <v>9570862182.9772549</v>
      </c>
      <c r="AE695">
        <v>33950075.100000001</v>
      </c>
      <c r="AF695">
        <v>10051979629.79348</v>
      </c>
      <c r="AG695">
        <v>34056075.100000001</v>
      </c>
      <c r="AH695">
        <v>10891202968.072201</v>
      </c>
      <c r="AI695">
        <v>34166075.100000001</v>
      </c>
      <c r="AJ695">
        <v>11404110710.81579</v>
      </c>
      <c r="AK695">
        <v>34366075.100000001</v>
      </c>
    </row>
    <row r="696" spans="1:37" x14ac:dyDescent="0.35">
      <c r="A696" t="s">
        <v>7499</v>
      </c>
      <c r="B696">
        <v>85.76</v>
      </c>
      <c r="C696" t="s">
        <v>7500</v>
      </c>
      <c r="D696" t="s">
        <v>7501</v>
      </c>
      <c r="E696" t="s">
        <v>7502</v>
      </c>
      <c r="F696">
        <v>2.93E-2</v>
      </c>
      <c r="G696" t="s">
        <v>7503</v>
      </c>
      <c r="H696">
        <v>0.3</v>
      </c>
      <c r="I696">
        <v>0.35</v>
      </c>
      <c r="J696" t="s">
        <v>7504</v>
      </c>
      <c r="K696" t="s">
        <v>7505</v>
      </c>
      <c r="L696" t="s">
        <v>7506</v>
      </c>
      <c r="M696" t="s">
        <v>7507</v>
      </c>
      <c r="N696">
        <v>2938.098592769682</v>
      </c>
      <c r="O696">
        <v>2973.3557758829179</v>
      </c>
      <c r="P696">
        <v>3113.1034973494152</v>
      </c>
      <c r="Q696">
        <v>3362.1517771373678</v>
      </c>
      <c r="R696">
        <v>3500</v>
      </c>
      <c r="S696" t="s">
        <v>7508</v>
      </c>
      <c r="T696" t="s">
        <v>7509</v>
      </c>
      <c r="U696" t="s">
        <v>7510</v>
      </c>
      <c r="V696" t="s">
        <v>1090</v>
      </c>
      <c r="W696">
        <v>125425284</v>
      </c>
      <c r="X696">
        <v>126003478.59999999</v>
      </c>
      <c r="Y696">
        <v>126003478.59999999</v>
      </c>
      <c r="Z696">
        <v>126103478.59999999</v>
      </c>
      <c r="AA696">
        <v>126103478.59999999</v>
      </c>
      <c r="AB696">
        <v>10797397217.251431</v>
      </c>
      <c r="AC696">
        <v>3674960.8212000001</v>
      </c>
      <c r="AD696">
        <v>10977337906.685829</v>
      </c>
      <c r="AE696">
        <v>3691901.9229799998</v>
      </c>
      <c r="AF696">
        <v>11493272788.30007</v>
      </c>
      <c r="AG696">
        <v>3691901.9229799998</v>
      </c>
      <c r="AH696">
        <v>12422585716.071091</v>
      </c>
      <c r="AI696">
        <v>3694831.9229799998</v>
      </c>
      <c r="AJ696">
        <v>12931911730.43</v>
      </c>
      <c r="AK696">
        <v>3694831.9229799998</v>
      </c>
    </row>
    <row r="697" spans="1:37" x14ac:dyDescent="0.35">
      <c r="A697" t="s">
        <v>7511</v>
      </c>
      <c r="B697">
        <v>540</v>
      </c>
      <c r="C697" t="s">
        <v>5253</v>
      </c>
      <c r="D697" t="s">
        <v>7512</v>
      </c>
      <c r="E697" t="s">
        <v>7513</v>
      </c>
      <c r="F697">
        <v>0.65</v>
      </c>
      <c r="G697" t="s">
        <v>7514</v>
      </c>
      <c r="H697">
        <v>20.3</v>
      </c>
      <c r="I697">
        <v>10.3</v>
      </c>
      <c r="J697" t="s">
        <v>7515</v>
      </c>
      <c r="K697" t="s">
        <v>7516</v>
      </c>
      <c r="L697" t="s">
        <v>7517</v>
      </c>
      <c r="M697" t="s">
        <v>7518</v>
      </c>
      <c r="N697">
        <v>30220.442668488151</v>
      </c>
      <c r="O697">
        <v>30583.087980510008</v>
      </c>
      <c r="P697">
        <v>32020.493115593981</v>
      </c>
      <c r="Q697">
        <v>34582.1325648415</v>
      </c>
      <c r="R697">
        <v>36000</v>
      </c>
      <c r="S697" t="s">
        <v>7519</v>
      </c>
      <c r="T697" t="s">
        <v>7520</v>
      </c>
      <c r="U697" t="s">
        <v>7521</v>
      </c>
      <c r="V697" t="s">
        <v>49</v>
      </c>
      <c r="W697">
        <v>338996155</v>
      </c>
      <c r="X697">
        <v>339500751</v>
      </c>
      <c r="Y697">
        <v>340560751</v>
      </c>
      <c r="Z697">
        <v>341660751</v>
      </c>
      <c r="AA697">
        <v>343660751</v>
      </c>
      <c r="AB697">
        <v>6658999013560.0254</v>
      </c>
      <c r="AC697">
        <v>220347500.75</v>
      </c>
      <c r="AD697">
        <v>6748937869233.4453</v>
      </c>
      <c r="AE697">
        <v>220675488.15000001</v>
      </c>
      <c r="AF697">
        <v>7088200068844.0605</v>
      </c>
      <c r="AG697">
        <v>221364488.15000001</v>
      </c>
      <c r="AH697">
        <v>7679982299135.4473</v>
      </c>
      <c r="AI697">
        <v>222079488.15000001</v>
      </c>
      <c r="AJ697">
        <v>8041661573400</v>
      </c>
      <c r="AK697">
        <v>223379488.15000001</v>
      </c>
    </row>
    <row r="698" spans="1:37" x14ac:dyDescent="0.35">
      <c r="A698" t="s">
        <v>7522</v>
      </c>
      <c r="B698">
        <v>23.14</v>
      </c>
      <c r="C698" t="s">
        <v>38</v>
      </c>
      <c r="D698" t="s">
        <v>7523</v>
      </c>
      <c r="E698" t="s">
        <v>7524</v>
      </c>
      <c r="F698">
        <v>1.0000000000000001E-5</v>
      </c>
      <c r="G698" t="s">
        <v>7525</v>
      </c>
      <c r="H698">
        <v>0.15</v>
      </c>
      <c r="I698">
        <v>0.02</v>
      </c>
      <c r="J698" t="s">
        <v>7526</v>
      </c>
      <c r="K698" t="s">
        <v>7527</v>
      </c>
      <c r="L698" t="s">
        <v>7528</v>
      </c>
      <c r="M698" t="s">
        <v>7529</v>
      </c>
      <c r="N698">
        <v>105785.82010430199</v>
      </c>
      <c r="O698">
        <v>107055.2499455536</v>
      </c>
      <c r="P698">
        <v>112086.8466929946</v>
      </c>
      <c r="Q698">
        <v>121053.79442843419</v>
      </c>
      <c r="R698">
        <v>126017</v>
      </c>
      <c r="S698" t="s">
        <v>7530</v>
      </c>
      <c r="T698" t="s">
        <v>7531</v>
      </c>
      <c r="U698" t="s">
        <v>7532</v>
      </c>
      <c r="V698" t="s">
        <v>49</v>
      </c>
      <c r="W698">
        <v>338996155</v>
      </c>
      <c r="X698">
        <v>339500751</v>
      </c>
      <c r="Y698">
        <v>340560751</v>
      </c>
      <c r="Z698">
        <v>341660751</v>
      </c>
      <c r="AA698">
        <v>343660751</v>
      </c>
      <c r="AB698">
        <v>358609862.68880081</v>
      </c>
      <c r="AC698">
        <v>3389.96155</v>
      </c>
      <c r="AD698">
        <v>363453377.55008161</v>
      </c>
      <c r="AE698">
        <v>3395.0075099999999</v>
      </c>
      <c r="AF698">
        <v>381723806.86988121</v>
      </c>
      <c r="AG698">
        <v>3405.6075099999998</v>
      </c>
      <c r="AH698">
        <v>413593303.15818453</v>
      </c>
      <c r="AI698">
        <v>3416.6075099999998</v>
      </c>
      <c r="AJ698">
        <v>433070968.58767003</v>
      </c>
      <c r="AK698">
        <v>3436.6075099999998</v>
      </c>
    </row>
    <row r="699" spans="1:37" x14ac:dyDescent="0.35">
      <c r="A699" t="s">
        <v>7533</v>
      </c>
      <c r="B699">
        <v>138.91999999999999</v>
      </c>
      <c r="C699" t="s">
        <v>487</v>
      </c>
      <c r="D699" t="s">
        <v>7534</v>
      </c>
      <c r="E699" t="s">
        <v>7535</v>
      </c>
      <c r="F699">
        <v>2.8000000000000001E-2</v>
      </c>
      <c r="G699" t="s">
        <v>7536</v>
      </c>
      <c r="H699">
        <v>30.5</v>
      </c>
      <c r="I699">
        <v>1.1499999999999999</v>
      </c>
      <c r="J699" t="s">
        <v>7537</v>
      </c>
      <c r="K699" t="s">
        <v>7538</v>
      </c>
      <c r="L699" t="s">
        <v>7539</v>
      </c>
      <c r="M699" t="s">
        <v>7540</v>
      </c>
      <c r="N699">
        <v>4761.448013576749</v>
      </c>
      <c r="O699">
        <v>4818.5853897396701</v>
      </c>
      <c r="P699">
        <v>5045.0589030574338</v>
      </c>
      <c r="Q699">
        <v>5448.663615302029</v>
      </c>
      <c r="R699">
        <v>5672.0588235294117</v>
      </c>
      <c r="S699" t="s">
        <v>7541</v>
      </c>
      <c r="T699" t="s">
        <v>7542</v>
      </c>
      <c r="U699" t="s">
        <v>7543</v>
      </c>
      <c r="V699" t="s">
        <v>94</v>
      </c>
      <c r="W699">
        <v>265472419.80000001</v>
      </c>
      <c r="X699">
        <v>266439117.80000001</v>
      </c>
      <c r="Y699">
        <v>267499117.80000001</v>
      </c>
      <c r="Z699">
        <v>268599117.80000001</v>
      </c>
      <c r="AA699">
        <v>270179117.80000001</v>
      </c>
      <c r="AB699">
        <v>35392927525.651443</v>
      </c>
      <c r="AC699">
        <v>7433227.7544000009</v>
      </c>
      <c r="AD699">
        <v>35948069928.013786</v>
      </c>
      <c r="AE699">
        <v>7460295.2984000007</v>
      </c>
      <c r="AF699">
        <v>37787366562.873177</v>
      </c>
      <c r="AG699">
        <v>7489975.2984000007</v>
      </c>
      <c r="AH699">
        <v>40978174727.254341</v>
      </c>
      <c r="AI699">
        <v>7520775.2984000007</v>
      </c>
      <c r="AJ699">
        <v>42909211773.424713</v>
      </c>
      <c r="AK699">
        <v>7565015.2984000007</v>
      </c>
    </row>
    <row r="700" spans="1:37" x14ac:dyDescent="0.35">
      <c r="A700" t="s">
        <v>7544</v>
      </c>
      <c r="B700">
        <v>317.36</v>
      </c>
      <c r="C700" t="s">
        <v>487</v>
      </c>
      <c r="D700" t="s">
        <v>7545</v>
      </c>
      <c r="E700" t="s">
        <v>7546</v>
      </c>
      <c r="F700">
        <v>2.8000000000000001E-2</v>
      </c>
      <c r="G700" t="s">
        <v>7547</v>
      </c>
      <c r="H700">
        <v>25.4</v>
      </c>
      <c r="I700">
        <v>510.15</v>
      </c>
      <c r="J700" t="s">
        <v>7548</v>
      </c>
      <c r="K700" t="s">
        <v>7549</v>
      </c>
      <c r="L700" t="s">
        <v>7550</v>
      </c>
      <c r="M700" t="s">
        <v>7551</v>
      </c>
      <c r="N700">
        <v>4761.448013576749</v>
      </c>
      <c r="O700">
        <v>4818.5853897396701</v>
      </c>
      <c r="P700">
        <v>5045.0589030574338</v>
      </c>
      <c r="Q700">
        <v>5448.663615302029</v>
      </c>
      <c r="R700">
        <v>5672.0588235294117</v>
      </c>
      <c r="S700" t="s">
        <v>7552</v>
      </c>
      <c r="T700" t="s">
        <v>7553</v>
      </c>
      <c r="U700" t="s">
        <v>6325</v>
      </c>
      <c r="V700" t="s">
        <v>94</v>
      </c>
      <c r="W700">
        <v>265472419.80000001</v>
      </c>
      <c r="X700">
        <v>266439117.80000001</v>
      </c>
      <c r="Y700">
        <v>267499117.80000001</v>
      </c>
      <c r="Z700">
        <v>268599117.80000001</v>
      </c>
      <c r="AA700">
        <v>270179117.80000001</v>
      </c>
      <c r="AB700">
        <v>35392927525.651443</v>
      </c>
      <c r="AC700">
        <v>7433227.7544000009</v>
      </c>
      <c r="AD700">
        <v>35948069928.013786</v>
      </c>
      <c r="AE700">
        <v>7460295.2984000007</v>
      </c>
      <c r="AF700">
        <v>37787366562.873177</v>
      </c>
      <c r="AG700">
        <v>7489975.2984000007</v>
      </c>
      <c r="AH700">
        <v>40978174727.254341</v>
      </c>
      <c r="AI700">
        <v>7520775.2984000007</v>
      </c>
      <c r="AJ700">
        <v>42909211773.424713</v>
      </c>
      <c r="AK700">
        <v>7565015.2984000007</v>
      </c>
    </row>
    <row r="701" spans="1:37" x14ac:dyDescent="0.35">
      <c r="A701" t="s">
        <v>7554</v>
      </c>
      <c r="B701">
        <v>476.05</v>
      </c>
      <c r="C701" t="s">
        <v>487</v>
      </c>
      <c r="D701" t="s">
        <v>7555</v>
      </c>
      <c r="E701" t="s">
        <v>7556</v>
      </c>
      <c r="F701">
        <v>2.8000000000000001E-2</v>
      </c>
      <c r="G701" t="s">
        <v>7557</v>
      </c>
      <c r="H701">
        <v>2030.4</v>
      </c>
      <c r="I701">
        <v>513.15</v>
      </c>
      <c r="J701" t="s">
        <v>7558</v>
      </c>
      <c r="K701" t="s">
        <v>7559</v>
      </c>
      <c r="L701" t="s">
        <v>7560</v>
      </c>
      <c r="M701" t="s">
        <v>7561</v>
      </c>
      <c r="N701">
        <v>4761.448013576749</v>
      </c>
      <c r="O701">
        <v>4818.5853897396701</v>
      </c>
      <c r="P701">
        <v>5045.0589030574338</v>
      </c>
      <c r="Q701">
        <v>5448.663615302029</v>
      </c>
      <c r="R701">
        <v>5672.0588235294117</v>
      </c>
      <c r="S701" t="s">
        <v>7562</v>
      </c>
      <c r="T701" t="s">
        <v>7563</v>
      </c>
      <c r="U701" t="s">
        <v>3144</v>
      </c>
      <c r="V701" t="s">
        <v>94</v>
      </c>
      <c r="W701">
        <v>265472419.80000001</v>
      </c>
      <c r="X701">
        <v>266439117.80000001</v>
      </c>
      <c r="Y701">
        <v>267499117.80000001</v>
      </c>
      <c r="Z701">
        <v>268599117.80000001</v>
      </c>
      <c r="AA701">
        <v>270179117.80000001</v>
      </c>
      <c r="AB701">
        <v>35392927525.651443</v>
      </c>
      <c r="AC701">
        <v>7433227.7544000009</v>
      </c>
      <c r="AD701">
        <v>35948069928.013786</v>
      </c>
      <c r="AE701">
        <v>7460295.2984000007</v>
      </c>
      <c r="AF701">
        <v>37787366562.873177</v>
      </c>
      <c r="AG701">
        <v>7489975.2984000007</v>
      </c>
      <c r="AH701">
        <v>40978174727.254341</v>
      </c>
      <c r="AI701">
        <v>7520775.2984000007</v>
      </c>
      <c r="AJ701">
        <v>42909211773.424713</v>
      </c>
      <c r="AK701">
        <v>7565015.2984000007</v>
      </c>
    </row>
    <row r="702" spans="1:37" x14ac:dyDescent="0.35">
      <c r="A702" t="s">
        <v>7564</v>
      </c>
      <c r="B702">
        <v>16.18</v>
      </c>
      <c r="C702" t="s">
        <v>2436</v>
      </c>
      <c r="D702" t="s">
        <v>7565</v>
      </c>
      <c r="E702" t="s">
        <v>7566</v>
      </c>
      <c r="F702">
        <v>1.4999999999999999E-2</v>
      </c>
      <c r="G702" t="s">
        <v>7567</v>
      </c>
      <c r="H702">
        <v>0.25</v>
      </c>
      <c r="I702">
        <v>0.15</v>
      </c>
      <c r="J702" t="s">
        <v>7568</v>
      </c>
      <c r="K702" t="s">
        <v>7569</v>
      </c>
      <c r="L702" t="s">
        <v>7570</v>
      </c>
      <c r="M702" t="s">
        <v>7571</v>
      </c>
      <c r="N702">
        <v>2999.6587537610458</v>
      </c>
      <c r="O702">
        <v>3035.6546588061792</v>
      </c>
      <c r="P702">
        <v>3178.330427770069</v>
      </c>
      <c r="Q702">
        <v>3432.5968619916748</v>
      </c>
      <c r="R702">
        <v>3573.333333333333</v>
      </c>
      <c r="S702" t="s">
        <v>7572</v>
      </c>
      <c r="T702" t="s">
        <v>7573</v>
      </c>
      <c r="U702" t="s">
        <v>7574</v>
      </c>
      <c r="V702" t="s">
        <v>49</v>
      </c>
      <c r="W702">
        <v>338996155</v>
      </c>
      <c r="X702">
        <v>339500751</v>
      </c>
      <c r="Y702">
        <v>340560751</v>
      </c>
      <c r="Z702">
        <v>341660751</v>
      </c>
      <c r="AA702">
        <v>343660751</v>
      </c>
      <c r="AB702">
        <v>15253091757.556299</v>
      </c>
      <c r="AC702">
        <v>5084942.3250000002</v>
      </c>
      <c r="AD702">
        <v>15459105546.620199</v>
      </c>
      <c r="AE702">
        <v>5092511.2649999997</v>
      </c>
      <c r="AF702">
        <v>16236218961.11289</v>
      </c>
      <c r="AG702">
        <v>5108411.2649999997</v>
      </c>
      <c r="AH702">
        <v>17591754326.224781</v>
      </c>
      <c r="AI702">
        <v>5124911.2649999997</v>
      </c>
      <c r="AJ702">
        <v>18420216253.599998</v>
      </c>
      <c r="AK702">
        <v>5154911.2649999997</v>
      </c>
    </row>
    <row r="703" spans="1:37" x14ac:dyDescent="0.35">
      <c r="A703" t="s">
        <v>7575</v>
      </c>
      <c r="B703">
        <v>7.33</v>
      </c>
      <c r="C703" t="s">
        <v>231</v>
      </c>
      <c r="D703" t="s">
        <v>7576</v>
      </c>
      <c r="E703" t="s">
        <v>7577</v>
      </c>
      <c r="F703">
        <v>0.191</v>
      </c>
      <c r="G703" t="s">
        <v>7578</v>
      </c>
      <c r="H703">
        <v>30.3</v>
      </c>
      <c r="J703" t="s">
        <v>7579</v>
      </c>
      <c r="K703" t="s">
        <v>7580</v>
      </c>
      <c r="L703" t="s">
        <v>7581</v>
      </c>
      <c r="M703" t="s">
        <v>7582</v>
      </c>
      <c r="N703">
        <v>725.9551939635088</v>
      </c>
      <c r="O703">
        <v>734.66665629107092</v>
      </c>
      <c r="P703">
        <v>769.19598913675122</v>
      </c>
      <c r="Q703">
        <v>830.73166826769136</v>
      </c>
      <c r="R703">
        <v>864.79166666666663</v>
      </c>
      <c r="S703" t="s">
        <v>7583</v>
      </c>
      <c r="T703" t="s">
        <v>7584</v>
      </c>
      <c r="U703" t="s">
        <v>7585</v>
      </c>
      <c r="V703" t="s">
        <v>94</v>
      </c>
      <c r="W703">
        <v>265472419.80000001</v>
      </c>
      <c r="X703">
        <v>266439117.80000001</v>
      </c>
      <c r="Y703">
        <v>267499117.80000001</v>
      </c>
      <c r="Z703">
        <v>268599117.80000001</v>
      </c>
      <c r="AA703">
        <v>270179117.80000001</v>
      </c>
      <c r="AB703">
        <v>36809726663.503357</v>
      </c>
      <c r="AC703">
        <v>50705232.1818</v>
      </c>
      <c r="AD703">
        <v>37387091733.840332</v>
      </c>
      <c r="AE703">
        <v>50889871.499799997</v>
      </c>
      <c r="AF703">
        <v>39300016465.291458</v>
      </c>
      <c r="AG703">
        <v>51092331.499799997</v>
      </c>
      <c r="AH703">
        <v>42618554506.017807</v>
      </c>
      <c r="AI703">
        <v>51302431.499799997</v>
      </c>
      <c r="AJ703">
        <v>44626892069.931213</v>
      </c>
      <c r="AK703">
        <v>51604211.499799997</v>
      </c>
    </row>
    <row r="704" spans="1:37" x14ac:dyDescent="0.35">
      <c r="A704" t="s">
        <v>7586</v>
      </c>
      <c r="B704">
        <v>10.01</v>
      </c>
      <c r="C704" t="s">
        <v>231</v>
      </c>
      <c r="D704" t="s">
        <v>7587</v>
      </c>
      <c r="E704" t="s">
        <v>7588</v>
      </c>
      <c r="F704">
        <v>0.191</v>
      </c>
      <c r="G704" t="s">
        <v>7589</v>
      </c>
      <c r="H704">
        <v>0.3</v>
      </c>
      <c r="J704" t="s">
        <v>7590</v>
      </c>
      <c r="K704" t="s">
        <v>7591</v>
      </c>
      <c r="L704" t="s">
        <v>7592</v>
      </c>
      <c r="M704" t="s">
        <v>7593</v>
      </c>
      <c r="N704">
        <v>725.9551939635088</v>
      </c>
      <c r="O704">
        <v>734.66665629107092</v>
      </c>
      <c r="P704">
        <v>769.19598913675122</v>
      </c>
      <c r="Q704">
        <v>830.73166826769136</v>
      </c>
      <c r="R704">
        <v>864.79166666666663</v>
      </c>
      <c r="S704" t="s">
        <v>7594</v>
      </c>
      <c r="T704" t="s">
        <v>7595</v>
      </c>
      <c r="U704" t="s">
        <v>7596</v>
      </c>
      <c r="V704" t="s">
        <v>94</v>
      </c>
      <c r="W704">
        <v>265472419.80000001</v>
      </c>
      <c r="X704">
        <v>266439117.80000001</v>
      </c>
      <c r="Y704">
        <v>267499117.80000001</v>
      </c>
      <c r="Z704">
        <v>268599117.80000001</v>
      </c>
      <c r="AA704">
        <v>270179117.80000001</v>
      </c>
      <c r="AB704">
        <v>36809726663.503357</v>
      </c>
      <c r="AC704">
        <v>50705232.1818</v>
      </c>
      <c r="AD704">
        <v>37387091733.840332</v>
      </c>
      <c r="AE704">
        <v>50889871.499799997</v>
      </c>
      <c r="AF704">
        <v>39300016465.291458</v>
      </c>
      <c r="AG704">
        <v>51092331.499799997</v>
      </c>
      <c r="AH704">
        <v>42618554506.017807</v>
      </c>
      <c r="AI704">
        <v>51302431.499799997</v>
      </c>
      <c r="AJ704">
        <v>44626892069.931213</v>
      </c>
      <c r="AK704">
        <v>51604211.499799997</v>
      </c>
    </row>
    <row r="705" spans="1:37" x14ac:dyDescent="0.35">
      <c r="A705" t="s">
        <v>7597</v>
      </c>
      <c r="B705">
        <v>531.39</v>
      </c>
      <c r="C705" t="s">
        <v>1079</v>
      </c>
      <c r="D705" t="s">
        <v>7598</v>
      </c>
      <c r="E705" t="s">
        <v>7599</v>
      </c>
      <c r="F705">
        <v>5.3999999999999998E-5</v>
      </c>
      <c r="G705" t="s">
        <v>7600</v>
      </c>
      <c r="H705">
        <v>0.9</v>
      </c>
      <c r="I705">
        <v>50.35</v>
      </c>
      <c r="J705" t="s">
        <v>7601</v>
      </c>
      <c r="K705" t="s">
        <v>7602</v>
      </c>
      <c r="L705" t="s">
        <v>7603</v>
      </c>
      <c r="M705" t="s">
        <v>7604</v>
      </c>
      <c r="N705">
        <v>115616.08748171599</v>
      </c>
      <c r="O705">
        <v>117003.48053149661</v>
      </c>
      <c r="P705">
        <v>122502.64411647691</v>
      </c>
      <c r="Q705">
        <v>132302.85564579509</v>
      </c>
      <c r="R705">
        <v>137727.27272727271</v>
      </c>
      <c r="S705" t="s">
        <v>7605</v>
      </c>
      <c r="T705" t="s">
        <v>7606</v>
      </c>
      <c r="U705" t="s">
        <v>7607</v>
      </c>
      <c r="V705" t="s">
        <v>1090</v>
      </c>
      <c r="W705">
        <v>125425284</v>
      </c>
      <c r="X705">
        <v>126003478.59999999</v>
      </c>
      <c r="Y705">
        <v>126003478.59999999</v>
      </c>
      <c r="Z705">
        <v>126103478.59999999</v>
      </c>
      <c r="AA705">
        <v>126103478.59999999</v>
      </c>
      <c r="AB705">
        <v>783063752.79760611</v>
      </c>
      <c r="AC705">
        <v>6772.9653359999993</v>
      </c>
      <c r="AD705">
        <v>796113659.98490131</v>
      </c>
      <c r="AE705">
        <v>6804.1878443999994</v>
      </c>
      <c r="AF705">
        <v>833531002.00419164</v>
      </c>
      <c r="AG705">
        <v>6804.1878443999994</v>
      </c>
      <c r="AH705">
        <v>900927917.58501434</v>
      </c>
      <c r="AI705">
        <v>6809.5878443999991</v>
      </c>
      <c r="AJ705">
        <v>937865962.20599973</v>
      </c>
      <c r="AK705">
        <v>6809.5878443999991</v>
      </c>
    </row>
    <row r="706" spans="1:37" x14ac:dyDescent="0.35">
      <c r="A706" t="s">
        <v>7608</v>
      </c>
      <c r="B706">
        <v>2998.62</v>
      </c>
      <c r="C706" t="s">
        <v>487</v>
      </c>
      <c r="D706" t="s">
        <v>2962</v>
      </c>
      <c r="E706" t="s">
        <v>7609</v>
      </c>
      <c r="F706">
        <v>2.8000000000000001E-2</v>
      </c>
      <c r="G706" t="s">
        <v>7610</v>
      </c>
      <c r="H706">
        <v>406030.5</v>
      </c>
      <c r="I706">
        <v>152.15</v>
      </c>
      <c r="J706" t="s">
        <v>7611</v>
      </c>
      <c r="K706" t="s">
        <v>7612</v>
      </c>
      <c r="L706" t="s">
        <v>7613</v>
      </c>
      <c r="M706" t="s">
        <v>7614</v>
      </c>
      <c r="N706">
        <v>4761.448013576749</v>
      </c>
      <c r="O706">
        <v>4818.5853897396701</v>
      </c>
      <c r="P706">
        <v>5045.0589030574338</v>
      </c>
      <c r="Q706">
        <v>5448.663615302029</v>
      </c>
      <c r="R706">
        <v>5672.0588235294117</v>
      </c>
      <c r="S706" t="s">
        <v>7615</v>
      </c>
      <c r="T706" t="s">
        <v>7616</v>
      </c>
      <c r="U706" t="s">
        <v>1304</v>
      </c>
      <c r="V706" t="s">
        <v>94</v>
      </c>
      <c r="W706">
        <v>265472419.80000001</v>
      </c>
      <c r="X706">
        <v>266439117.80000001</v>
      </c>
      <c r="Y706">
        <v>267499117.80000001</v>
      </c>
      <c r="Z706">
        <v>268599117.80000001</v>
      </c>
      <c r="AA706">
        <v>270179117.80000001</v>
      </c>
      <c r="AB706">
        <v>35392927525.651443</v>
      </c>
      <c r="AC706">
        <v>7433227.7544000009</v>
      </c>
      <c r="AD706">
        <v>35948069928.013786</v>
      </c>
      <c r="AE706">
        <v>7460295.2984000007</v>
      </c>
      <c r="AF706">
        <v>37787366562.873177</v>
      </c>
      <c r="AG706">
        <v>7489975.2984000007</v>
      </c>
      <c r="AH706">
        <v>40978174727.254341</v>
      </c>
      <c r="AI706">
        <v>7520775.2984000007</v>
      </c>
      <c r="AJ706">
        <v>42909211773.424713</v>
      </c>
      <c r="AK706">
        <v>7565015.2984000007</v>
      </c>
    </row>
    <row r="707" spans="1:37" x14ac:dyDescent="0.35">
      <c r="A707" t="s">
        <v>7617</v>
      </c>
      <c r="B707">
        <v>3.41</v>
      </c>
      <c r="C707" t="s">
        <v>231</v>
      </c>
      <c r="D707" t="s">
        <v>7618</v>
      </c>
      <c r="E707" t="s">
        <v>7619</v>
      </c>
      <c r="F707">
        <v>0.191</v>
      </c>
      <c r="G707" t="s">
        <v>7620</v>
      </c>
      <c r="H707">
        <v>20.3</v>
      </c>
      <c r="I707">
        <v>0.14000000000000001</v>
      </c>
      <c r="J707" t="s">
        <v>7621</v>
      </c>
      <c r="K707" t="s">
        <v>7622</v>
      </c>
      <c r="L707" t="s">
        <v>7623</v>
      </c>
      <c r="M707" t="s">
        <v>7624</v>
      </c>
      <c r="N707">
        <v>725.9551939635088</v>
      </c>
      <c r="O707">
        <v>734.66665629107092</v>
      </c>
      <c r="P707">
        <v>769.19598913675122</v>
      </c>
      <c r="Q707">
        <v>830.73166826769136</v>
      </c>
      <c r="R707">
        <v>864.79166666666663</v>
      </c>
      <c r="S707" t="s">
        <v>7625</v>
      </c>
      <c r="T707" t="s">
        <v>7626</v>
      </c>
      <c r="U707" t="s">
        <v>7627</v>
      </c>
      <c r="V707" t="s">
        <v>94</v>
      </c>
      <c r="W707">
        <v>265472419.80000001</v>
      </c>
      <c r="X707">
        <v>266439117.80000001</v>
      </c>
      <c r="Y707">
        <v>267499117.80000001</v>
      </c>
      <c r="Z707">
        <v>268599117.80000001</v>
      </c>
      <c r="AA707">
        <v>270179117.80000001</v>
      </c>
      <c r="AB707">
        <v>36809726663.503357</v>
      </c>
      <c r="AC707">
        <v>50705232.1818</v>
      </c>
      <c r="AD707">
        <v>37387091733.840332</v>
      </c>
      <c r="AE707">
        <v>50889871.499799997</v>
      </c>
      <c r="AF707">
        <v>39300016465.291458</v>
      </c>
      <c r="AG707">
        <v>51092331.499799997</v>
      </c>
      <c r="AH707">
        <v>42618554506.017807</v>
      </c>
      <c r="AI707">
        <v>51302431.499799997</v>
      </c>
      <c r="AJ707">
        <v>44626892069.931213</v>
      </c>
      <c r="AK707">
        <v>51604211.499799997</v>
      </c>
    </row>
    <row r="708" spans="1:37" x14ac:dyDescent="0.35">
      <c r="A708" t="s">
        <v>7628</v>
      </c>
      <c r="B708">
        <v>54.31</v>
      </c>
      <c r="C708" t="s">
        <v>231</v>
      </c>
      <c r="D708" t="s">
        <v>7629</v>
      </c>
      <c r="E708" t="s">
        <v>7630</v>
      </c>
      <c r="F708">
        <v>0.191</v>
      </c>
      <c r="G708" t="s">
        <v>7631</v>
      </c>
      <c r="H708">
        <v>4020.3</v>
      </c>
      <c r="I708">
        <v>0.6</v>
      </c>
      <c r="J708" t="s">
        <v>7632</v>
      </c>
      <c r="K708" t="s">
        <v>7633</v>
      </c>
      <c r="L708" t="s">
        <v>7634</v>
      </c>
      <c r="M708" t="s">
        <v>7635</v>
      </c>
      <c r="N708">
        <v>725.9551939635088</v>
      </c>
      <c r="O708">
        <v>734.66665629107092</v>
      </c>
      <c r="P708">
        <v>769.19598913675122</v>
      </c>
      <c r="Q708">
        <v>830.73166826769136</v>
      </c>
      <c r="R708">
        <v>864.79166666666663</v>
      </c>
      <c r="S708" t="s">
        <v>7636</v>
      </c>
      <c r="T708" t="s">
        <v>7637</v>
      </c>
      <c r="U708" t="s">
        <v>7638</v>
      </c>
      <c r="V708" t="s">
        <v>94</v>
      </c>
      <c r="W708">
        <v>265472419.80000001</v>
      </c>
      <c r="X708">
        <v>266439117.80000001</v>
      </c>
      <c r="Y708">
        <v>267499117.80000001</v>
      </c>
      <c r="Z708">
        <v>268599117.80000001</v>
      </c>
      <c r="AA708">
        <v>270179117.80000001</v>
      </c>
      <c r="AB708">
        <v>36809726663.503357</v>
      </c>
      <c r="AC708">
        <v>50705232.1818</v>
      </c>
      <c r="AD708">
        <v>37387091733.840332</v>
      </c>
      <c r="AE708">
        <v>50889871.499799997</v>
      </c>
      <c r="AF708">
        <v>39300016465.291458</v>
      </c>
      <c r="AG708">
        <v>51092331.499799997</v>
      </c>
      <c r="AH708">
        <v>42618554506.017807</v>
      </c>
      <c r="AI708">
        <v>51302431.499799997</v>
      </c>
      <c r="AJ708">
        <v>44626892069.931213</v>
      </c>
      <c r="AK708">
        <v>51604211.499799997</v>
      </c>
    </row>
    <row r="709" spans="1:37" x14ac:dyDescent="0.35">
      <c r="A709" t="s">
        <v>7639</v>
      </c>
      <c r="B709">
        <v>25.03</v>
      </c>
      <c r="C709" t="s">
        <v>487</v>
      </c>
      <c r="D709" t="s">
        <v>7640</v>
      </c>
      <c r="E709" t="s">
        <v>7641</v>
      </c>
      <c r="F709">
        <v>2.8000000000000001E-2</v>
      </c>
      <c r="G709" t="s">
        <v>7642</v>
      </c>
      <c r="H709">
        <v>0.3</v>
      </c>
      <c r="I709">
        <v>25.15</v>
      </c>
      <c r="J709" t="s">
        <v>7643</v>
      </c>
      <c r="K709" t="s">
        <v>7644</v>
      </c>
      <c r="L709" t="s">
        <v>7645</v>
      </c>
      <c r="M709" t="s">
        <v>7646</v>
      </c>
      <c r="N709">
        <v>4761.448013576749</v>
      </c>
      <c r="O709">
        <v>4818.5853897396701</v>
      </c>
      <c r="P709">
        <v>5045.0589030574338</v>
      </c>
      <c r="Q709">
        <v>5448.663615302029</v>
      </c>
      <c r="R709">
        <v>5672.0588235294117</v>
      </c>
      <c r="S709" t="s">
        <v>7647</v>
      </c>
      <c r="T709" t="s">
        <v>7648</v>
      </c>
      <c r="U709" t="s">
        <v>1293</v>
      </c>
      <c r="V709" t="s">
        <v>94</v>
      </c>
      <c r="W709">
        <v>265472419.80000001</v>
      </c>
      <c r="X709">
        <v>266439117.80000001</v>
      </c>
      <c r="Y709">
        <v>267499117.80000001</v>
      </c>
      <c r="Z709">
        <v>268599117.80000001</v>
      </c>
      <c r="AA709">
        <v>270179117.80000001</v>
      </c>
      <c r="AB709">
        <v>35392927525.651443</v>
      </c>
      <c r="AC709">
        <v>7433227.7544000009</v>
      </c>
      <c r="AD709">
        <v>35948069928.013786</v>
      </c>
      <c r="AE709">
        <v>7460295.2984000007</v>
      </c>
      <c r="AF709">
        <v>37787366562.873177</v>
      </c>
      <c r="AG709">
        <v>7489975.2984000007</v>
      </c>
      <c r="AH709">
        <v>40978174727.254341</v>
      </c>
      <c r="AI709">
        <v>7520775.2984000007</v>
      </c>
      <c r="AJ709">
        <v>42909211773.424713</v>
      </c>
      <c r="AK709">
        <v>7565015.2984000007</v>
      </c>
    </row>
    <row r="710" spans="1:37" x14ac:dyDescent="0.35">
      <c r="A710" t="s">
        <v>7649</v>
      </c>
      <c r="B710">
        <v>36.76</v>
      </c>
      <c r="C710" t="s">
        <v>487</v>
      </c>
      <c r="D710" t="s">
        <v>7650</v>
      </c>
      <c r="E710" t="s">
        <v>7651</v>
      </c>
      <c r="F710">
        <v>2.8000000000000001E-2</v>
      </c>
      <c r="G710" t="s">
        <v>7652</v>
      </c>
      <c r="H710">
        <v>0.6</v>
      </c>
      <c r="I710">
        <v>0.25</v>
      </c>
      <c r="J710" t="s">
        <v>7653</v>
      </c>
      <c r="K710" t="s">
        <v>7654</v>
      </c>
      <c r="L710" t="s">
        <v>7655</v>
      </c>
      <c r="M710" t="s">
        <v>7656</v>
      </c>
      <c r="N710">
        <v>4761.448013576749</v>
      </c>
      <c r="O710">
        <v>4818.5853897396701</v>
      </c>
      <c r="P710">
        <v>5045.0589030574338</v>
      </c>
      <c r="Q710">
        <v>5448.663615302029</v>
      </c>
      <c r="R710">
        <v>5672.0588235294117</v>
      </c>
      <c r="S710" t="s">
        <v>7657</v>
      </c>
      <c r="T710" t="s">
        <v>7658</v>
      </c>
      <c r="U710" t="s">
        <v>1304</v>
      </c>
      <c r="V710" t="s">
        <v>94</v>
      </c>
      <c r="W710">
        <v>265472419.80000001</v>
      </c>
      <c r="X710">
        <v>266439117.80000001</v>
      </c>
      <c r="Y710">
        <v>267499117.80000001</v>
      </c>
      <c r="Z710">
        <v>268599117.80000001</v>
      </c>
      <c r="AA710">
        <v>270179117.80000001</v>
      </c>
      <c r="AB710">
        <v>35392927525.651443</v>
      </c>
      <c r="AC710">
        <v>7433227.7544000009</v>
      </c>
      <c r="AD710">
        <v>35948069928.013786</v>
      </c>
      <c r="AE710">
        <v>7460295.2984000007</v>
      </c>
      <c r="AF710">
        <v>37787366562.873177</v>
      </c>
      <c r="AG710">
        <v>7489975.2984000007</v>
      </c>
      <c r="AH710">
        <v>40978174727.254341</v>
      </c>
      <c r="AI710">
        <v>7520775.2984000007</v>
      </c>
      <c r="AJ710">
        <v>42909211773.424713</v>
      </c>
      <c r="AK710">
        <v>7565015.2984000007</v>
      </c>
    </row>
    <row r="711" spans="1:37" x14ac:dyDescent="0.35">
      <c r="A711" t="s">
        <v>7659</v>
      </c>
      <c r="B711">
        <v>54.77</v>
      </c>
      <c r="C711" t="s">
        <v>487</v>
      </c>
      <c r="D711" t="s">
        <v>7660</v>
      </c>
      <c r="E711" t="s">
        <v>7651</v>
      </c>
      <c r="F711">
        <v>2.8000000000000001E-2</v>
      </c>
      <c r="G711" t="s">
        <v>7661</v>
      </c>
      <c r="H711">
        <v>60.7</v>
      </c>
      <c r="I711">
        <v>5.0999999999999996</v>
      </c>
      <c r="J711" t="s">
        <v>7662</v>
      </c>
      <c r="K711" t="s">
        <v>7663</v>
      </c>
      <c r="L711" t="s">
        <v>7664</v>
      </c>
      <c r="M711" t="s">
        <v>7665</v>
      </c>
      <c r="N711">
        <v>4761.448013576749</v>
      </c>
      <c r="O711">
        <v>4818.5853897396701</v>
      </c>
      <c r="P711">
        <v>5045.0589030574338</v>
      </c>
      <c r="Q711">
        <v>5448.663615302029</v>
      </c>
      <c r="R711">
        <v>5672.0588235294117</v>
      </c>
      <c r="S711" t="s">
        <v>7666</v>
      </c>
      <c r="T711" t="s">
        <v>7667</v>
      </c>
      <c r="U711" t="s">
        <v>1270</v>
      </c>
      <c r="V711" t="s">
        <v>94</v>
      </c>
      <c r="W711">
        <v>265472419.80000001</v>
      </c>
      <c r="X711">
        <v>266439117.80000001</v>
      </c>
      <c r="Y711">
        <v>267499117.80000001</v>
      </c>
      <c r="Z711">
        <v>268599117.80000001</v>
      </c>
      <c r="AA711">
        <v>270179117.80000001</v>
      </c>
      <c r="AB711">
        <v>35392927525.651443</v>
      </c>
      <c r="AC711">
        <v>7433227.7544000009</v>
      </c>
      <c r="AD711">
        <v>35948069928.013786</v>
      </c>
      <c r="AE711">
        <v>7460295.2984000007</v>
      </c>
      <c r="AF711">
        <v>37787366562.873177</v>
      </c>
      <c r="AG711">
        <v>7489975.2984000007</v>
      </c>
      <c r="AH711">
        <v>40978174727.254341</v>
      </c>
      <c r="AI711">
        <v>7520775.2984000007</v>
      </c>
      <c r="AJ711">
        <v>42909211773.424713</v>
      </c>
      <c r="AK711">
        <v>7565015.2984000007</v>
      </c>
    </row>
    <row r="712" spans="1:37" x14ac:dyDescent="0.35">
      <c r="A712" t="s">
        <v>7668</v>
      </c>
      <c r="B712">
        <v>93.69</v>
      </c>
      <c r="C712" t="s">
        <v>372</v>
      </c>
      <c r="D712" t="s">
        <v>7669</v>
      </c>
      <c r="E712" t="s">
        <v>7670</v>
      </c>
      <c r="F712">
        <v>5.0000000000000001E-4</v>
      </c>
      <c r="G712" t="s">
        <v>7671</v>
      </c>
      <c r="H712">
        <v>0.4</v>
      </c>
      <c r="I712">
        <v>0.01</v>
      </c>
      <c r="J712" t="s">
        <v>7672</v>
      </c>
      <c r="K712" t="s">
        <v>7673</v>
      </c>
      <c r="L712" t="s">
        <v>7674</v>
      </c>
      <c r="M712" t="s">
        <v>7675</v>
      </c>
      <c r="N712">
        <v>6885.5439810146627</v>
      </c>
      <c r="O712">
        <v>6968.1705087868386</v>
      </c>
      <c r="P712">
        <v>7295.6745226998191</v>
      </c>
      <c r="Q712">
        <v>7879.328484515805</v>
      </c>
      <c r="R712">
        <v>8202.3809523809523</v>
      </c>
      <c r="S712" t="s">
        <v>7676</v>
      </c>
      <c r="T712" t="s">
        <v>7677</v>
      </c>
      <c r="U712" t="s">
        <v>7678</v>
      </c>
      <c r="V712" t="s">
        <v>94</v>
      </c>
      <c r="W712">
        <v>265472419.80000001</v>
      </c>
      <c r="X712">
        <v>266439117.80000001</v>
      </c>
      <c r="Y712">
        <v>267499117.80000001</v>
      </c>
      <c r="Z712">
        <v>268599117.80000001</v>
      </c>
      <c r="AA712">
        <v>270179117.80000001</v>
      </c>
      <c r="AB712">
        <v>913961011.13964391</v>
      </c>
      <c r="AC712">
        <v>132736.20989999999</v>
      </c>
      <c r="AD712">
        <v>928296601.52057135</v>
      </c>
      <c r="AE712">
        <v>133219.5589</v>
      </c>
      <c r="AF712">
        <v>975793249.28906894</v>
      </c>
      <c r="AG712">
        <v>133749.5589</v>
      </c>
      <c r="AH712">
        <v>1058190339.8986779</v>
      </c>
      <c r="AI712">
        <v>134299.5589</v>
      </c>
      <c r="AJ712">
        <v>1108056024.7869051</v>
      </c>
      <c r="AK712">
        <v>135089.5589</v>
      </c>
    </row>
    <row r="713" spans="1:37" x14ac:dyDescent="0.35">
      <c r="A713" t="s">
        <v>7679</v>
      </c>
      <c r="B713">
        <v>102.36</v>
      </c>
      <c r="C713" t="s">
        <v>208</v>
      </c>
      <c r="D713" t="s">
        <v>7680</v>
      </c>
      <c r="E713" t="s">
        <v>7681</v>
      </c>
      <c r="F713">
        <v>3.1E-2</v>
      </c>
      <c r="G713" t="s">
        <v>7682</v>
      </c>
      <c r="H713">
        <v>0.3</v>
      </c>
      <c r="I713">
        <v>0.15</v>
      </c>
      <c r="J713" t="s">
        <v>7683</v>
      </c>
      <c r="K713" t="s">
        <v>7684</v>
      </c>
      <c r="L713" t="s">
        <v>7685</v>
      </c>
      <c r="M713" t="s">
        <v>7686</v>
      </c>
      <c r="N713">
        <v>1106.1651733936201</v>
      </c>
      <c r="O713">
        <v>1119.4391554743429</v>
      </c>
      <c r="P713">
        <v>1172.0527957816371</v>
      </c>
      <c r="Q713">
        <v>1265.817019444168</v>
      </c>
      <c r="R713">
        <v>1317.7155172413791</v>
      </c>
      <c r="S713" t="s">
        <v>7687</v>
      </c>
      <c r="T713" t="s">
        <v>7688</v>
      </c>
      <c r="U713" t="s">
        <v>1248</v>
      </c>
      <c r="V713" t="s">
        <v>94</v>
      </c>
      <c r="W713">
        <v>265472419.80000001</v>
      </c>
      <c r="X713">
        <v>266439117.80000001</v>
      </c>
      <c r="Y713">
        <v>267499117.80000001</v>
      </c>
      <c r="Z713">
        <v>268599117.80000001</v>
      </c>
      <c r="AA713">
        <v>270179117.80000001</v>
      </c>
      <c r="AB713">
        <v>9103346703.6580143</v>
      </c>
      <c r="AC713">
        <v>8229645.0138000008</v>
      </c>
      <c r="AD713">
        <v>9246133811.4761925</v>
      </c>
      <c r="AE713">
        <v>8259612.6518000001</v>
      </c>
      <c r="AF713">
        <v>9719215755.4849567</v>
      </c>
      <c r="AG713">
        <v>8292472.6518000001</v>
      </c>
      <c r="AH713">
        <v>10539917376.2868</v>
      </c>
      <c r="AI713">
        <v>8326572.6518000001</v>
      </c>
      <c r="AJ713">
        <v>11036595694.749041</v>
      </c>
      <c r="AK713">
        <v>8375552.6518000001</v>
      </c>
    </row>
    <row r="714" spans="1:37" x14ac:dyDescent="0.35">
      <c r="A714" t="s">
        <v>7689</v>
      </c>
      <c r="B714">
        <v>73.87</v>
      </c>
      <c r="C714" t="s">
        <v>1006</v>
      </c>
      <c r="D714" t="s">
        <v>7690</v>
      </c>
      <c r="E714" t="s">
        <v>7691</v>
      </c>
      <c r="F714">
        <v>2.5000000000000001E-5</v>
      </c>
      <c r="G714" t="s">
        <v>7692</v>
      </c>
      <c r="H714">
        <v>0.3</v>
      </c>
      <c r="I714">
        <v>0.25</v>
      </c>
      <c r="J714" t="s">
        <v>7693</v>
      </c>
      <c r="K714" t="s">
        <v>7694</v>
      </c>
      <c r="L714" t="s">
        <v>7695</v>
      </c>
      <c r="M714" t="s">
        <v>7696</v>
      </c>
      <c r="N714">
        <v>16395.639468580812</v>
      </c>
      <c r="O714">
        <v>16592.387142203781</v>
      </c>
      <c r="P714">
        <v>17372.229337887358</v>
      </c>
      <c r="Q714">
        <v>18762.00768491835</v>
      </c>
      <c r="R714">
        <v>19531.25</v>
      </c>
      <c r="S714" t="s">
        <v>7697</v>
      </c>
      <c r="T714" t="s">
        <v>7698</v>
      </c>
      <c r="U714" t="s">
        <v>6901</v>
      </c>
      <c r="V714" t="s">
        <v>1017</v>
      </c>
      <c r="W714">
        <v>331357816</v>
      </c>
      <c r="X714">
        <v>331968553.60000002</v>
      </c>
      <c r="Y714">
        <v>333028553.60000002</v>
      </c>
      <c r="Z714">
        <v>334128553.60000002</v>
      </c>
      <c r="AA714">
        <v>336128553.60000002</v>
      </c>
      <c r="AB714">
        <v>135820582.15580839</v>
      </c>
      <c r="AC714">
        <v>8283.9454000000005</v>
      </c>
      <c r="AD714">
        <v>137703769.00921571</v>
      </c>
      <c r="AE714">
        <v>8299.2138400000003</v>
      </c>
      <c r="AF714">
        <v>144636210.23010281</v>
      </c>
      <c r="AG714">
        <v>8325.7138400000003</v>
      </c>
      <c r="AH714">
        <v>156723062.2598463</v>
      </c>
      <c r="AI714">
        <v>8353.2138400000003</v>
      </c>
      <c r="AJ714">
        <v>164125270.3125</v>
      </c>
      <c r="AK714">
        <v>8403.2138400000003</v>
      </c>
    </row>
    <row r="715" spans="1:37" x14ac:dyDescent="0.35">
      <c r="A715" t="s">
        <v>7699</v>
      </c>
      <c r="B715">
        <v>162.51</v>
      </c>
      <c r="C715" t="s">
        <v>1006</v>
      </c>
      <c r="D715" t="s">
        <v>7700</v>
      </c>
      <c r="E715" t="s">
        <v>7701</v>
      </c>
      <c r="F715">
        <v>2.5000000000000001E-5</v>
      </c>
      <c r="G715" t="s">
        <v>7702</v>
      </c>
      <c r="H715">
        <v>0.3</v>
      </c>
      <c r="I715">
        <v>0.25</v>
      </c>
      <c r="J715" t="s">
        <v>7703</v>
      </c>
      <c r="K715" t="s">
        <v>7704</v>
      </c>
      <c r="L715" t="s">
        <v>7705</v>
      </c>
      <c r="M715" t="s">
        <v>7706</v>
      </c>
      <c r="N715">
        <v>16395.639468580812</v>
      </c>
      <c r="O715">
        <v>16592.387142203781</v>
      </c>
      <c r="P715">
        <v>17372.229337887358</v>
      </c>
      <c r="Q715">
        <v>18762.00768491835</v>
      </c>
      <c r="R715">
        <v>19531.25</v>
      </c>
      <c r="S715" t="s">
        <v>7707</v>
      </c>
      <c r="T715" t="s">
        <v>1589</v>
      </c>
      <c r="U715" t="s">
        <v>7708</v>
      </c>
      <c r="V715" t="s">
        <v>1017</v>
      </c>
      <c r="W715">
        <v>331357816</v>
      </c>
      <c r="X715">
        <v>331968553.60000002</v>
      </c>
      <c r="Y715">
        <v>333028553.60000002</v>
      </c>
      <c r="Z715">
        <v>334128553.60000002</v>
      </c>
      <c r="AA715">
        <v>336128553.60000002</v>
      </c>
      <c r="AB715">
        <v>135820582.15580839</v>
      </c>
      <c r="AC715">
        <v>8283.9454000000005</v>
      </c>
      <c r="AD715">
        <v>137703769.00921571</v>
      </c>
      <c r="AE715">
        <v>8299.2138400000003</v>
      </c>
      <c r="AF715">
        <v>144636210.23010281</v>
      </c>
      <c r="AG715">
        <v>8325.7138400000003</v>
      </c>
      <c r="AH715">
        <v>156723062.2598463</v>
      </c>
      <c r="AI715">
        <v>8353.2138400000003</v>
      </c>
      <c r="AJ715">
        <v>164125270.3125</v>
      </c>
      <c r="AK715">
        <v>8403.2138400000003</v>
      </c>
    </row>
    <row r="716" spans="1:37" x14ac:dyDescent="0.35">
      <c r="A716" t="s">
        <v>7709</v>
      </c>
      <c r="B716">
        <v>14.7</v>
      </c>
      <c r="C716" t="s">
        <v>487</v>
      </c>
      <c r="D716" t="s">
        <v>7710</v>
      </c>
      <c r="E716" t="s">
        <v>7711</v>
      </c>
      <c r="F716">
        <v>2.8000000000000001E-2</v>
      </c>
      <c r="G716" t="s">
        <v>7712</v>
      </c>
      <c r="H716">
        <v>3050.6</v>
      </c>
      <c r="I716">
        <v>23.2</v>
      </c>
      <c r="J716" t="s">
        <v>7713</v>
      </c>
      <c r="K716" t="s">
        <v>7714</v>
      </c>
      <c r="L716" t="s">
        <v>7715</v>
      </c>
      <c r="M716" t="s">
        <v>7716</v>
      </c>
      <c r="N716">
        <v>4761.448013576749</v>
      </c>
      <c r="O716">
        <v>4818.5853897396701</v>
      </c>
      <c r="P716">
        <v>5045.0589030574338</v>
      </c>
      <c r="Q716">
        <v>5448.663615302029</v>
      </c>
      <c r="R716">
        <v>5672.0588235294117</v>
      </c>
      <c r="S716" t="s">
        <v>7717</v>
      </c>
      <c r="T716" t="s">
        <v>7718</v>
      </c>
      <c r="U716" t="s">
        <v>2960</v>
      </c>
      <c r="V716" t="s">
        <v>94</v>
      </c>
      <c r="W716">
        <v>265472419.80000001</v>
      </c>
      <c r="X716">
        <v>266439117.80000001</v>
      </c>
      <c r="Y716">
        <v>267499117.80000001</v>
      </c>
      <c r="Z716">
        <v>268599117.80000001</v>
      </c>
      <c r="AA716">
        <v>270179117.80000001</v>
      </c>
      <c r="AB716">
        <v>35392927525.651443</v>
      </c>
      <c r="AC716">
        <v>7433227.7544000009</v>
      </c>
      <c r="AD716">
        <v>35948069928.013786</v>
      </c>
      <c r="AE716">
        <v>7460295.2984000007</v>
      </c>
      <c r="AF716">
        <v>37787366562.873177</v>
      </c>
      <c r="AG716">
        <v>7489975.2984000007</v>
      </c>
      <c r="AH716">
        <v>40978174727.254341</v>
      </c>
      <c r="AI716">
        <v>7520775.2984000007</v>
      </c>
      <c r="AJ716">
        <v>42909211773.424713</v>
      </c>
      <c r="AK716">
        <v>7565015.2984000007</v>
      </c>
    </row>
    <row r="717" spans="1:37" x14ac:dyDescent="0.35">
      <c r="A717" t="s">
        <v>7719</v>
      </c>
      <c r="B717">
        <v>160.72999999999999</v>
      </c>
      <c r="C717" t="s">
        <v>4081</v>
      </c>
      <c r="D717" t="s">
        <v>7720</v>
      </c>
      <c r="E717" t="s">
        <v>7721</v>
      </c>
      <c r="F717">
        <v>0.06</v>
      </c>
      <c r="G717" t="s">
        <v>7722</v>
      </c>
      <c r="H717">
        <v>0.1</v>
      </c>
      <c r="I717">
        <v>0.01</v>
      </c>
      <c r="J717" t="s">
        <v>7723</v>
      </c>
      <c r="K717" t="s">
        <v>7724</v>
      </c>
      <c r="L717" t="s">
        <v>7725</v>
      </c>
      <c r="M717" t="s">
        <v>7726</v>
      </c>
      <c r="N717">
        <v>447.71026175538009</v>
      </c>
      <c r="O717">
        <v>453.08278489644471</v>
      </c>
      <c r="P717">
        <v>474.37767578657753</v>
      </c>
      <c r="Q717">
        <v>512.32788984950378</v>
      </c>
      <c r="R717">
        <v>533.33333333333337</v>
      </c>
      <c r="S717" t="s">
        <v>7727</v>
      </c>
      <c r="T717" t="s">
        <v>1112</v>
      </c>
      <c r="U717" t="s">
        <v>7728</v>
      </c>
      <c r="V717" t="s">
        <v>49</v>
      </c>
      <c r="W717">
        <v>338996155</v>
      </c>
      <c r="X717">
        <v>339500751</v>
      </c>
      <c r="Y717">
        <v>340560751</v>
      </c>
      <c r="Z717">
        <v>341660751</v>
      </c>
      <c r="AA717">
        <v>343660751</v>
      </c>
      <c r="AB717">
        <v>9106323437.347044</v>
      </c>
      <c r="AC717">
        <v>20339769.300000001</v>
      </c>
      <c r="AD717">
        <v>9229316744.250864</v>
      </c>
      <c r="AE717">
        <v>20370045.059999999</v>
      </c>
      <c r="AF717">
        <v>9693265051.4106808</v>
      </c>
      <c r="AG717">
        <v>20433645.059999999</v>
      </c>
      <c r="AH717">
        <v>10502539896.253599</v>
      </c>
      <c r="AI717">
        <v>20499645.059999999</v>
      </c>
      <c r="AJ717">
        <v>10997144032</v>
      </c>
      <c r="AK717">
        <v>20619645.059999999</v>
      </c>
    </row>
    <row r="718" spans="1:37" x14ac:dyDescent="0.35">
      <c r="A718" t="s">
        <v>7729</v>
      </c>
      <c r="B718">
        <v>67.7</v>
      </c>
      <c r="C718" t="s">
        <v>4081</v>
      </c>
      <c r="D718" t="s">
        <v>7730</v>
      </c>
      <c r="E718" t="s">
        <v>7731</v>
      </c>
      <c r="F718">
        <v>0.06</v>
      </c>
      <c r="G718" t="s">
        <v>7732</v>
      </c>
      <c r="H718">
        <v>0.1</v>
      </c>
      <c r="I718">
        <v>0.05</v>
      </c>
      <c r="J718" t="s">
        <v>7733</v>
      </c>
      <c r="K718" t="s">
        <v>7734</v>
      </c>
      <c r="L718" t="s">
        <v>7735</v>
      </c>
      <c r="M718" t="s">
        <v>7736</v>
      </c>
      <c r="N718">
        <v>447.71026175538009</v>
      </c>
      <c r="O718">
        <v>453.08278489644471</v>
      </c>
      <c r="P718">
        <v>474.37767578657753</v>
      </c>
      <c r="Q718">
        <v>512.32788984950378</v>
      </c>
      <c r="R718">
        <v>533.33333333333337</v>
      </c>
      <c r="S718" t="s">
        <v>7737</v>
      </c>
      <c r="T718" t="s">
        <v>7738</v>
      </c>
      <c r="U718" t="s">
        <v>7739</v>
      </c>
      <c r="V718" t="s">
        <v>49</v>
      </c>
      <c r="W718">
        <v>338996155</v>
      </c>
      <c r="X718">
        <v>339500751</v>
      </c>
      <c r="Y718">
        <v>340560751</v>
      </c>
      <c r="Z718">
        <v>341660751</v>
      </c>
      <c r="AA718">
        <v>343660751</v>
      </c>
      <c r="AB718">
        <v>9106323437.347044</v>
      </c>
      <c r="AC718">
        <v>20339769.300000001</v>
      </c>
      <c r="AD718">
        <v>9229316744.250864</v>
      </c>
      <c r="AE718">
        <v>20370045.059999999</v>
      </c>
      <c r="AF718">
        <v>9693265051.4106808</v>
      </c>
      <c r="AG718">
        <v>20433645.059999999</v>
      </c>
      <c r="AH718">
        <v>10502539896.253599</v>
      </c>
      <c r="AI718">
        <v>20499645.059999999</v>
      </c>
      <c r="AJ718">
        <v>10997144032</v>
      </c>
      <c r="AK718">
        <v>20619645.059999999</v>
      </c>
    </row>
    <row r="719" spans="1:37" x14ac:dyDescent="0.35">
      <c r="A719" t="s">
        <v>7740</v>
      </c>
      <c r="B719">
        <v>45.4</v>
      </c>
      <c r="C719" t="s">
        <v>4081</v>
      </c>
      <c r="D719" t="s">
        <v>7741</v>
      </c>
      <c r="E719" t="s">
        <v>7742</v>
      </c>
      <c r="F719">
        <v>0.06</v>
      </c>
      <c r="G719" t="s">
        <v>7743</v>
      </c>
      <c r="H719">
        <v>10.25</v>
      </c>
      <c r="I719">
        <v>0.15</v>
      </c>
      <c r="J719" t="s">
        <v>7744</v>
      </c>
      <c r="K719" t="s">
        <v>7745</v>
      </c>
      <c r="L719" t="s">
        <v>7746</v>
      </c>
      <c r="M719" t="s">
        <v>7747</v>
      </c>
      <c r="N719">
        <v>447.71026175538009</v>
      </c>
      <c r="O719">
        <v>453.08278489644471</v>
      </c>
      <c r="P719">
        <v>474.37767578657753</v>
      </c>
      <c r="Q719">
        <v>512.32788984950378</v>
      </c>
      <c r="R719">
        <v>533.33333333333337</v>
      </c>
      <c r="S719" t="s">
        <v>7748</v>
      </c>
      <c r="T719" t="s">
        <v>7749</v>
      </c>
      <c r="U719" t="s">
        <v>7750</v>
      </c>
      <c r="V719" t="s">
        <v>49</v>
      </c>
      <c r="W719">
        <v>338996155</v>
      </c>
      <c r="X719">
        <v>339500751</v>
      </c>
      <c r="Y719">
        <v>340560751</v>
      </c>
      <c r="Z719">
        <v>341660751</v>
      </c>
      <c r="AA719">
        <v>343660751</v>
      </c>
      <c r="AB719">
        <v>9106323437.347044</v>
      </c>
      <c r="AC719">
        <v>20339769.300000001</v>
      </c>
      <c r="AD719">
        <v>9229316744.250864</v>
      </c>
      <c r="AE719">
        <v>20370045.059999999</v>
      </c>
      <c r="AF719">
        <v>9693265051.4106808</v>
      </c>
      <c r="AG719">
        <v>20433645.059999999</v>
      </c>
      <c r="AH719">
        <v>10502539896.253599</v>
      </c>
      <c r="AI719">
        <v>20499645.059999999</v>
      </c>
      <c r="AJ719">
        <v>10997144032</v>
      </c>
      <c r="AK719">
        <v>20619645.059999999</v>
      </c>
    </row>
    <row r="720" spans="1:37" x14ac:dyDescent="0.35">
      <c r="A720" t="s">
        <v>7751</v>
      </c>
      <c r="B720">
        <v>539.99</v>
      </c>
      <c r="C720" t="s">
        <v>278</v>
      </c>
      <c r="D720" t="s">
        <v>7752</v>
      </c>
      <c r="E720" t="s">
        <v>7753</v>
      </c>
      <c r="F720">
        <v>1.2999999999999999E-5</v>
      </c>
      <c r="G720" t="s">
        <v>7754</v>
      </c>
      <c r="H720">
        <v>0.2</v>
      </c>
      <c r="I720">
        <v>10.15</v>
      </c>
      <c r="J720" t="s">
        <v>7755</v>
      </c>
      <c r="K720" t="s">
        <v>7756</v>
      </c>
      <c r="L720" t="s">
        <v>7757</v>
      </c>
      <c r="M720" t="s">
        <v>7758</v>
      </c>
      <c r="N720">
        <v>117659.73818356229</v>
      </c>
      <c r="O720">
        <v>119071.655041765</v>
      </c>
      <c r="P720">
        <v>124668.022828728</v>
      </c>
      <c r="Q720">
        <v>134641.46465502621</v>
      </c>
      <c r="R720">
        <v>140161.76470588229</v>
      </c>
      <c r="S720" t="s">
        <v>7759</v>
      </c>
      <c r="T720" t="s">
        <v>7760</v>
      </c>
      <c r="U720" t="s">
        <v>7761</v>
      </c>
      <c r="V720" t="s">
        <v>49</v>
      </c>
      <c r="W720">
        <v>338996155</v>
      </c>
      <c r="X720">
        <v>339500751</v>
      </c>
      <c r="Y720">
        <v>340560751</v>
      </c>
      <c r="Z720">
        <v>341660751</v>
      </c>
      <c r="AA720">
        <v>343660751</v>
      </c>
      <c r="AB720">
        <v>518520584.95294589</v>
      </c>
      <c r="AC720">
        <v>4406.9500149999994</v>
      </c>
      <c r="AD720">
        <v>525523912.02339822</v>
      </c>
      <c r="AE720">
        <v>4413.509763</v>
      </c>
      <c r="AF720">
        <v>551941461.24307775</v>
      </c>
      <c r="AG720">
        <v>4427.2897629999998</v>
      </c>
      <c r="AH720">
        <v>598022151.08709085</v>
      </c>
      <c r="AI720">
        <v>4441.5897629999999</v>
      </c>
      <c r="AJ720">
        <v>626185265.16401446</v>
      </c>
      <c r="AK720">
        <v>4467.5897629999999</v>
      </c>
    </row>
    <row r="721" spans="1:37" x14ac:dyDescent="0.35">
      <c r="A721" t="s">
        <v>7762</v>
      </c>
      <c r="B721">
        <v>160.49</v>
      </c>
      <c r="C721" t="s">
        <v>1126</v>
      </c>
      <c r="D721" t="s">
        <v>7763</v>
      </c>
      <c r="E721" t="s">
        <v>7764</v>
      </c>
      <c r="F721">
        <v>3.8000000000000002E-4</v>
      </c>
      <c r="G721" t="s">
        <v>7765</v>
      </c>
      <c r="H721">
        <v>0.2</v>
      </c>
      <c r="I721">
        <v>0.01</v>
      </c>
      <c r="J721" t="s">
        <v>7766</v>
      </c>
      <c r="K721" t="s">
        <v>7767</v>
      </c>
      <c r="L721" t="s">
        <v>7768</v>
      </c>
      <c r="M721" t="s">
        <v>7769</v>
      </c>
      <c r="N721">
        <v>14270.764593452741</v>
      </c>
      <c r="O721">
        <v>14442.01376857417</v>
      </c>
      <c r="P721">
        <v>15120.78841569716</v>
      </c>
      <c r="Q721">
        <v>16330.451488952929</v>
      </c>
      <c r="R721">
        <v>17000</v>
      </c>
      <c r="S721" t="s">
        <v>7770</v>
      </c>
      <c r="T721" t="s">
        <v>7771</v>
      </c>
      <c r="U721" t="s">
        <v>7772</v>
      </c>
      <c r="V721" t="s">
        <v>49</v>
      </c>
      <c r="W721">
        <v>338996155</v>
      </c>
      <c r="X721">
        <v>339500751</v>
      </c>
      <c r="Y721">
        <v>340560751</v>
      </c>
      <c r="Z721">
        <v>341660751</v>
      </c>
      <c r="AA721">
        <v>343660751</v>
      </c>
      <c r="AB721">
        <v>1838339043.9144349</v>
      </c>
      <c r="AC721">
        <v>128818.5389</v>
      </c>
      <c r="AD721">
        <v>1863168317.7456429</v>
      </c>
      <c r="AE721">
        <v>129010.28538</v>
      </c>
      <c r="AF721">
        <v>1956827882.253531</v>
      </c>
      <c r="AG721">
        <v>129413.08538</v>
      </c>
      <c r="AH721">
        <v>2120200241.556196</v>
      </c>
      <c r="AI721">
        <v>129831.08538</v>
      </c>
      <c r="AJ721">
        <v>2220048451.46</v>
      </c>
      <c r="AK721">
        <v>130591.08538</v>
      </c>
    </row>
    <row r="722" spans="1:37" x14ac:dyDescent="0.35">
      <c r="A722" t="s">
        <v>7773</v>
      </c>
      <c r="B722">
        <v>5.29</v>
      </c>
      <c r="C722" t="s">
        <v>863</v>
      </c>
      <c r="D722" t="s">
        <v>7774</v>
      </c>
      <c r="E722" t="s">
        <v>7775</v>
      </c>
      <c r="F722">
        <v>0.1</v>
      </c>
      <c r="G722" t="s">
        <v>7776</v>
      </c>
      <c r="H722">
        <v>0.3</v>
      </c>
      <c r="I722">
        <v>0</v>
      </c>
      <c r="J722" t="s">
        <v>7777</v>
      </c>
      <c r="K722" t="s">
        <v>7778</v>
      </c>
      <c r="L722" t="s">
        <v>7779</v>
      </c>
      <c r="M722" t="s">
        <v>7780</v>
      </c>
      <c r="N722">
        <v>278.56709214154648</v>
      </c>
      <c r="O722">
        <v>281.90989724724511</v>
      </c>
      <c r="P722">
        <v>295.1596624178656</v>
      </c>
      <c r="Q722">
        <v>318.77243541129491</v>
      </c>
      <c r="R722">
        <v>331.84210526315792</v>
      </c>
      <c r="S722" t="s">
        <v>7781</v>
      </c>
      <c r="T722" t="s">
        <v>1589</v>
      </c>
      <c r="U722" t="s">
        <v>1957</v>
      </c>
      <c r="V722" t="s">
        <v>49</v>
      </c>
      <c r="W722">
        <v>338996155</v>
      </c>
      <c r="X722">
        <v>339500751</v>
      </c>
      <c r="Y722">
        <v>340560751</v>
      </c>
      <c r="Z722">
        <v>341660751</v>
      </c>
      <c r="AA722">
        <v>343660751</v>
      </c>
      <c r="AB722">
        <v>9443317314.5515003</v>
      </c>
      <c r="AC722">
        <v>33899615.5</v>
      </c>
      <c r="AD722">
        <v>9570862182.9772549</v>
      </c>
      <c r="AE722">
        <v>33950075.100000001</v>
      </c>
      <c r="AF722">
        <v>10051979629.79348</v>
      </c>
      <c r="AG722">
        <v>34056075.100000001</v>
      </c>
      <c r="AH722">
        <v>10891202968.072201</v>
      </c>
      <c r="AI722">
        <v>34166075.100000001</v>
      </c>
      <c r="AJ722">
        <v>11404110710.81579</v>
      </c>
      <c r="AK722">
        <v>34366075.100000001</v>
      </c>
    </row>
    <row r="723" spans="1:37" x14ac:dyDescent="0.35">
      <c r="A723" t="s">
        <v>7782</v>
      </c>
      <c r="B723">
        <v>54.65</v>
      </c>
      <c r="C723" t="s">
        <v>1019</v>
      </c>
      <c r="D723" t="s">
        <v>7783</v>
      </c>
      <c r="E723" t="s">
        <v>5729</v>
      </c>
      <c r="F723">
        <v>0.28999999999999998</v>
      </c>
      <c r="G723" t="s">
        <v>7784</v>
      </c>
      <c r="H723">
        <v>0.2</v>
      </c>
      <c r="I723">
        <v>0</v>
      </c>
      <c r="J723" t="s">
        <v>7785</v>
      </c>
      <c r="K723" t="s">
        <v>7786</v>
      </c>
      <c r="L723" t="s">
        <v>7787</v>
      </c>
      <c r="M723" t="s">
        <v>7788</v>
      </c>
      <c r="N723">
        <v>349.3072771403954</v>
      </c>
      <c r="O723">
        <v>353.49896446608022</v>
      </c>
      <c r="P723">
        <v>370.11341579598587</v>
      </c>
      <c r="Q723">
        <v>399.72248905966478</v>
      </c>
      <c r="R723">
        <v>416.11111111111109</v>
      </c>
      <c r="S723" t="s">
        <v>7789</v>
      </c>
      <c r="T723" t="s">
        <v>7790</v>
      </c>
      <c r="U723" t="s">
        <v>7791</v>
      </c>
      <c r="V723" t="s">
        <v>1029</v>
      </c>
      <c r="W723">
        <v>139921842</v>
      </c>
      <c r="X723">
        <v>139603232</v>
      </c>
      <c r="Y723">
        <v>140663232</v>
      </c>
      <c r="Z723">
        <v>141763232</v>
      </c>
      <c r="AA723">
        <v>143763232</v>
      </c>
      <c r="AB723">
        <v>14173958116.0317</v>
      </c>
      <c r="AC723">
        <v>40577334.18</v>
      </c>
      <c r="AD723">
        <v>14311383404.954201</v>
      </c>
      <c r="AE723">
        <v>40484937.279999986</v>
      </c>
      <c r="AF723">
        <v>15097791289.002741</v>
      </c>
      <c r="AG723">
        <v>40792337.279999986</v>
      </c>
      <c r="AH723">
        <v>16433126066.13299</v>
      </c>
      <c r="AI723">
        <v>41111337.279999986</v>
      </c>
      <c r="AJ723">
        <v>17348228679.288891</v>
      </c>
      <c r="AK723">
        <v>41691337.279999986</v>
      </c>
    </row>
    <row r="724" spans="1:37" x14ac:dyDescent="0.35">
      <c r="A724" t="s">
        <v>7792</v>
      </c>
      <c r="B724">
        <v>83.03</v>
      </c>
      <c r="C724" t="s">
        <v>1019</v>
      </c>
      <c r="D724" t="s">
        <v>7793</v>
      </c>
      <c r="E724" t="s">
        <v>7794</v>
      </c>
      <c r="F724">
        <v>0.28999999999999998</v>
      </c>
      <c r="G724" t="s">
        <v>7795</v>
      </c>
      <c r="H724">
        <v>15.3</v>
      </c>
      <c r="I724">
        <v>0</v>
      </c>
      <c r="J724" t="s">
        <v>7796</v>
      </c>
      <c r="K724" t="s">
        <v>7797</v>
      </c>
      <c r="L724" t="s">
        <v>7798</v>
      </c>
      <c r="M724" t="s">
        <v>7799</v>
      </c>
      <c r="N724">
        <v>349.3072771403954</v>
      </c>
      <c r="O724">
        <v>353.49896446608022</v>
      </c>
      <c r="P724">
        <v>370.11341579598587</v>
      </c>
      <c r="Q724">
        <v>399.72248905966478</v>
      </c>
      <c r="R724">
        <v>416.11111111111109</v>
      </c>
      <c r="S724" t="s">
        <v>7800</v>
      </c>
      <c r="T724" t="s">
        <v>7801</v>
      </c>
      <c r="U724" t="s">
        <v>7802</v>
      </c>
      <c r="V724" t="s">
        <v>1029</v>
      </c>
      <c r="W724">
        <v>139921842</v>
      </c>
      <c r="X724">
        <v>139603232</v>
      </c>
      <c r="Y724">
        <v>140663232</v>
      </c>
      <c r="Z724">
        <v>141763232</v>
      </c>
      <c r="AA724">
        <v>143763232</v>
      </c>
      <c r="AB724">
        <v>14173958116.0317</v>
      </c>
      <c r="AC724">
        <v>40577334.18</v>
      </c>
      <c r="AD724">
        <v>14311383404.954201</v>
      </c>
      <c r="AE724">
        <v>40484937.279999986</v>
      </c>
      <c r="AF724">
        <v>15097791289.002741</v>
      </c>
      <c r="AG724">
        <v>40792337.279999986</v>
      </c>
      <c r="AH724">
        <v>16433126066.13299</v>
      </c>
      <c r="AI724">
        <v>41111337.279999986</v>
      </c>
      <c r="AJ724">
        <v>17348228679.288891</v>
      </c>
      <c r="AK724">
        <v>41691337.279999986</v>
      </c>
    </row>
    <row r="725" spans="1:37" x14ac:dyDescent="0.35">
      <c r="A725" t="s">
        <v>7803</v>
      </c>
      <c r="B725">
        <v>16.649999999999999</v>
      </c>
      <c r="C725" t="s">
        <v>3931</v>
      </c>
      <c r="D725" t="s">
        <v>7804</v>
      </c>
      <c r="E725" t="s">
        <v>7805</v>
      </c>
      <c r="F725">
        <v>6.1999999999999998E-3</v>
      </c>
      <c r="G725" t="s">
        <v>7806</v>
      </c>
      <c r="H725">
        <v>0.3</v>
      </c>
      <c r="J725" t="s">
        <v>7807</v>
      </c>
      <c r="K725" t="s">
        <v>7808</v>
      </c>
      <c r="L725" t="s">
        <v>7809</v>
      </c>
      <c r="M725" t="s">
        <v>7810</v>
      </c>
      <c r="N725">
        <v>1129.7688636483419</v>
      </c>
      <c r="O725">
        <v>1143.326090012122</v>
      </c>
      <c r="P725">
        <v>1197.0624162426909</v>
      </c>
      <c r="Q725">
        <v>1292.827409542107</v>
      </c>
      <c r="R725">
        <v>1345.833333333333</v>
      </c>
      <c r="S725" t="s">
        <v>7811</v>
      </c>
      <c r="T725" t="s">
        <v>1157</v>
      </c>
      <c r="U725" t="s">
        <v>7812</v>
      </c>
      <c r="V725" t="s">
        <v>3941</v>
      </c>
      <c r="W725">
        <v>138616800</v>
      </c>
      <c r="X725">
        <v>139915020</v>
      </c>
      <c r="Y725">
        <v>139915020</v>
      </c>
      <c r="Z725">
        <v>139915020</v>
      </c>
      <c r="AA725">
        <v>139915020</v>
      </c>
      <c r="AB725">
        <v>970950656.63513052</v>
      </c>
      <c r="AC725">
        <v>859424.15999999992</v>
      </c>
      <c r="AD725">
        <v>991804655.05352044</v>
      </c>
      <c r="AE725">
        <v>867473.12399999995</v>
      </c>
      <c r="AF725">
        <v>1038419473.841036</v>
      </c>
      <c r="AG725">
        <v>867473.12399999995</v>
      </c>
      <c r="AH725">
        <v>1121493031.7483189</v>
      </c>
      <c r="AI725">
        <v>867473.12399999995</v>
      </c>
      <c r="AJ725">
        <v>1167474246.05</v>
      </c>
      <c r="AK725">
        <v>867473.12399999995</v>
      </c>
    </row>
    <row r="726" spans="1:37" x14ac:dyDescent="0.35">
      <c r="A726" t="s">
        <v>7813</v>
      </c>
      <c r="B726">
        <v>15.71</v>
      </c>
      <c r="C726" t="s">
        <v>3931</v>
      </c>
      <c r="D726" t="s">
        <v>7814</v>
      </c>
      <c r="E726" t="s">
        <v>7815</v>
      </c>
      <c r="F726">
        <v>6.1999999999999998E-3</v>
      </c>
      <c r="G726" t="s">
        <v>7816</v>
      </c>
      <c r="H726">
        <v>0.3</v>
      </c>
      <c r="J726" t="s">
        <v>7817</v>
      </c>
      <c r="K726" t="s">
        <v>7818</v>
      </c>
      <c r="L726" t="s">
        <v>7819</v>
      </c>
      <c r="M726" t="s">
        <v>7820</v>
      </c>
      <c r="N726">
        <v>1129.7688636483419</v>
      </c>
      <c r="O726">
        <v>1143.326090012122</v>
      </c>
      <c r="P726">
        <v>1197.0624162426909</v>
      </c>
      <c r="Q726">
        <v>1292.827409542107</v>
      </c>
      <c r="R726">
        <v>1345.833333333333</v>
      </c>
      <c r="S726" t="s">
        <v>7821</v>
      </c>
      <c r="T726" t="s">
        <v>587</v>
      </c>
      <c r="U726" t="s">
        <v>7822</v>
      </c>
      <c r="V726" t="s">
        <v>3941</v>
      </c>
      <c r="W726">
        <v>138616800</v>
      </c>
      <c r="X726">
        <v>139915020</v>
      </c>
      <c r="Y726">
        <v>139915020</v>
      </c>
      <c r="Z726">
        <v>139915020</v>
      </c>
      <c r="AA726">
        <v>139915020</v>
      </c>
      <c r="AB726">
        <v>970950656.63513052</v>
      </c>
      <c r="AC726">
        <v>859424.15999999992</v>
      </c>
      <c r="AD726">
        <v>991804655.05352044</v>
      </c>
      <c r="AE726">
        <v>867473.12399999995</v>
      </c>
      <c r="AF726">
        <v>1038419473.841036</v>
      </c>
      <c r="AG726">
        <v>867473.12399999995</v>
      </c>
      <c r="AH726">
        <v>1121493031.7483189</v>
      </c>
      <c r="AI726">
        <v>867473.12399999995</v>
      </c>
      <c r="AJ726">
        <v>1167474246.05</v>
      </c>
      <c r="AK726">
        <v>867473.12399999995</v>
      </c>
    </row>
    <row r="727" spans="1:37" x14ac:dyDescent="0.35">
      <c r="A727" t="s">
        <v>7823</v>
      </c>
      <c r="B727">
        <v>4.59</v>
      </c>
      <c r="C727" t="s">
        <v>372</v>
      </c>
      <c r="D727" t="s">
        <v>7824</v>
      </c>
      <c r="E727" t="s">
        <v>7670</v>
      </c>
      <c r="F727">
        <v>5.0000000000000001E-4</v>
      </c>
      <c r="G727" t="s">
        <v>7825</v>
      </c>
      <c r="H727">
        <v>0.3</v>
      </c>
      <c r="I727">
        <v>0.01</v>
      </c>
      <c r="J727" t="s">
        <v>7826</v>
      </c>
      <c r="K727" t="s">
        <v>7827</v>
      </c>
      <c r="L727" t="s">
        <v>7828</v>
      </c>
      <c r="M727" t="s">
        <v>7829</v>
      </c>
      <c r="N727">
        <v>6885.5439810146627</v>
      </c>
      <c r="O727">
        <v>6968.1705087868386</v>
      </c>
      <c r="P727">
        <v>7295.6745226998191</v>
      </c>
      <c r="Q727">
        <v>7879.328484515805</v>
      </c>
      <c r="R727">
        <v>8202.3809523809523</v>
      </c>
      <c r="S727" t="s">
        <v>7830</v>
      </c>
      <c r="T727" t="s">
        <v>7831</v>
      </c>
      <c r="U727" t="s">
        <v>7832</v>
      </c>
      <c r="V727" t="s">
        <v>94</v>
      </c>
      <c r="W727">
        <v>265472419.80000001</v>
      </c>
      <c r="X727">
        <v>266439117.80000001</v>
      </c>
      <c r="Y727">
        <v>267499117.80000001</v>
      </c>
      <c r="Z727">
        <v>268599117.80000001</v>
      </c>
      <c r="AA727">
        <v>270179117.80000001</v>
      </c>
      <c r="AB727">
        <v>913961011.13964391</v>
      </c>
      <c r="AC727">
        <v>132736.20989999999</v>
      </c>
      <c r="AD727">
        <v>928296601.52057135</v>
      </c>
      <c r="AE727">
        <v>133219.5589</v>
      </c>
      <c r="AF727">
        <v>975793249.28906894</v>
      </c>
      <c r="AG727">
        <v>133749.5589</v>
      </c>
      <c r="AH727">
        <v>1058190339.8986779</v>
      </c>
      <c r="AI727">
        <v>134299.5589</v>
      </c>
      <c r="AJ727">
        <v>1108056024.7869051</v>
      </c>
      <c r="AK727">
        <v>135089.5589</v>
      </c>
    </row>
    <row r="728" spans="1:37" x14ac:dyDescent="0.35">
      <c r="A728" t="s">
        <v>7833</v>
      </c>
      <c r="B728">
        <v>4.99</v>
      </c>
      <c r="C728" t="s">
        <v>372</v>
      </c>
      <c r="D728" t="s">
        <v>7834</v>
      </c>
      <c r="E728" t="s">
        <v>7835</v>
      </c>
      <c r="F728">
        <v>5.0000000000000001E-4</v>
      </c>
      <c r="G728" t="s">
        <v>7836</v>
      </c>
      <c r="H728">
        <v>0.3</v>
      </c>
      <c r="J728" t="s">
        <v>7837</v>
      </c>
      <c r="K728" t="s">
        <v>7838</v>
      </c>
      <c r="L728" t="s">
        <v>7839</v>
      </c>
      <c r="M728" t="s">
        <v>7840</v>
      </c>
      <c r="N728">
        <v>6885.5439810146627</v>
      </c>
      <c r="O728">
        <v>6968.1705087868386</v>
      </c>
      <c r="P728">
        <v>7295.6745226998191</v>
      </c>
      <c r="Q728">
        <v>7879.328484515805</v>
      </c>
      <c r="R728">
        <v>8202.3809523809523</v>
      </c>
      <c r="S728" t="s">
        <v>7841</v>
      </c>
      <c r="T728" t="s">
        <v>7842</v>
      </c>
      <c r="U728" t="s">
        <v>7843</v>
      </c>
      <c r="V728" t="s">
        <v>94</v>
      </c>
      <c r="W728">
        <v>265472419.80000001</v>
      </c>
      <c r="X728">
        <v>266439117.80000001</v>
      </c>
      <c r="Y728">
        <v>267499117.80000001</v>
      </c>
      <c r="Z728">
        <v>268599117.80000001</v>
      </c>
      <c r="AA728">
        <v>270179117.80000001</v>
      </c>
      <c r="AB728">
        <v>913961011.13964391</v>
      </c>
      <c r="AC728">
        <v>132736.20989999999</v>
      </c>
      <c r="AD728">
        <v>928296601.52057135</v>
      </c>
      <c r="AE728">
        <v>133219.5589</v>
      </c>
      <c r="AF728">
        <v>975793249.28906894</v>
      </c>
      <c r="AG728">
        <v>133749.5589</v>
      </c>
      <c r="AH728">
        <v>1058190339.8986779</v>
      </c>
      <c r="AI728">
        <v>134299.5589</v>
      </c>
      <c r="AJ728">
        <v>1108056024.7869051</v>
      </c>
      <c r="AK728">
        <v>135089.5589</v>
      </c>
    </row>
    <row r="729" spans="1:37" x14ac:dyDescent="0.35">
      <c r="A729" t="s">
        <v>7844</v>
      </c>
      <c r="B729">
        <v>0.93</v>
      </c>
      <c r="C729" t="s">
        <v>372</v>
      </c>
      <c r="D729" t="s">
        <v>7845</v>
      </c>
      <c r="E729" t="s">
        <v>7846</v>
      </c>
      <c r="F729">
        <v>5.0000000000000001E-4</v>
      </c>
      <c r="G729" t="s">
        <v>7847</v>
      </c>
      <c r="H729">
        <v>0.5</v>
      </c>
      <c r="I729">
        <v>0.21</v>
      </c>
      <c r="J729" t="s">
        <v>7848</v>
      </c>
      <c r="K729" t="s">
        <v>7849</v>
      </c>
      <c r="L729" t="s">
        <v>7850</v>
      </c>
      <c r="M729" t="s">
        <v>7851</v>
      </c>
      <c r="N729">
        <v>6885.5439810146627</v>
      </c>
      <c r="O729">
        <v>6968.1705087868386</v>
      </c>
      <c r="P729">
        <v>7295.6745226998191</v>
      </c>
      <c r="Q729">
        <v>7879.328484515805</v>
      </c>
      <c r="R729">
        <v>8202.3809523809523</v>
      </c>
      <c r="S729" t="s">
        <v>7852</v>
      </c>
      <c r="T729" t="s">
        <v>7853</v>
      </c>
      <c r="U729" t="s">
        <v>7843</v>
      </c>
      <c r="V729" t="s">
        <v>94</v>
      </c>
      <c r="W729">
        <v>265472419.80000001</v>
      </c>
      <c r="X729">
        <v>266439117.80000001</v>
      </c>
      <c r="Y729">
        <v>267499117.80000001</v>
      </c>
      <c r="Z729">
        <v>268599117.80000001</v>
      </c>
      <c r="AA729">
        <v>270179117.80000001</v>
      </c>
      <c r="AB729">
        <v>913961011.13964391</v>
      </c>
      <c r="AC729">
        <v>132736.20989999999</v>
      </c>
      <c r="AD729">
        <v>928296601.52057135</v>
      </c>
      <c r="AE729">
        <v>133219.5589</v>
      </c>
      <c r="AF729">
        <v>975793249.28906894</v>
      </c>
      <c r="AG729">
        <v>133749.5589</v>
      </c>
      <c r="AH729">
        <v>1058190339.8986779</v>
      </c>
      <c r="AI729">
        <v>134299.5589</v>
      </c>
      <c r="AJ729">
        <v>1108056024.7869051</v>
      </c>
      <c r="AK729">
        <v>135089.5589</v>
      </c>
    </row>
    <row r="730" spans="1:37" x14ac:dyDescent="0.35">
      <c r="A730" t="s">
        <v>7854</v>
      </c>
      <c r="B730">
        <v>6.97</v>
      </c>
      <c r="C730" t="s">
        <v>372</v>
      </c>
      <c r="D730" t="s">
        <v>7855</v>
      </c>
      <c r="E730" t="s">
        <v>7856</v>
      </c>
      <c r="F730">
        <v>5.0000000000000001E-4</v>
      </c>
      <c r="G730" t="s">
        <v>7857</v>
      </c>
      <c r="H730">
        <v>30.5</v>
      </c>
      <c r="I730">
        <v>3.15</v>
      </c>
      <c r="J730" t="s">
        <v>7858</v>
      </c>
      <c r="K730" t="s">
        <v>7859</v>
      </c>
      <c r="L730" t="s">
        <v>7860</v>
      </c>
      <c r="M730" t="s">
        <v>7861</v>
      </c>
      <c r="N730">
        <v>6885.5439810146627</v>
      </c>
      <c r="O730">
        <v>6968.1705087868386</v>
      </c>
      <c r="P730">
        <v>7295.6745226998191</v>
      </c>
      <c r="Q730">
        <v>7879.328484515805</v>
      </c>
      <c r="R730">
        <v>8202.3809523809523</v>
      </c>
      <c r="S730" t="s">
        <v>7862</v>
      </c>
      <c r="T730" t="s">
        <v>7863</v>
      </c>
      <c r="U730" t="s">
        <v>7864</v>
      </c>
      <c r="V730" t="s">
        <v>94</v>
      </c>
      <c r="W730">
        <v>265472419.80000001</v>
      </c>
      <c r="X730">
        <v>266439117.80000001</v>
      </c>
      <c r="Y730">
        <v>267499117.80000001</v>
      </c>
      <c r="Z730">
        <v>268599117.80000001</v>
      </c>
      <c r="AA730">
        <v>270179117.80000001</v>
      </c>
      <c r="AB730">
        <v>913961011.13964391</v>
      </c>
      <c r="AC730">
        <v>132736.20989999999</v>
      </c>
      <c r="AD730">
        <v>928296601.52057135</v>
      </c>
      <c r="AE730">
        <v>133219.5589</v>
      </c>
      <c r="AF730">
        <v>975793249.28906894</v>
      </c>
      <c r="AG730">
        <v>133749.5589</v>
      </c>
      <c r="AH730">
        <v>1058190339.8986779</v>
      </c>
      <c r="AI730">
        <v>134299.5589</v>
      </c>
      <c r="AJ730">
        <v>1108056024.7869051</v>
      </c>
      <c r="AK730">
        <v>135089.5589</v>
      </c>
    </row>
    <row r="731" spans="1:37" x14ac:dyDescent="0.35">
      <c r="A731" t="s">
        <v>7865</v>
      </c>
      <c r="B731">
        <v>109.66</v>
      </c>
      <c r="C731" t="s">
        <v>863</v>
      </c>
      <c r="D731" t="s">
        <v>7866</v>
      </c>
      <c r="E731" t="s">
        <v>7867</v>
      </c>
      <c r="F731">
        <v>0.1</v>
      </c>
      <c r="G731" t="s">
        <v>7868</v>
      </c>
      <c r="H731">
        <v>0.15</v>
      </c>
      <c r="I731">
        <v>0.01</v>
      </c>
      <c r="J731" t="s">
        <v>7869</v>
      </c>
      <c r="K731" t="s">
        <v>7870</v>
      </c>
      <c r="L731" t="s">
        <v>7871</v>
      </c>
      <c r="M731" t="s">
        <v>7872</v>
      </c>
      <c r="N731">
        <v>278.56709214154648</v>
      </c>
      <c r="O731">
        <v>281.90989724724511</v>
      </c>
      <c r="P731">
        <v>295.1596624178656</v>
      </c>
      <c r="Q731">
        <v>318.77243541129491</v>
      </c>
      <c r="R731">
        <v>331.84210526315792</v>
      </c>
      <c r="S731" t="s">
        <v>7873</v>
      </c>
      <c r="T731" t="s">
        <v>2564</v>
      </c>
      <c r="U731" t="s">
        <v>7874</v>
      </c>
      <c r="V731" t="s">
        <v>49</v>
      </c>
      <c r="W731">
        <v>338996155</v>
      </c>
      <c r="X731">
        <v>339500751</v>
      </c>
      <c r="Y731">
        <v>340560751</v>
      </c>
      <c r="Z731">
        <v>341660751</v>
      </c>
      <c r="AA731">
        <v>343660751</v>
      </c>
      <c r="AB731">
        <v>9443317314.5515003</v>
      </c>
      <c r="AC731">
        <v>33899615.5</v>
      </c>
      <c r="AD731">
        <v>9570862182.9772549</v>
      </c>
      <c r="AE731">
        <v>33950075.100000001</v>
      </c>
      <c r="AF731">
        <v>10051979629.79348</v>
      </c>
      <c r="AG731">
        <v>34056075.100000001</v>
      </c>
      <c r="AH731">
        <v>10891202968.072201</v>
      </c>
      <c r="AI731">
        <v>34166075.100000001</v>
      </c>
      <c r="AJ731">
        <v>11404110710.81579</v>
      </c>
      <c r="AK731">
        <v>34366075.100000001</v>
      </c>
    </row>
    <row r="732" spans="1:37" x14ac:dyDescent="0.35">
      <c r="A732" t="s">
        <v>7875</v>
      </c>
      <c r="B732">
        <v>33.17</v>
      </c>
      <c r="C732" t="s">
        <v>1055</v>
      </c>
      <c r="D732" t="s">
        <v>7876</v>
      </c>
      <c r="E732" t="s">
        <v>7877</v>
      </c>
      <c r="F732">
        <v>5.1999999999999998E-3</v>
      </c>
      <c r="G732" t="s">
        <v>7878</v>
      </c>
      <c r="H732">
        <v>0.25</v>
      </c>
      <c r="I732">
        <v>0.15</v>
      </c>
      <c r="J732" t="s">
        <v>7879</v>
      </c>
      <c r="K732" t="s">
        <v>7880</v>
      </c>
      <c r="L732" t="s">
        <v>7881</v>
      </c>
      <c r="M732" t="s">
        <v>7882</v>
      </c>
      <c r="N732">
        <v>470.62043530614358</v>
      </c>
      <c r="O732">
        <v>476.26788052981732</v>
      </c>
      <c r="P732">
        <v>498.65247091471872</v>
      </c>
      <c r="Q732">
        <v>538.54466858789624</v>
      </c>
      <c r="R732">
        <v>560.625</v>
      </c>
      <c r="S732" t="s">
        <v>7883</v>
      </c>
      <c r="T732" t="s">
        <v>7884</v>
      </c>
      <c r="U732" t="s">
        <v>7885</v>
      </c>
      <c r="V732" t="s">
        <v>49</v>
      </c>
      <c r="W732">
        <v>338996155</v>
      </c>
      <c r="X732">
        <v>339500751</v>
      </c>
      <c r="Y732">
        <v>340560751</v>
      </c>
      <c r="Z732">
        <v>341660751</v>
      </c>
      <c r="AA732">
        <v>343660751</v>
      </c>
      <c r="AB732">
        <v>829600293.77268636</v>
      </c>
      <c r="AC732">
        <v>1762780.0060000001</v>
      </c>
      <c r="AD732">
        <v>840805176.20866656</v>
      </c>
      <c r="AE732">
        <v>1765403.9051999999</v>
      </c>
      <c r="AF732">
        <v>883071591.91015577</v>
      </c>
      <c r="AG732">
        <v>1770915.9051999999</v>
      </c>
      <c r="AH732">
        <v>956797794.76729095</v>
      </c>
      <c r="AI732">
        <v>1776635.9051999999</v>
      </c>
      <c r="AJ732">
        <v>1001857004.3527499</v>
      </c>
      <c r="AK732">
        <v>1787035.9051999999</v>
      </c>
    </row>
    <row r="733" spans="1:37" x14ac:dyDescent="0.35">
      <c r="A733" t="s">
        <v>7886</v>
      </c>
      <c r="B733">
        <v>895.81</v>
      </c>
      <c r="C733" t="s">
        <v>590</v>
      </c>
      <c r="D733" t="s">
        <v>7887</v>
      </c>
      <c r="E733" t="s">
        <v>7888</v>
      </c>
      <c r="F733">
        <v>2.0000000000000001E-4</v>
      </c>
      <c r="G733" t="s">
        <v>7889</v>
      </c>
      <c r="H733">
        <v>0.3</v>
      </c>
      <c r="I733">
        <v>1.55</v>
      </c>
      <c r="J733" t="s">
        <v>7890</v>
      </c>
      <c r="K733" t="s">
        <v>7891</v>
      </c>
      <c r="L733" t="s">
        <v>7892</v>
      </c>
      <c r="M733" t="s">
        <v>7893</v>
      </c>
      <c r="N733">
        <v>57083.058373810964</v>
      </c>
      <c r="O733">
        <v>57768.055074296688</v>
      </c>
      <c r="P733">
        <v>60483.153662788631</v>
      </c>
      <c r="Q733">
        <v>65321.805955811717</v>
      </c>
      <c r="R733">
        <v>68000</v>
      </c>
      <c r="S733" t="s">
        <v>7894</v>
      </c>
      <c r="T733" t="s">
        <v>7895</v>
      </c>
      <c r="U733" t="s">
        <v>7896</v>
      </c>
      <c r="V733" t="s">
        <v>49</v>
      </c>
      <c r="W733">
        <v>338996155</v>
      </c>
      <c r="X733">
        <v>339500751</v>
      </c>
      <c r="Y733">
        <v>340560751</v>
      </c>
      <c r="Z733">
        <v>341660751</v>
      </c>
      <c r="AA733">
        <v>343660751</v>
      </c>
      <c r="AB733">
        <v>3870187460.8724942</v>
      </c>
      <c r="AC733">
        <v>67799.231</v>
      </c>
      <c r="AD733">
        <v>3922459616.3066182</v>
      </c>
      <c r="AE733">
        <v>67900.150200000004</v>
      </c>
      <c r="AF733">
        <v>4119637646.8495402</v>
      </c>
      <c r="AG733">
        <v>68112.150200000004</v>
      </c>
      <c r="AH733">
        <v>4463579455.9077816</v>
      </c>
      <c r="AI733">
        <v>68332.150200000004</v>
      </c>
      <c r="AJ733">
        <v>4673786213.6000004</v>
      </c>
      <c r="AK733">
        <v>68732.150200000004</v>
      </c>
    </row>
    <row r="734" spans="1:37" x14ac:dyDescent="0.35">
      <c r="A734" t="s">
        <v>7897</v>
      </c>
      <c r="B734">
        <v>2.33</v>
      </c>
      <c r="C734" t="s">
        <v>5959</v>
      </c>
      <c r="D734" t="s">
        <v>7898</v>
      </c>
      <c r="E734" t="s">
        <v>7899</v>
      </c>
      <c r="F734">
        <v>0.47199999999999998</v>
      </c>
      <c r="G734" t="s">
        <v>7900</v>
      </c>
      <c r="H734">
        <v>0.3</v>
      </c>
      <c r="J734" t="s">
        <v>7901</v>
      </c>
      <c r="K734" t="s">
        <v>7902</v>
      </c>
      <c r="L734" t="s">
        <v>7903</v>
      </c>
      <c r="M734" t="s">
        <v>7904</v>
      </c>
      <c r="N734">
        <v>136.41172037859241</v>
      </c>
      <c r="O734">
        <v>138.04866102313551</v>
      </c>
      <c r="P734">
        <v>144.5369480912228</v>
      </c>
      <c r="Q734">
        <v>156.0999039385207</v>
      </c>
      <c r="R734">
        <v>162.5</v>
      </c>
      <c r="S734" t="s">
        <v>7905</v>
      </c>
      <c r="T734" t="s">
        <v>7906</v>
      </c>
      <c r="U734" t="s">
        <v>7907</v>
      </c>
      <c r="V734" t="s">
        <v>49</v>
      </c>
      <c r="W734">
        <v>338996155</v>
      </c>
      <c r="X734">
        <v>339500751</v>
      </c>
      <c r="Y734">
        <v>340560751</v>
      </c>
      <c r="Z734">
        <v>341660751</v>
      </c>
      <c r="AA734">
        <v>343660751</v>
      </c>
      <c r="AB734">
        <v>21826718988.891201</v>
      </c>
      <c r="AC734">
        <v>160006185.16</v>
      </c>
      <c r="AD734">
        <v>22121518571.376289</v>
      </c>
      <c r="AE734">
        <v>160244354.472</v>
      </c>
      <c r="AF734">
        <v>23233544670.099972</v>
      </c>
      <c r="AG734">
        <v>160744674.472</v>
      </c>
      <c r="AH734">
        <v>25173275313.832859</v>
      </c>
      <c r="AI734">
        <v>161263874.472</v>
      </c>
      <c r="AJ734">
        <v>26358779601.700001</v>
      </c>
      <c r="AK734">
        <v>162207874.472</v>
      </c>
    </row>
    <row r="735" spans="1:37" x14ac:dyDescent="0.35">
      <c r="A735" t="s">
        <v>7908</v>
      </c>
      <c r="B735">
        <v>500</v>
      </c>
      <c r="C735" t="s">
        <v>5380</v>
      </c>
      <c r="D735" t="s">
        <v>7909</v>
      </c>
      <c r="E735" t="s">
        <v>7910</v>
      </c>
      <c r="F735">
        <v>1.0000000000000001E-5</v>
      </c>
      <c r="G735" t="s">
        <v>7911</v>
      </c>
      <c r="H735">
        <v>0.5</v>
      </c>
      <c r="I735">
        <v>5.0999999999999996</v>
      </c>
      <c r="J735" t="s">
        <v>7912</v>
      </c>
      <c r="K735" t="s">
        <v>7913</v>
      </c>
      <c r="L735" t="s">
        <v>7914</v>
      </c>
      <c r="M735" t="s">
        <v>7915</v>
      </c>
      <c r="N735">
        <v>3882.4874261599371</v>
      </c>
      <c r="O735">
        <v>3929.0772752738558</v>
      </c>
      <c r="P735">
        <v>4113.7439072117268</v>
      </c>
      <c r="Q735">
        <v>4442.8434197886654</v>
      </c>
      <c r="R735">
        <v>4625</v>
      </c>
      <c r="S735" t="s">
        <v>7916</v>
      </c>
      <c r="T735" t="s">
        <v>7917</v>
      </c>
      <c r="U735" t="s">
        <v>7918</v>
      </c>
      <c r="V735" t="s">
        <v>49</v>
      </c>
      <c r="W735">
        <v>338996155</v>
      </c>
      <c r="X735">
        <v>339500751</v>
      </c>
      <c r="Y735">
        <v>340560751</v>
      </c>
      <c r="Z735">
        <v>341660751</v>
      </c>
      <c r="AA735">
        <v>343660751</v>
      </c>
      <c r="AB735">
        <v>13161483.093040651</v>
      </c>
      <c r="AC735">
        <v>3389.96155</v>
      </c>
      <c r="AD735">
        <v>13339246.85692508</v>
      </c>
      <c r="AE735">
        <v>3395.0075099999999</v>
      </c>
      <c r="AF735">
        <v>14009797.144617001</v>
      </c>
      <c r="AG735">
        <v>3405.6075099999998</v>
      </c>
      <c r="AH735">
        <v>15179452.193804041</v>
      </c>
      <c r="AI735">
        <v>3416.6075099999998</v>
      </c>
      <c r="AJ735">
        <v>15894309.733750001</v>
      </c>
      <c r="AK735">
        <v>3436.6075099999998</v>
      </c>
    </row>
    <row r="736" spans="1:37" x14ac:dyDescent="0.35">
      <c r="A736" t="s">
        <v>7919</v>
      </c>
      <c r="B736">
        <v>1131.3599999999999</v>
      </c>
      <c r="C736" t="s">
        <v>2917</v>
      </c>
      <c r="D736" t="s">
        <v>7920</v>
      </c>
      <c r="E736" t="s">
        <v>7921</v>
      </c>
      <c r="F736">
        <v>1.3999999999999999E-4</v>
      </c>
      <c r="G736" t="s">
        <v>7922</v>
      </c>
      <c r="H736">
        <v>0.3</v>
      </c>
      <c r="I736">
        <v>0.2</v>
      </c>
      <c r="J736" t="s">
        <v>7923</v>
      </c>
      <c r="K736" t="s">
        <v>7924</v>
      </c>
      <c r="L736" t="s">
        <v>7925</v>
      </c>
      <c r="M736" t="s">
        <v>7926</v>
      </c>
      <c r="N736">
        <v>77020.155967605227</v>
      </c>
      <c r="O736">
        <v>77944.397839216486</v>
      </c>
      <c r="P736">
        <v>81607.784537659652</v>
      </c>
      <c r="Q736">
        <v>88136.407300672436</v>
      </c>
      <c r="R736">
        <v>91750</v>
      </c>
      <c r="S736" t="s">
        <v>7927</v>
      </c>
      <c r="T736" t="s">
        <v>7928</v>
      </c>
      <c r="U736" t="s">
        <v>7929</v>
      </c>
      <c r="V736" t="s">
        <v>49</v>
      </c>
      <c r="W736">
        <v>338996155</v>
      </c>
      <c r="X736">
        <v>339500751</v>
      </c>
      <c r="Y736">
        <v>340560751</v>
      </c>
      <c r="Z736">
        <v>341660751</v>
      </c>
      <c r="AA736">
        <v>343660751</v>
      </c>
      <c r="AB736">
        <v>3655335142.2725859</v>
      </c>
      <c r="AC736">
        <v>47459.461699999993</v>
      </c>
      <c r="AD736">
        <v>3704705424.3719478</v>
      </c>
      <c r="AE736">
        <v>47530.105139999992</v>
      </c>
      <c r="AF736">
        <v>3890937174.5428181</v>
      </c>
      <c r="AG736">
        <v>47678.505139999987</v>
      </c>
      <c r="AH736">
        <v>4215785155.230547</v>
      </c>
      <c r="AI736">
        <v>47832.505139999987</v>
      </c>
      <c r="AJ736">
        <v>4414322346.5949993</v>
      </c>
      <c r="AK736">
        <v>48112.505139999987</v>
      </c>
    </row>
    <row r="737" spans="1:37" x14ac:dyDescent="0.35">
      <c r="A737" t="s">
        <v>7930</v>
      </c>
      <c r="B737">
        <v>2490.5500000000002</v>
      </c>
      <c r="C737" t="s">
        <v>255</v>
      </c>
      <c r="D737" t="s">
        <v>7931</v>
      </c>
      <c r="E737" t="s">
        <v>7932</v>
      </c>
      <c r="F737">
        <v>4.1999999999999998E-5</v>
      </c>
      <c r="G737" t="s">
        <v>7933</v>
      </c>
      <c r="H737">
        <v>0.8</v>
      </c>
      <c r="I737">
        <v>3040.3</v>
      </c>
      <c r="J737" t="s">
        <v>7934</v>
      </c>
      <c r="K737" t="s">
        <v>7935</v>
      </c>
      <c r="L737" t="s">
        <v>7936</v>
      </c>
      <c r="M737" t="s">
        <v>7937</v>
      </c>
      <c r="N737">
        <v>118710.1325836446</v>
      </c>
      <c r="O737">
        <v>120134.6541746483</v>
      </c>
      <c r="P737">
        <v>125780.9829208568</v>
      </c>
      <c r="Q737">
        <v>135843.46155452539</v>
      </c>
      <c r="R737">
        <v>141413.04347826089</v>
      </c>
      <c r="S737" t="s">
        <v>7938</v>
      </c>
      <c r="T737" t="s">
        <v>7939</v>
      </c>
      <c r="U737" t="s">
        <v>4167</v>
      </c>
      <c r="V737" t="s">
        <v>94</v>
      </c>
      <c r="W737">
        <v>265472419.80000001</v>
      </c>
      <c r="X737">
        <v>266439117.80000001</v>
      </c>
      <c r="Y737">
        <v>267499117.80000001</v>
      </c>
      <c r="Z737">
        <v>268599117.80000001</v>
      </c>
      <c r="AA737">
        <v>270179117.80000001</v>
      </c>
      <c r="AB737">
        <v>1323599178.3738761</v>
      </c>
      <c r="AC737">
        <v>11149.8416316</v>
      </c>
      <c r="AD737">
        <v>1344359993.571058</v>
      </c>
      <c r="AE737">
        <v>11190.4429476</v>
      </c>
      <c r="AF737">
        <v>1413144682.628535</v>
      </c>
      <c r="AG737">
        <v>11234.962947599999</v>
      </c>
      <c r="AH737">
        <v>1532472225.162637</v>
      </c>
      <c r="AI737">
        <v>11281.1629476</v>
      </c>
      <c r="AJ737">
        <v>1604687755.959522</v>
      </c>
      <c r="AK737">
        <v>11347.5229476</v>
      </c>
    </row>
    <row r="738" spans="1:37" x14ac:dyDescent="0.35">
      <c r="A738" t="s">
        <v>7940</v>
      </c>
      <c r="B738">
        <v>12783.48</v>
      </c>
      <c r="C738" t="s">
        <v>4958</v>
      </c>
      <c r="D738" t="s">
        <v>7941</v>
      </c>
      <c r="E738" t="s">
        <v>7942</v>
      </c>
      <c r="F738">
        <v>4.5300000000000003E-5</v>
      </c>
      <c r="G738" t="s">
        <v>7943</v>
      </c>
      <c r="H738">
        <v>0.1</v>
      </c>
      <c r="I738">
        <v>0.01</v>
      </c>
      <c r="J738" t="s">
        <v>7944</v>
      </c>
      <c r="K738" t="s">
        <v>7945</v>
      </c>
      <c r="L738" t="s">
        <v>7946</v>
      </c>
      <c r="M738" t="s">
        <v>7947</v>
      </c>
      <c r="N738">
        <v>109129.3763028739</v>
      </c>
      <c r="O738">
        <v>110438.9288185084</v>
      </c>
      <c r="P738">
        <v>115629.5584729783</v>
      </c>
      <c r="Q738">
        <v>124879.9231508165</v>
      </c>
      <c r="R738">
        <v>130000</v>
      </c>
      <c r="S738" t="s">
        <v>7948</v>
      </c>
      <c r="T738" t="s">
        <v>7949</v>
      </c>
      <c r="U738" t="s">
        <v>7950</v>
      </c>
      <c r="V738" t="s">
        <v>94</v>
      </c>
      <c r="W738">
        <v>265472419.80000001</v>
      </c>
      <c r="X738">
        <v>266439117.80000001</v>
      </c>
      <c r="Y738">
        <v>267499117.80000001</v>
      </c>
      <c r="Z738">
        <v>268599117.80000001</v>
      </c>
      <c r="AA738">
        <v>270179117.80000001</v>
      </c>
      <c r="AB738">
        <v>1312379033.807009</v>
      </c>
      <c r="AC738">
        <v>12025.90061694</v>
      </c>
      <c r="AD738">
        <v>1332963859.6626711</v>
      </c>
      <c r="AE738">
        <v>12069.69203634</v>
      </c>
      <c r="AF738">
        <v>1401165461.2055719</v>
      </c>
      <c r="AG738">
        <v>12117.71003634</v>
      </c>
      <c r="AH738">
        <v>1519481464.6726229</v>
      </c>
      <c r="AI738">
        <v>12167.54003634</v>
      </c>
      <c r="AJ738">
        <v>1591084824.7242</v>
      </c>
      <c r="AK738">
        <v>12239.114036340001</v>
      </c>
    </row>
    <row r="739" spans="1:37" x14ac:dyDescent="0.35">
      <c r="A739" t="s">
        <v>7951</v>
      </c>
      <c r="B739">
        <v>17553.11</v>
      </c>
      <c r="C739" t="s">
        <v>348</v>
      </c>
      <c r="D739" t="s">
        <v>7952</v>
      </c>
      <c r="E739" t="s">
        <v>7953</v>
      </c>
      <c r="F739">
        <v>5.0000000000000001E-4</v>
      </c>
      <c r="G739" t="s">
        <v>7954</v>
      </c>
      <c r="H739">
        <v>0.3</v>
      </c>
      <c r="I739">
        <v>0.15</v>
      </c>
      <c r="J739" t="s">
        <v>7955</v>
      </c>
      <c r="K739" t="s">
        <v>7956</v>
      </c>
      <c r="L739" t="s">
        <v>7957</v>
      </c>
      <c r="M739" t="s">
        <v>7958</v>
      </c>
      <c r="N739">
        <v>128436.8813410747</v>
      </c>
      <c r="O739">
        <v>129978.1239171676</v>
      </c>
      <c r="P739">
        <v>136087.09574127439</v>
      </c>
      <c r="Q739">
        <v>146974.06340057639</v>
      </c>
      <c r="R739">
        <v>153000</v>
      </c>
      <c r="S739" t="s">
        <v>7959</v>
      </c>
      <c r="T739" t="s">
        <v>7960</v>
      </c>
      <c r="U739" t="s">
        <v>7961</v>
      </c>
      <c r="V739" t="s">
        <v>94</v>
      </c>
      <c r="W739">
        <v>265472419.80000001</v>
      </c>
      <c r="X739">
        <v>266439117.80000001</v>
      </c>
      <c r="Y739">
        <v>267499117.80000001</v>
      </c>
      <c r="Z739">
        <v>268599117.80000001</v>
      </c>
      <c r="AA739">
        <v>270179117.80000001</v>
      </c>
      <c r="AB739">
        <v>17048224840.590281</v>
      </c>
      <c r="AC739">
        <v>132736.20989999999</v>
      </c>
      <c r="AD739">
        <v>17315628334.8946</v>
      </c>
      <c r="AE739">
        <v>133219.5589</v>
      </c>
      <c r="AF739">
        <v>18201589027.377529</v>
      </c>
      <c r="AG739">
        <v>133749.5589</v>
      </c>
      <c r="AH739">
        <v>19738551884.438049</v>
      </c>
      <c r="AI739">
        <v>134299.5589</v>
      </c>
      <c r="AJ739">
        <v>20668702511.700001</v>
      </c>
      <c r="AK739">
        <v>135089.5589</v>
      </c>
    </row>
    <row r="740" spans="1:37" x14ac:dyDescent="0.35">
      <c r="A740" t="s">
        <v>7962</v>
      </c>
      <c r="B740">
        <v>1260.6099999999999</v>
      </c>
      <c r="C740" t="s">
        <v>7963</v>
      </c>
      <c r="D740" t="s">
        <v>7964</v>
      </c>
      <c r="E740" t="s">
        <v>7965</v>
      </c>
      <c r="F740">
        <v>7.9799999999999996E-2</v>
      </c>
      <c r="G740" t="s">
        <v>7966</v>
      </c>
      <c r="H740">
        <v>30.4</v>
      </c>
      <c r="I740">
        <v>0.01</v>
      </c>
      <c r="J740" t="s">
        <v>7967</v>
      </c>
      <c r="K740" t="s">
        <v>7968</v>
      </c>
      <c r="L740" t="s">
        <v>7969</v>
      </c>
      <c r="M740" t="s">
        <v>7970</v>
      </c>
      <c r="N740">
        <v>16789.13481582675</v>
      </c>
      <c r="O740">
        <v>16990.604433616671</v>
      </c>
      <c r="P740">
        <v>17789.162841996651</v>
      </c>
      <c r="Q740">
        <v>19212.295869356389</v>
      </c>
      <c r="R740">
        <v>20000</v>
      </c>
      <c r="S740" t="s">
        <v>7971</v>
      </c>
      <c r="T740" t="s">
        <v>7972</v>
      </c>
      <c r="U740" t="s">
        <v>7973</v>
      </c>
      <c r="V740" t="s">
        <v>49</v>
      </c>
      <c r="W740">
        <v>338996155</v>
      </c>
      <c r="X740">
        <v>339500751</v>
      </c>
      <c r="Y740">
        <v>340560751</v>
      </c>
      <c r="Z740">
        <v>341660751</v>
      </c>
      <c r="AA740">
        <v>343660751</v>
      </c>
      <c r="AB740">
        <v>454177881437.68372</v>
      </c>
      <c r="AC740">
        <v>27051893.169</v>
      </c>
      <c r="AD740">
        <v>460312172619.51178</v>
      </c>
      <c r="AE740">
        <v>27092159.9298</v>
      </c>
      <c r="AF740">
        <v>483451594439.1076</v>
      </c>
      <c r="AG740">
        <v>27176747.9298</v>
      </c>
      <c r="AH740">
        <v>523814177325.64838</v>
      </c>
      <c r="AI740">
        <v>27264527.9298</v>
      </c>
      <c r="AJ740">
        <v>548482558596</v>
      </c>
      <c r="AK740">
        <v>27424127.9298</v>
      </c>
    </row>
    <row r="741" spans="1:37" x14ac:dyDescent="0.35">
      <c r="A741" t="s">
        <v>7974</v>
      </c>
      <c r="B741">
        <v>4.0199999999999996</v>
      </c>
      <c r="C741" t="s">
        <v>590</v>
      </c>
      <c r="D741" t="s">
        <v>7975</v>
      </c>
      <c r="E741" t="s">
        <v>7976</v>
      </c>
      <c r="F741">
        <v>2.0000000000000001E-4</v>
      </c>
      <c r="G741" t="s">
        <v>7977</v>
      </c>
      <c r="H741">
        <v>0.8</v>
      </c>
      <c r="I741">
        <v>0.95</v>
      </c>
      <c r="J741" t="s">
        <v>7978</v>
      </c>
      <c r="K741" t="s">
        <v>7979</v>
      </c>
      <c r="L741" t="s">
        <v>7980</v>
      </c>
      <c r="M741" t="s">
        <v>7981</v>
      </c>
      <c r="N741">
        <v>57083.058373810964</v>
      </c>
      <c r="O741">
        <v>57768.055074296688</v>
      </c>
      <c r="P741">
        <v>60483.153662788631</v>
      </c>
      <c r="Q741">
        <v>65321.805955811717</v>
      </c>
      <c r="R741">
        <v>68000</v>
      </c>
      <c r="S741" t="s">
        <v>7982</v>
      </c>
      <c r="T741" t="s">
        <v>7983</v>
      </c>
      <c r="U741" t="s">
        <v>7984</v>
      </c>
      <c r="V741" t="s">
        <v>49</v>
      </c>
      <c r="W741">
        <v>338996155</v>
      </c>
      <c r="X741">
        <v>339500751</v>
      </c>
      <c r="Y741">
        <v>340560751</v>
      </c>
      <c r="Z741">
        <v>341660751</v>
      </c>
      <c r="AA741">
        <v>343660751</v>
      </c>
      <c r="AB741">
        <v>3870187460.8724942</v>
      </c>
      <c r="AC741">
        <v>67799.231</v>
      </c>
      <c r="AD741">
        <v>3922459616.3066182</v>
      </c>
      <c r="AE741">
        <v>67900.150200000004</v>
      </c>
      <c r="AF741">
        <v>4119637646.8495402</v>
      </c>
      <c r="AG741">
        <v>68112.150200000004</v>
      </c>
      <c r="AH741">
        <v>4463579455.9077816</v>
      </c>
      <c r="AI741">
        <v>68332.150200000004</v>
      </c>
      <c r="AJ741">
        <v>4673786213.6000004</v>
      </c>
      <c r="AK741">
        <v>68732.150200000004</v>
      </c>
    </row>
    <row r="742" spans="1:37" x14ac:dyDescent="0.35">
      <c r="A742" t="s">
        <v>7985</v>
      </c>
      <c r="B742">
        <v>2305.0500000000002</v>
      </c>
      <c r="C742" t="s">
        <v>2436</v>
      </c>
      <c r="D742" t="s">
        <v>7407</v>
      </c>
      <c r="E742" t="s">
        <v>7986</v>
      </c>
      <c r="F742">
        <v>1.4999999999999999E-2</v>
      </c>
      <c r="G742" t="s">
        <v>7987</v>
      </c>
      <c r="H742">
        <v>0.3</v>
      </c>
      <c r="I742">
        <v>0.05</v>
      </c>
      <c r="J742" t="s">
        <v>7988</v>
      </c>
      <c r="K742" t="s">
        <v>7989</v>
      </c>
      <c r="L742" t="s">
        <v>7990</v>
      </c>
      <c r="M742" t="s">
        <v>7991</v>
      </c>
      <c r="N742">
        <v>2999.6587537610458</v>
      </c>
      <c r="O742">
        <v>3035.6546588061792</v>
      </c>
      <c r="P742">
        <v>3178.330427770069</v>
      </c>
      <c r="Q742">
        <v>3432.5968619916748</v>
      </c>
      <c r="R742">
        <v>3573.333333333333</v>
      </c>
      <c r="S742" t="s">
        <v>7992</v>
      </c>
      <c r="T742" t="s">
        <v>7993</v>
      </c>
      <c r="U742" t="s">
        <v>7574</v>
      </c>
      <c r="V742" t="s">
        <v>49</v>
      </c>
      <c r="W742">
        <v>338996155</v>
      </c>
      <c r="X742">
        <v>339500751</v>
      </c>
      <c r="Y742">
        <v>340560751</v>
      </c>
      <c r="Z742">
        <v>341660751</v>
      </c>
      <c r="AA742">
        <v>343660751</v>
      </c>
      <c r="AB742">
        <v>15253091757.556299</v>
      </c>
      <c r="AC742">
        <v>5084942.3250000002</v>
      </c>
      <c r="AD742">
        <v>15459105546.620199</v>
      </c>
      <c r="AE742">
        <v>5092511.2649999997</v>
      </c>
      <c r="AF742">
        <v>16236218961.11289</v>
      </c>
      <c r="AG742">
        <v>5108411.2649999997</v>
      </c>
      <c r="AH742">
        <v>17591754326.224781</v>
      </c>
      <c r="AI742">
        <v>5124911.2649999997</v>
      </c>
      <c r="AJ742">
        <v>18420216253.599998</v>
      </c>
      <c r="AK742">
        <v>5154911.2649999997</v>
      </c>
    </row>
    <row r="743" spans="1:37" x14ac:dyDescent="0.35">
      <c r="A743" t="s">
        <v>7994</v>
      </c>
      <c r="B743">
        <v>6.98</v>
      </c>
      <c r="C743" t="s">
        <v>1736</v>
      </c>
      <c r="D743" t="s">
        <v>7995</v>
      </c>
      <c r="E743" t="s">
        <v>7996</v>
      </c>
      <c r="F743">
        <v>0.03</v>
      </c>
      <c r="G743" t="s">
        <v>7997</v>
      </c>
      <c r="H743">
        <v>0.25</v>
      </c>
      <c r="I743">
        <v>0</v>
      </c>
      <c r="J743" t="s">
        <v>7998</v>
      </c>
      <c r="K743" t="s">
        <v>7999</v>
      </c>
      <c r="L743" t="s">
        <v>8000</v>
      </c>
      <c r="M743" t="s">
        <v>8001</v>
      </c>
      <c r="N743">
        <v>755.51106671220373</v>
      </c>
      <c r="O743">
        <v>764.57719951275021</v>
      </c>
      <c r="P743">
        <v>800.51232788984942</v>
      </c>
      <c r="Q743">
        <v>864.55331412103749</v>
      </c>
      <c r="R743">
        <v>900</v>
      </c>
      <c r="S743" t="s">
        <v>8002</v>
      </c>
      <c r="T743" t="s">
        <v>8003</v>
      </c>
      <c r="U743" t="s">
        <v>8004</v>
      </c>
      <c r="V743" t="s">
        <v>94</v>
      </c>
      <c r="W743">
        <v>265472419.80000001</v>
      </c>
      <c r="X743">
        <v>266439117.80000001</v>
      </c>
      <c r="Y743">
        <v>267499117.80000001</v>
      </c>
      <c r="Z743">
        <v>268599117.80000001</v>
      </c>
      <c r="AA743">
        <v>270179117.80000001</v>
      </c>
      <c r="AB743">
        <v>6017020531.9730387</v>
      </c>
      <c r="AC743">
        <v>7964172.5940000014</v>
      </c>
      <c r="AD743">
        <v>6111398235.8451529</v>
      </c>
      <c r="AE743">
        <v>7993173.534</v>
      </c>
      <c r="AF743">
        <v>6424090244.9567719</v>
      </c>
      <c r="AG743">
        <v>8024973.534</v>
      </c>
      <c r="AH743">
        <v>6966547723.9193087</v>
      </c>
      <c r="AI743">
        <v>8057973.534</v>
      </c>
      <c r="AJ743">
        <v>7294836180.6000004</v>
      </c>
      <c r="AK743">
        <v>8105373.534</v>
      </c>
    </row>
    <row r="744" spans="1:37" x14ac:dyDescent="0.35">
      <c r="A744" t="s">
        <v>8005</v>
      </c>
      <c r="B744">
        <v>12.3</v>
      </c>
      <c r="C744" t="s">
        <v>2436</v>
      </c>
      <c r="D744" t="s">
        <v>8006</v>
      </c>
      <c r="E744" t="s">
        <v>8007</v>
      </c>
      <c r="F744">
        <v>1.4999999999999999E-2</v>
      </c>
      <c r="G744" t="s">
        <v>8008</v>
      </c>
      <c r="H744">
        <v>30.5</v>
      </c>
      <c r="I744">
        <v>10205.1</v>
      </c>
      <c r="J744" t="s">
        <v>8009</v>
      </c>
      <c r="K744" t="s">
        <v>8010</v>
      </c>
      <c r="L744" t="s">
        <v>8011</v>
      </c>
      <c r="M744" t="s">
        <v>8012</v>
      </c>
      <c r="N744">
        <v>2999.6587537610458</v>
      </c>
      <c r="O744">
        <v>3035.6546588061792</v>
      </c>
      <c r="P744">
        <v>3178.330427770069</v>
      </c>
      <c r="Q744">
        <v>3432.5968619916748</v>
      </c>
      <c r="R744">
        <v>3573.333333333333</v>
      </c>
      <c r="S744" t="s">
        <v>8013</v>
      </c>
      <c r="T744" t="s">
        <v>8014</v>
      </c>
      <c r="U744" t="s">
        <v>8015</v>
      </c>
      <c r="V744" t="s">
        <v>49</v>
      </c>
      <c r="W744">
        <v>338996155</v>
      </c>
      <c r="X744">
        <v>339500751</v>
      </c>
      <c r="Y744">
        <v>340560751</v>
      </c>
      <c r="Z744">
        <v>341660751</v>
      </c>
      <c r="AA744">
        <v>343660751</v>
      </c>
      <c r="AB744">
        <v>15253091757.556299</v>
      </c>
      <c r="AC744">
        <v>5084942.3250000002</v>
      </c>
      <c r="AD744">
        <v>15459105546.620199</v>
      </c>
      <c r="AE744">
        <v>5092511.2649999997</v>
      </c>
      <c r="AF744">
        <v>16236218961.11289</v>
      </c>
      <c r="AG744">
        <v>5108411.2649999997</v>
      </c>
      <c r="AH744">
        <v>17591754326.224781</v>
      </c>
      <c r="AI744">
        <v>5124911.2649999997</v>
      </c>
      <c r="AJ744">
        <v>18420216253.599998</v>
      </c>
      <c r="AK744">
        <v>5154911.2649999997</v>
      </c>
    </row>
    <row r="745" spans="1:37" x14ac:dyDescent="0.35">
      <c r="A745" t="s">
        <v>8016</v>
      </c>
      <c r="B745">
        <v>370.9</v>
      </c>
      <c r="C745" t="s">
        <v>7073</v>
      </c>
      <c r="D745" t="s">
        <v>8017</v>
      </c>
      <c r="E745" t="s">
        <v>8018</v>
      </c>
      <c r="F745">
        <v>0.22900000000000001</v>
      </c>
      <c r="G745" t="s">
        <v>8019</v>
      </c>
      <c r="H745">
        <v>0.3</v>
      </c>
      <c r="I745">
        <v>0.01</v>
      </c>
      <c r="J745" t="s">
        <v>8020</v>
      </c>
      <c r="K745" t="s">
        <v>7078</v>
      </c>
      <c r="L745" t="s">
        <v>8021</v>
      </c>
      <c r="M745" t="s">
        <v>8022</v>
      </c>
      <c r="N745">
        <v>2203.573944577261</v>
      </c>
      <c r="O745">
        <v>2230.0168319121881</v>
      </c>
      <c r="P745">
        <v>2334.8276230120609</v>
      </c>
      <c r="Q745">
        <v>2521.613832853026</v>
      </c>
      <c r="R745">
        <v>2625</v>
      </c>
      <c r="S745" t="s">
        <v>8023</v>
      </c>
      <c r="T745" t="s">
        <v>8024</v>
      </c>
      <c r="U745" t="s">
        <v>8025</v>
      </c>
      <c r="V745" t="s">
        <v>7084</v>
      </c>
      <c r="W745">
        <v>209006675</v>
      </c>
      <c r="X745">
        <v>209145074</v>
      </c>
      <c r="Y745">
        <v>210205074</v>
      </c>
      <c r="Z745">
        <v>211305074</v>
      </c>
      <c r="AA745">
        <v>211305074</v>
      </c>
      <c r="AB745">
        <v>105468620889.45461</v>
      </c>
      <c r="AC745">
        <v>47862528.575000003</v>
      </c>
      <c r="AD745">
        <v>106804921090.91811</v>
      </c>
      <c r="AE745">
        <v>47894221.946000002</v>
      </c>
      <c r="AF745">
        <v>112391508439.4012</v>
      </c>
      <c r="AG745">
        <v>48136961.946000002</v>
      </c>
      <c r="AH745">
        <v>122018023639.049</v>
      </c>
      <c r="AI745">
        <v>48388861.946000002</v>
      </c>
      <c r="AJ745">
        <v>127020762608.25</v>
      </c>
      <c r="AK745">
        <v>48388861.946000002</v>
      </c>
    </row>
    <row r="746" spans="1:37" x14ac:dyDescent="0.35">
      <c r="A746" t="s">
        <v>8026</v>
      </c>
      <c r="B746">
        <v>618.09</v>
      </c>
      <c r="C746" t="s">
        <v>5253</v>
      </c>
      <c r="D746" t="s">
        <v>8027</v>
      </c>
      <c r="E746" t="s">
        <v>8028</v>
      </c>
      <c r="F746">
        <v>0.65</v>
      </c>
      <c r="G746" t="s">
        <v>8029</v>
      </c>
      <c r="H746">
        <v>15.5</v>
      </c>
      <c r="I746">
        <v>305.01</v>
      </c>
      <c r="J746" t="s">
        <v>8030</v>
      </c>
      <c r="K746" t="s">
        <v>8031</v>
      </c>
      <c r="L746" t="s">
        <v>8032</v>
      </c>
      <c r="M746" t="s">
        <v>8033</v>
      </c>
      <c r="N746">
        <v>30220.442668488151</v>
      </c>
      <c r="O746">
        <v>30583.087980510008</v>
      </c>
      <c r="P746">
        <v>32020.493115593981</v>
      </c>
      <c r="Q746">
        <v>34582.1325648415</v>
      </c>
      <c r="R746">
        <v>36000</v>
      </c>
      <c r="S746" t="s">
        <v>8034</v>
      </c>
      <c r="T746" t="s">
        <v>8035</v>
      </c>
      <c r="U746" t="s">
        <v>8036</v>
      </c>
      <c r="V746" t="s">
        <v>49</v>
      </c>
      <c r="W746">
        <v>338996155</v>
      </c>
      <c r="X746">
        <v>339500751</v>
      </c>
      <c r="Y746">
        <v>340560751</v>
      </c>
      <c r="Z746">
        <v>341660751</v>
      </c>
      <c r="AA746">
        <v>343660751</v>
      </c>
      <c r="AB746">
        <v>6658999013560.0254</v>
      </c>
      <c r="AC746">
        <v>220347500.75</v>
      </c>
      <c r="AD746">
        <v>6748937869233.4453</v>
      </c>
      <c r="AE746">
        <v>220675488.15000001</v>
      </c>
      <c r="AF746">
        <v>7088200068844.0605</v>
      </c>
      <c r="AG746">
        <v>221364488.15000001</v>
      </c>
      <c r="AH746">
        <v>7679982299135.4473</v>
      </c>
      <c r="AI746">
        <v>222079488.15000001</v>
      </c>
      <c r="AJ746">
        <v>8041661573400</v>
      </c>
      <c r="AK746">
        <v>223379488.15000001</v>
      </c>
    </row>
    <row r="747" spans="1:37" x14ac:dyDescent="0.35">
      <c r="A747" t="s">
        <v>8037</v>
      </c>
      <c r="B747">
        <v>37.19</v>
      </c>
      <c r="C747" t="s">
        <v>360</v>
      </c>
      <c r="D747" t="s">
        <v>8038</v>
      </c>
      <c r="E747" t="s">
        <v>8039</v>
      </c>
      <c r="F747">
        <v>3.4999999999999999E-6</v>
      </c>
      <c r="G747" t="s">
        <v>8040</v>
      </c>
      <c r="H747">
        <v>506030.4</v>
      </c>
      <c r="I747">
        <v>25.2</v>
      </c>
      <c r="J747" t="s">
        <v>8041</v>
      </c>
      <c r="K747" t="s">
        <v>8042</v>
      </c>
      <c r="L747" t="s">
        <v>8043</v>
      </c>
      <c r="M747" t="s">
        <v>8044</v>
      </c>
      <c r="N747">
        <v>54010.646702514663</v>
      </c>
      <c r="O747">
        <v>54658.774462944843</v>
      </c>
      <c r="P747">
        <v>57227.736862703241</v>
      </c>
      <c r="Q747">
        <v>61805.955811719497</v>
      </c>
      <c r="R747">
        <v>64340</v>
      </c>
      <c r="S747" t="s">
        <v>8045</v>
      </c>
      <c r="T747" t="s">
        <v>8046</v>
      </c>
      <c r="U747" t="s">
        <v>8047</v>
      </c>
      <c r="V747" t="s">
        <v>49</v>
      </c>
      <c r="W747">
        <v>338996155</v>
      </c>
      <c r="X747">
        <v>339500751</v>
      </c>
      <c r="Y747">
        <v>340560751</v>
      </c>
      <c r="Z747">
        <v>341660751</v>
      </c>
      <c r="AA747">
        <v>343660751</v>
      </c>
      <c r="AB747">
        <v>64082905.464255638</v>
      </c>
      <c r="AC747">
        <v>1186.4865425</v>
      </c>
      <c r="AD747">
        <v>64948432.426182874</v>
      </c>
      <c r="AE747">
        <v>1188.2526284999999</v>
      </c>
      <c r="AF747">
        <v>68213323.653974101</v>
      </c>
      <c r="AG747">
        <v>1191.9626284999999</v>
      </c>
      <c r="AH747">
        <v>73908342.476167142</v>
      </c>
      <c r="AI747">
        <v>1195.8126285000001</v>
      </c>
      <c r="AJ747">
        <v>77388964.517690003</v>
      </c>
      <c r="AK747">
        <v>1202.8126285000001</v>
      </c>
    </row>
    <row r="748" spans="1:37" x14ac:dyDescent="0.35">
      <c r="A748" t="s">
        <v>8048</v>
      </c>
      <c r="B748">
        <v>52.4</v>
      </c>
      <c r="C748" t="s">
        <v>360</v>
      </c>
      <c r="D748" t="s">
        <v>8049</v>
      </c>
      <c r="E748" t="s">
        <v>8050</v>
      </c>
      <c r="F748">
        <v>3.4999999999999999E-6</v>
      </c>
      <c r="G748" t="s">
        <v>8051</v>
      </c>
      <c r="H748">
        <v>30.2</v>
      </c>
      <c r="I748">
        <v>1525.7</v>
      </c>
      <c r="J748" t="s">
        <v>8052</v>
      </c>
      <c r="K748" t="s">
        <v>8053</v>
      </c>
      <c r="L748" t="s">
        <v>8054</v>
      </c>
      <c r="M748" t="s">
        <v>8055</v>
      </c>
      <c r="N748">
        <v>54010.646702514663</v>
      </c>
      <c r="O748">
        <v>54658.774462944843</v>
      </c>
      <c r="P748">
        <v>57227.736862703241</v>
      </c>
      <c r="Q748">
        <v>61805.955811719497</v>
      </c>
      <c r="R748">
        <v>64340</v>
      </c>
      <c r="S748" t="s">
        <v>8056</v>
      </c>
      <c r="T748" t="s">
        <v>8057</v>
      </c>
      <c r="U748" t="s">
        <v>8058</v>
      </c>
      <c r="V748" t="s">
        <v>49</v>
      </c>
      <c r="W748">
        <v>338996155</v>
      </c>
      <c r="X748">
        <v>339500751</v>
      </c>
      <c r="Y748">
        <v>340560751</v>
      </c>
      <c r="Z748">
        <v>341660751</v>
      </c>
      <c r="AA748">
        <v>343660751</v>
      </c>
      <c r="AB748">
        <v>64082905.464255638</v>
      </c>
      <c r="AC748">
        <v>1186.4865425</v>
      </c>
      <c r="AD748">
        <v>64948432.426182874</v>
      </c>
      <c r="AE748">
        <v>1188.2526284999999</v>
      </c>
      <c r="AF748">
        <v>68213323.653974101</v>
      </c>
      <c r="AG748">
        <v>1191.9626284999999</v>
      </c>
      <c r="AH748">
        <v>73908342.476167142</v>
      </c>
      <c r="AI748">
        <v>1195.8126285000001</v>
      </c>
      <c r="AJ748">
        <v>77388964.517690003</v>
      </c>
      <c r="AK748">
        <v>1202.8126285000001</v>
      </c>
    </row>
    <row r="749" spans="1:37" x14ac:dyDescent="0.35">
      <c r="A749" t="s">
        <v>8059</v>
      </c>
      <c r="B749">
        <v>150.30000000000001</v>
      </c>
      <c r="C749" t="s">
        <v>360</v>
      </c>
      <c r="D749" t="s">
        <v>8060</v>
      </c>
      <c r="E749" t="s">
        <v>8061</v>
      </c>
      <c r="F749">
        <v>3.4999999999999999E-6</v>
      </c>
      <c r="G749" t="s">
        <v>8062</v>
      </c>
      <c r="H749">
        <v>20.5</v>
      </c>
      <c r="I749">
        <v>10205.1</v>
      </c>
      <c r="J749" t="s">
        <v>8063</v>
      </c>
      <c r="K749" t="s">
        <v>8064</v>
      </c>
      <c r="L749" t="s">
        <v>8065</v>
      </c>
      <c r="M749" t="s">
        <v>8066</v>
      </c>
      <c r="N749">
        <v>54010.646702514663</v>
      </c>
      <c r="O749">
        <v>54658.774462944843</v>
      </c>
      <c r="P749">
        <v>57227.736862703241</v>
      </c>
      <c r="Q749">
        <v>61805.955811719497</v>
      </c>
      <c r="R749">
        <v>64340</v>
      </c>
      <c r="S749" t="s">
        <v>8067</v>
      </c>
      <c r="T749" t="s">
        <v>8068</v>
      </c>
      <c r="U749" t="s">
        <v>8069</v>
      </c>
      <c r="V749" t="s">
        <v>49</v>
      </c>
      <c r="W749">
        <v>338996155</v>
      </c>
      <c r="X749">
        <v>339500751</v>
      </c>
      <c r="Y749">
        <v>340560751</v>
      </c>
      <c r="Z749">
        <v>341660751</v>
      </c>
      <c r="AA749">
        <v>343660751</v>
      </c>
      <c r="AB749">
        <v>64082905.464255638</v>
      </c>
      <c r="AC749">
        <v>1186.4865425</v>
      </c>
      <c r="AD749">
        <v>64948432.426182874</v>
      </c>
      <c r="AE749">
        <v>1188.2526284999999</v>
      </c>
      <c r="AF749">
        <v>68213323.653974101</v>
      </c>
      <c r="AG749">
        <v>1191.9626284999999</v>
      </c>
      <c r="AH749">
        <v>73908342.476167142</v>
      </c>
      <c r="AI749">
        <v>1195.8126285000001</v>
      </c>
      <c r="AJ749">
        <v>77388964.517690003</v>
      </c>
      <c r="AK749">
        <v>1202.8126285000001</v>
      </c>
    </row>
    <row r="750" spans="1:37" x14ac:dyDescent="0.35">
      <c r="A750" t="s">
        <v>8070</v>
      </c>
      <c r="B750">
        <v>29.4</v>
      </c>
      <c r="C750" t="s">
        <v>1055</v>
      </c>
      <c r="D750" t="s">
        <v>8071</v>
      </c>
      <c r="E750" t="s">
        <v>8072</v>
      </c>
      <c r="F750">
        <v>5.1999999999999998E-3</v>
      </c>
      <c r="G750" t="s">
        <v>8073</v>
      </c>
      <c r="H750">
        <v>0.3</v>
      </c>
      <c r="I750">
        <v>70000202112</v>
      </c>
      <c r="J750" t="s">
        <v>8074</v>
      </c>
      <c r="K750" t="s">
        <v>8075</v>
      </c>
      <c r="L750" t="s">
        <v>8076</v>
      </c>
      <c r="M750" t="s">
        <v>8077</v>
      </c>
      <c r="N750">
        <v>470.62043530614358</v>
      </c>
      <c r="O750">
        <v>476.26788052981732</v>
      </c>
      <c r="P750">
        <v>498.65247091471872</v>
      </c>
      <c r="Q750">
        <v>538.54466858789624</v>
      </c>
      <c r="R750">
        <v>560.625</v>
      </c>
      <c r="S750" t="s">
        <v>8078</v>
      </c>
      <c r="T750" t="s">
        <v>8079</v>
      </c>
      <c r="U750" t="s">
        <v>8080</v>
      </c>
      <c r="V750" t="s">
        <v>49</v>
      </c>
      <c r="W750">
        <v>338996155</v>
      </c>
      <c r="X750">
        <v>339500751</v>
      </c>
      <c r="Y750">
        <v>340560751</v>
      </c>
      <c r="Z750">
        <v>341660751</v>
      </c>
      <c r="AA750">
        <v>343660751</v>
      </c>
      <c r="AB750">
        <v>829600293.77268636</v>
      </c>
      <c r="AC750">
        <v>1762780.0060000001</v>
      </c>
      <c r="AD750">
        <v>840805176.20866656</v>
      </c>
      <c r="AE750">
        <v>1765403.9051999999</v>
      </c>
      <c r="AF750">
        <v>883071591.91015577</v>
      </c>
      <c r="AG750">
        <v>1770915.9051999999</v>
      </c>
      <c r="AH750">
        <v>956797794.76729095</v>
      </c>
      <c r="AI750">
        <v>1776635.9051999999</v>
      </c>
      <c r="AJ750">
        <v>1001857004.3527499</v>
      </c>
      <c r="AK750">
        <v>1787035.9051999999</v>
      </c>
    </row>
    <row r="751" spans="1:37" x14ac:dyDescent="0.35">
      <c r="A751" t="s">
        <v>8081</v>
      </c>
      <c r="B751">
        <v>15857.29</v>
      </c>
      <c r="C751" t="s">
        <v>255</v>
      </c>
      <c r="D751" t="s">
        <v>8082</v>
      </c>
      <c r="E751" t="s">
        <v>8083</v>
      </c>
      <c r="F751">
        <v>4.1999999999999998E-5</v>
      </c>
      <c r="G751" t="s">
        <v>8084</v>
      </c>
      <c r="H751">
        <v>0.6</v>
      </c>
      <c r="I751">
        <v>305.3</v>
      </c>
      <c r="J751" t="s">
        <v>8085</v>
      </c>
      <c r="K751" t="s">
        <v>8086</v>
      </c>
      <c r="L751" t="s">
        <v>8087</v>
      </c>
      <c r="M751" t="s">
        <v>8088</v>
      </c>
      <c r="N751">
        <v>118710.1325836446</v>
      </c>
      <c r="O751">
        <v>120134.6541746483</v>
      </c>
      <c r="P751">
        <v>125780.9829208568</v>
      </c>
      <c r="Q751">
        <v>135843.46155452539</v>
      </c>
      <c r="R751">
        <v>141413.04347826089</v>
      </c>
      <c r="S751" t="s">
        <v>8089</v>
      </c>
      <c r="T751" t="s">
        <v>8090</v>
      </c>
      <c r="U751" t="s">
        <v>8091</v>
      </c>
      <c r="V751" t="s">
        <v>94</v>
      </c>
      <c r="W751">
        <v>265472419.80000001</v>
      </c>
      <c r="X751">
        <v>266439117.80000001</v>
      </c>
      <c r="Y751">
        <v>267499117.80000001</v>
      </c>
      <c r="Z751">
        <v>268599117.80000001</v>
      </c>
      <c r="AA751">
        <v>270179117.80000001</v>
      </c>
      <c r="AB751">
        <v>1323599178.3738761</v>
      </c>
      <c r="AC751">
        <v>11149.8416316</v>
      </c>
      <c r="AD751">
        <v>1344359993.571058</v>
      </c>
      <c r="AE751">
        <v>11190.4429476</v>
      </c>
      <c r="AF751">
        <v>1413144682.628535</v>
      </c>
      <c r="AG751">
        <v>11234.962947599999</v>
      </c>
      <c r="AH751">
        <v>1532472225.162637</v>
      </c>
      <c r="AI751">
        <v>11281.1629476</v>
      </c>
      <c r="AJ751">
        <v>1604687755.959522</v>
      </c>
      <c r="AK751">
        <v>11347.5229476</v>
      </c>
    </row>
    <row r="752" spans="1:37" x14ac:dyDescent="0.35">
      <c r="A752" t="s">
        <v>8092</v>
      </c>
      <c r="B752">
        <v>1237.18</v>
      </c>
      <c r="C752" t="s">
        <v>2883</v>
      </c>
      <c r="D752" t="s">
        <v>8093</v>
      </c>
      <c r="E752" t="s">
        <v>8094</v>
      </c>
      <c r="F752">
        <v>1.0000000000000001E-5</v>
      </c>
      <c r="G752" t="s">
        <v>8095</v>
      </c>
      <c r="H752">
        <v>0.6</v>
      </c>
      <c r="I752">
        <v>30530.35</v>
      </c>
      <c r="J752" t="s">
        <v>8096</v>
      </c>
      <c r="K752" t="s">
        <v>8097</v>
      </c>
      <c r="L752" t="s">
        <v>8098</v>
      </c>
      <c r="M752" t="s">
        <v>8099</v>
      </c>
      <c r="N752">
        <v>125204.97288902799</v>
      </c>
      <c r="O752">
        <v>126707.4325636963</v>
      </c>
      <c r="P752">
        <v>132662.68189419009</v>
      </c>
      <c r="Q752">
        <v>143275.69644572531</v>
      </c>
      <c r="R752">
        <v>149150</v>
      </c>
      <c r="S752" t="s">
        <v>8100</v>
      </c>
      <c r="T752" t="s">
        <v>8101</v>
      </c>
      <c r="U752" t="s">
        <v>2655</v>
      </c>
      <c r="V752" t="s">
        <v>94</v>
      </c>
      <c r="W752">
        <v>265472419.80000001</v>
      </c>
      <c r="X752">
        <v>266439117.80000001</v>
      </c>
      <c r="Y752">
        <v>267499117.80000001</v>
      </c>
      <c r="Z752">
        <v>268599117.80000001</v>
      </c>
      <c r="AA752">
        <v>270179117.80000001</v>
      </c>
      <c r="AB752">
        <v>332384671.23843658</v>
      </c>
      <c r="AC752">
        <v>2654.7241979999999</v>
      </c>
      <c r="AD752">
        <v>337598165.5097425</v>
      </c>
      <c r="AE752">
        <v>2664.3911779999999</v>
      </c>
      <c r="AF752">
        <v>354871503.71677881</v>
      </c>
      <c r="AG752">
        <v>2674.9911780000002</v>
      </c>
      <c r="AH752">
        <v>384837256.67502409</v>
      </c>
      <c r="AI752">
        <v>2685.9911780000002</v>
      </c>
      <c r="AJ752">
        <v>402972154.19870001</v>
      </c>
      <c r="AK752">
        <v>2701.7911779999999</v>
      </c>
    </row>
    <row r="753" spans="1:37" x14ac:dyDescent="0.35">
      <c r="A753" t="s">
        <v>8102</v>
      </c>
      <c r="B753">
        <v>14846.07</v>
      </c>
      <c r="C753" t="s">
        <v>2883</v>
      </c>
      <c r="D753" t="s">
        <v>8103</v>
      </c>
      <c r="E753" t="s">
        <v>8104</v>
      </c>
      <c r="F753">
        <v>1.0000000000000001E-5</v>
      </c>
      <c r="G753" t="s">
        <v>8105</v>
      </c>
      <c r="H753">
        <v>50.6</v>
      </c>
      <c r="I753">
        <v>4.05</v>
      </c>
      <c r="J753" t="s">
        <v>8106</v>
      </c>
      <c r="K753" t="s">
        <v>8107</v>
      </c>
      <c r="L753" t="s">
        <v>8108</v>
      </c>
      <c r="M753" t="s">
        <v>8109</v>
      </c>
      <c r="N753">
        <v>125204.97288902799</v>
      </c>
      <c r="O753">
        <v>126707.4325636963</v>
      </c>
      <c r="P753">
        <v>132662.68189419009</v>
      </c>
      <c r="Q753">
        <v>143275.69644572531</v>
      </c>
      <c r="R753">
        <v>149150</v>
      </c>
      <c r="S753" t="s">
        <v>8110</v>
      </c>
      <c r="T753" t="s">
        <v>8111</v>
      </c>
      <c r="U753" t="s">
        <v>8112</v>
      </c>
      <c r="V753" t="s">
        <v>94</v>
      </c>
      <c r="W753">
        <v>265472419.80000001</v>
      </c>
      <c r="X753">
        <v>266439117.80000001</v>
      </c>
      <c r="Y753">
        <v>267499117.80000001</v>
      </c>
      <c r="Z753">
        <v>268599117.80000001</v>
      </c>
      <c r="AA753">
        <v>270179117.80000001</v>
      </c>
      <c r="AB753">
        <v>332384671.23843658</v>
      </c>
      <c r="AC753">
        <v>2654.7241979999999</v>
      </c>
      <c r="AD753">
        <v>337598165.5097425</v>
      </c>
      <c r="AE753">
        <v>2664.3911779999999</v>
      </c>
      <c r="AF753">
        <v>354871503.71677881</v>
      </c>
      <c r="AG753">
        <v>2674.9911780000002</v>
      </c>
      <c r="AH753">
        <v>384837256.67502409</v>
      </c>
      <c r="AI753">
        <v>2685.9911780000002</v>
      </c>
      <c r="AJ753">
        <v>402972154.19870001</v>
      </c>
      <c r="AK753">
        <v>2701.7911779999999</v>
      </c>
    </row>
    <row r="754" spans="1:37" x14ac:dyDescent="0.35">
      <c r="A754" t="s">
        <v>8113</v>
      </c>
      <c r="B754">
        <v>23884.42</v>
      </c>
      <c r="C754" t="s">
        <v>8114</v>
      </c>
      <c r="D754" t="s">
        <v>8115</v>
      </c>
      <c r="E754" t="s">
        <v>8116</v>
      </c>
      <c r="F754">
        <v>1.0000000000000001E-5</v>
      </c>
      <c r="G754" t="s">
        <v>8117</v>
      </c>
      <c r="H754">
        <v>0.25</v>
      </c>
      <c r="I754">
        <v>0.05</v>
      </c>
      <c r="J754" t="s">
        <v>8118</v>
      </c>
      <c r="K754" t="s">
        <v>8119</v>
      </c>
      <c r="L754" t="s">
        <v>8120</v>
      </c>
      <c r="M754" t="s">
        <v>8121</v>
      </c>
      <c r="N754">
        <v>14690.49296384841</v>
      </c>
      <c r="O754">
        <v>14866.778879414591</v>
      </c>
      <c r="P754">
        <v>15565.51748674708</v>
      </c>
      <c r="Q754">
        <v>16810.758885686839</v>
      </c>
      <c r="R754">
        <v>17500</v>
      </c>
      <c r="S754" t="s">
        <v>8122</v>
      </c>
      <c r="T754" t="s">
        <v>8123</v>
      </c>
      <c r="U754" t="s">
        <v>8124</v>
      </c>
      <c r="V754" t="s">
        <v>94</v>
      </c>
      <c r="W754">
        <v>265472419.80000001</v>
      </c>
      <c r="X754">
        <v>266439117.80000001</v>
      </c>
      <c r="Y754">
        <v>267499117.80000001</v>
      </c>
      <c r="Z754">
        <v>268599117.80000001</v>
      </c>
      <c r="AA754">
        <v>270179117.80000001</v>
      </c>
      <c r="AB754">
        <v>38999207.151677117</v>
      </c>
      <c r="AC754">
        <v>2654.7241979999999</v>
      </c>
      <c r="AD754">
        <v>39610914.491588973</v>
      </c>
      <c r="AE754">
        <v>2664.3911779999999</v>
      </c>
      <c r="AF754">
        <v>41637621.958053157</v>
      </c>
      <c r="AG754">
        <v>2674.9911780000002</v>
      </c>
      <c r="AH754">
        <v>45153550.062439978</v>
      </c>
      <c r="AI754">
        <v>2685.9911780000002</v>
      </c>
      <c r="AJ754">
        <v>47281345.61500001</v>
      </c>
      <c r="AK754">
        <v>2701.7911779999999</v>
      </c>
    </row>
    <row r="755" spans="1:37" x14ac:dyDescent="0.35">
      <c r="A755" t="s">
        <v>8125</v>
      </c>
      <c r="B755">
        <v>1833.74</v>
      </c>
      <c r="C755" t="s">
        <v>1006</v>
      </c>
      <c r="D755" t="s">
        <v>8126</v>
      </c>
      <c r="E755" t="s">
        <v>8127</v>
      </c>
      <c r="F755">
        <v>2.5000000000000001E-5</v>
      </c>
      <c r="G755" t="s">
        <v>6905</v>
      </c>
      <c r="H755">
        <v>0.8</v>
      </c>
      <c r="I755">
        <v>10.15</v>
      </c>
      <c r="J755" t="s">
        <v>8128</v>
      </c>
      <c r="K755" t="s">
        <v>8129</v>
      </c>
      <c r="L755" t="s">
        <v>8130</v>
      </c>
      <c r="M755" t="s">
        <v>8131</v>
      </c>
      <c r="N755">
        <v>16395.639468580812</v>
      </c>
      <c r="O755">
        <v>16592.387142203781</v>
      </c>
      <c r="P755">
        <v>17372.229337887358</v>
      </c>
      <c r="Q755">
        <v>18762.00768491835</v>
      </c>
      <c r="R755">
        <v>19531.25</v>
      </c>
      <c r="S755" t="s">
        <v>8132</v>
      </c>
      <c r="T755" t="s">
        <v>6900</v>
      </c>
      <c r="U755" t="s">
        <v>8133</v>
      </c>
      <c r="V755" t="s">
        <v>1017</v>
      </c>
      <c r="W755">
        <v>331357816</v>
      </c>
      <c r="X755">
        <v>331968553.60000002</v>
      </c>
      <c r="Y755">
        <v>333028553.60000002</v>
      </c>
      <c r="Z755">
        <v>334128553.60000002</v>
      </c>
      <c r="AA755">
        <v>336128553.60000002</v>
      </c>
      <c r="AB755">
        <v>135820582.15580839</v>
      </c>
      <c r="AC755">
        <v>8283.9454000000005</v>
      </c>
      <c r="AD755">
        <v>137703769.00921571</v>
      </c>
      <c r="AE755">
        <v>8299.2138400000003</v>
      </c>
      <c r="AF755">
        <v>144636210.23010281</v>
      </c>
      <c r="AG755">
        <v>8325.7138400000003</v>
      </c>
      <c r="AH755">
        <v>156723062.2598463</v>
      </c>
      <c r="AI755">
        <v>8353.2138400000003</v>
      </c>
      <c r="AJ755">
        <v>164125270.3125</v>
      </c>
      <c r="AK755">
        <v>8403.2138400000003</v>
      </c>
    </row>
    <row r="756" spans="1:37" x14ac:dyDescent="0.35">
      <c r="A756" t="s">
        <v>8134</v>
      </c>
      <c r="B756">
        <v>11.52</v>
      </c>
      <c r="C756" t="s">
        <v>8135</v>
      </c>
      <c r="D756" t="s">
        <v>8136</v>
      </c>
      <c r="E756" t="s">
        <v>8137</v>
      </c>
      <c r="F756">
        <v>0.12</v>
      </c>
      <c r="G756" t="s">
        <v>8138</v>
      </c>
      <c r="H756">
        <v>0.2</v>
      </c>
      <c r="I756">
        <v>0.01</v>
      </c>
      <c r="J756" t="s">
        <v>8139</v>
      </c>
      <c r="K756" t="s">
        <v>8140</v>
      </c>
      <c r="L756" t="s">
        <v>8141</v>
      </c>
      <c r="M756" t="s">
        <v>8142</v>
      </c>
      <c r="N756">
        <v>104.93209259891719</v>
      </c>
      <c r="O756">
        <v>106.1912777101042</v>
      </c>
      <c r="P756">
        <v>111.1822677624791</v>
      </c>
      <c r="Q756">
        <v>120.07684918347741</v>
      </c>
      <c r="R756">
        <v>125</v>
      </c>
      <c r="S756" t="s">
        <v>8143</v>
      </c>
      <c r="T756" t="s">
        <v>8144</v>
      </c>
      <c r="U756" t="s">
        <v>8145</v>
      </c>
      <c r="V756" t="s">
        <v>49</v>
      </c>
      <c r="W756">
        <v>338996155</v>
      </c>
      <c r="X756">
        <v>339500751</v>
      </c>
      <c r="Y756">
        <v>340560751</v>
      </c>
      <c r="Z756">
        <v>341660751</v>
      </c>
      <c r="AA756">
        <v>343660751</v>
      </c>
      <c r="AB756">
        <v>4268589111.2564259</v>
      </c>
      <c r="AC756">
        <v>40679538.600000001</v>
      </c>
      <c r="AD756">
        <v>4326242223.8675928</v>
      </c>
      <c r="AE756">
        <v>40740090.119999997</v>
      </c>
      <c r="AF756">
        <v>4543717992.8487558</v>
      </c>
      <c r="AG756">
        <v>40867290.119999997</v>
      </c>
      <c r="AH756">
        <v>4923065576.3688765</v>
      </c>
      <c r="AI756">
        <v>40999290.119999997</v>
      </c>
      <c r="AJ756">
        <v>5154911265</v>
      </c>
      <c r="AK756">
        <v>41239290.119999997</v>
      </c>
    </row>
    <row r="757" spans="1:37" x14ac:dyDescent="0.35">
      <c r="A757" t="s">
        <v>8146</v>
      </c>
      <c r="B757">
        <v>12.18</v>
      </c>
      <c r="C757" t="s">
        <v>8135</v>
      </c>
      <c r="D757" t="s">
        <v>8147</v>
      </c>
      <c r="E757" t="s">
        <v>8148</v>
      </c>
      <c r="F757">
        <v>0.12</v>
      </c>
      <c r="G757" t="s">
        <v>8149</v>
      </c>
      <c r="H757">
        <v>0.15</v>
      </c>
      <c r="I757">
        <v>0</v>
      </c>
      <c r="J757" t="s">
        <v>8150</v>
      </c>
      <c r="K757" t="s">
        <v>8151</v>
      </c>
      <c r="L757" t="s">
        <v>8152</v>
      </c>
      <c r="M757" t="s">
        <v>8153</v>
      </c>
      <c r="N757">
        <v>104.93209259891719</v>
      </c>
      <c r="O757">
        <v>106.1912777101042</v>
      </c>
      <c r="P757">
        <v>111.1822677624791</v>
      </c>
      <c r="Q757">
        <v>120.07684918347741</v>
      </c>
      <c r="R757">
        <v>125</v>
      </c>
      <c r="S757" t="s">
        <v>8154</v>
      </c>
      <c r="T757" t="s">
        <v>8155</v>
      </c>
      <c r="U757" t="s">
        <v>8156</v>
      </c>
      <c r="V757" t="s">
        <v>49</v>
      </c>
      <c r="W757">
        <v>338996155</v>
      </c>
      <c r="X757">
        <v>339500751</v>
      </c>
      <c r="Y757">
        <v>340560751</v>
      </c>
      <c r="Z757">
        <v>341660751</v>
      </c>
      <c r="AA757">
        <v>343660751</v>
      </c>
      <c r="AB757">
        <v>4268589111.2564259</v>
      </c>
      <c r="AC757">
        <v>40679538.600000001</v>
      </c>
      <c r="AD757">
        <v>4326242223.8675928</v>
      </c>
      <c r="AE757">
        <v>40740090.119999997</v>
      </c>
      <c r="AF757">
        <v>4543717992.8487558</v>
      </c>
      <c r="AG757">
        <v>40867290.119999997</v>
      </c>
      <c r="AH757">
        <v>4923065576.3688765</v>
      </c>
      <c r="AI757">
        <v>40999290.119999997</v>
      </c>
      <c r="AJ757">
        <v>5154911265</v>
      </c>
      <c r="AK757">
        <v>41239290.119999997</v>
      </c>
    </row>
    <row r="758" spans="1:37" x14ac:dyDescent="0.35">
      <c r="A758" t="s">
        <v>8157</v>
      </c>
      <c r="B758">
        <v>13.25</v>
      </c>
      <c r="C758" t="s">
        <v>5748</v>
      </c>
      <c r="D758" t="s">
        <v>8158</v>
      </c>
      <c r="E758" t="s">
        <v>8159</v>
      </c>
      <c r="F758">
        <v>0.15</v>
      </c>
      <c r="G758" t="s">
        <v>8160</v>
      </c>
      <c r="H758">
        <v>0.3</v>
      </c>
      <c r="I758">
        <v>0</v>
      </c>
      <c r="J758" t="s">
        <v>8161</v>
      </c>
      <c r="K758" t="s">
        <v>6670</v>
      </c>
      <c r="L758" t="s">
        <v>8162</v>
      </c>
      <c r="M758" t="s">
        <v>8163</v>
      </c>
      <c r="N758">
        <v>120.0423139331613</v>
      </c>
      <c r="O758">
        <v>121.4828217003592</v>
      </c>
      <c r="P758">
        <v>127.1925143202761</v>
      </c>
      <c r="Q758">
        <v>137.36791546589819</v>
      </c>
      <c r="R758">
        <v>143</v>
      </c>
      <c r="S758" t="s">
        <v>8164</v>
      </c>
      <c r="T758" t="s">
        <v>8165</v>
      </c>
      <c r="U758" t="s">
        <v>8166</v>
      </c>
      <c r="V758" t="s">
        <v>49</v>
      </c>
      <c r="W758">
        <v>338996155</v>
      </c>
      <c r="X758">
        <v>339500751</v>
      </c>
      <c r="Y758">
        <v>340560751</v>
      </c>
      <c r="Z758">
        <v>341660751</v>
      </c>
      <c r="AA758">
        <v>343660751</v>
      </c>
      <c r="AB758">
        <v>6104082429.0966892</v>
      </c>
      <c r="AC758">
        <v>50849423.25</v>
      </c>
      <c r="AD758">
        <v>6186526380.1306562</v>
      </c>
      <c r="AE758">
        <v>50925112.649999999</v>
      </c>
      <c r="AF758">
        <v>6497516729.7737217</v>
      </c>
      <c r="AG758">
        <v>51084112.649999999</v>
      </c>
      <c r="AH758">
        <v>7039983774.2074928</v>
      </c>
      <c r="AI758">
        <v>51249112.649999999</v>
      </c>
      <c r="AJ758">
        <v>7371523108.9499998</v>
      </c>
      <c r="AK758">
        <v>51549112.649999999</v>
      </c>
    </row>
    <row r="759" spans="1:37" x14ac:dyDescent="0.35">
      <c r="A759" t="s">
        <v>8167</v>
      </c>
      <c r="B759">
        <v>2.86</v>
      </c>
      <c r="C759" t="s">
        <v>4992</v>
      </c>
      <c r="D759" t="s">
        <v>8168</v>
      </c>
      <c r="E759" t="s">
        <v>8169</v>
      </c>
      <c r="F759">
        <v>0.02</v>
      </c>
      <c r="G759" t="s">
        <v>8170</v>
      </c>
      <c r="H759">
        <v>0.2</v>
      </c>
      <c r="I759">
        <v>0.01</v>
      </c>
      <c r="J759" t="s">
        <v>8171</v>
      </c>
      <c r="K759" t="s">
        <v>8172</v>
      </c>
      <c r="L759" t="s">
        <v>8173</v>
      </c>
      <c r="M759" t="s">
        <v>8174</v>
      </c>
      <c r="N759">
        <v>181.88229383812319</v>
      </c>
      <c r="O759">
        <v>184.06488136418059</v>
      </c>
      <c r="P759">
        <v>192.7159307882971</v>
      </c>
      <c r="Q759">
        <v>208.13320525136089</v>
      </c>
      <c r="R759">
        <v>216.66666666666671</v>
      </c>
      <c r="S759" t="s">
        <v>8175</v>
      </c>
      <c r="T759" t="s">
        <v>8176</v>
      </c>
      <c r="U759" t="s">
        <v>8177</v>
      </c>
      <c r="V759" t="s">
        <v>49</v>
      </c>
      <c r="W759">
        <v>338996155</v>
      </c>
      <c r="X759">
        <v>339500751</v>
      </c>
      <c r="Y759">
        <v>340560751</v>
      </c>
      <c r="Z759">
        <v>341660751</v>
      </c>
      <c r="AA759">
        <v>343660751</v>
      </c>
      <c r="AB759">
        <v>1233147965.4740789</v>
      </c>
      <c r="AC759">
        <v>6779923.1000000006</v>
      </c>
      <c r="AD759">
        <v>1249803309.117305</v>
      </c>
      <c r="AE759">
        <v>6790015.0199999996</v>
      </c>
      <c r="AF759">
        <v>1312629642.37853</v>
      </c>
      <c r="AG759">
        <v>6811215.0199999996</v>
      </c>
      <c r="AH759">
        <v>1422218944.2843421</v>
      </c>
      <c r="AI759">
        <v>6833215.0199999996</v>
      </c>
      <c r="AJ759">
        <v>1489196587.666667</v>
      </c>
      <c r="AK759">
        <v>6873215.0199999996</v>
      </c>
    </row>
    <row r="760" spans="1:37" x14ac:dyDescent="0.35">
      <c r="A760" t="s">
        <v>8178</v>
      </c>
      <c r="B760">
        <v>16.420000000000002</v>
      </c>
      <c r="C760" t="s">
        <v>863</v>
      </c>
      <c r="D760" t="s">
        <v>8179</v>
      </c>
      <c r="E760" t="s">
        <v>8180</v>
      </c>
      <c r="F760">
        <v>0.1</v>
      </c>
      <c r="G760" t="s">
        <v>8181</v>
      </c>
      <c r="H760">
        <v>0.3</v>
      </c>
      <c r="I760">
        <v>0.01</v>
      </c>
      <c r="J760" t="s">
        <v>8182</v>
      </c>
      <c r="K760" t="s">
        <v>8183</v>
      </c>
      <c r="L760" t="s">
        <v>8184</v>
      </c>
      <c r="M760" t="s">
        <v>8185</v>
      </c>
      <c r="N760">
        <v>278.56709214154648</v>
      </c>
      <c r="O760">
        <v>281.90989724724511</v>
      </c>
      <c r="P760">
        <v>295.1596624178656</v>
      </c>
      <c r="Q760">
        <v>318.77243541129491</v>
      </c>
      <c r="R760">
        <v>331.84210526315792</v>
      </c>
      <c r="S760" t="s">
        <v>8186</v>
      </c>
      <c r="T760" t="s">
        <v>8187</v>
      </c>
      <c r="U760" t="s">
        <v>1868</v>
      </c>
      <c r="V760" t="s">
        <v>49</v>
      </c>
      <c r="W760">
        <v>338996155</v>
      </c>
      <c r="X760">
        <v>339500751</v>
      </c>
      <c r="Y760">
        <v>340560751</v>
      </c>
      <c r="Z760">
        <v>341660751</v>
      </c>
      <c r="AA760">
        <v>343660751</v>
      </c>
      <c r="AB760">
        <v>9443317314.5515003</v>
      </c>
      <c r="AC760">
        <v>33899615.5</v>
      </c>
      <c r="AD760">
        <v>9570862182.9772549</v>
      </c>
      <c r="AE760">
        <v>33950075.100000001</v>
      </c>
      <c r="AF760">
        <v>10051979629.79348</v>
      </c>
      <c r="AG760">
        <v>34056075.100000001</v>
      </c>
      <c r="AH760">
        <v>10891202968.072201</v>
      </c>
      <c r="AI760">
        <v>34166075.100000001</v>
      </c>
      <c r="AJ760">
        <v>11404110710.81579</v>
      </c>
      <c r="AK760">
        <v>34366075.100000001</v>
      </c>
    </row>
    <row r="761" spans="1:37" x14ac:dyDescent="0.35">
      <c r="A761" t="s">
        <v>8188</v>
      </c>
      <c r="B761">
        <v>10.28</v>
      </c>
      <c r="C761" t="s">
        <v>863</v>
      </c>
      <c r="D761" t="s">
        <v>8189</v>
      </c>
      <c r="E761" t="s">
        <v>8190</v>
      </c>
      <c r="F761">
        <v>0.1</v>
      </c>
      <c r="G761" t="s">
        <v>8191</v>
      </c>
      <c r="H761">
        <v>0.3</v>
      </c>
      <c r="I761">
        <v>0</v>
      </c>
      <c r="J761" t="s">
        <v>8192</v>
      </c>
      <c r="K761" t="s">
        <v>8193</v>
      </c>
      <c r="L761" t="s">
        <v>8194</v>
      </c>
      <c r="M761" t="s">
        <v>8195</v>
      </c>
      <c r="N761">
        <v>278.56709214154648</v>
      </c>
      <c r="O761">
        <v>281.90989724724511</v>
      </c>
      <c r="P761">
        <v>295.1596624178656</v>
      </c>
      <c r="Q761">
        <v>318.77243541129491</v>
      </c>
      <c r="R761">
        <v>331.84210526315792</v>
      </c>
      <c r="S761" t="s">
        <v>8196</v>
      </c>
      <c r="T761" t="s">
        <v>1589</v>
      </c>
      <c r="U761" t="s">
        <v>8197</v>
      </c>
      <c r="V761" t="s">
        <v>49</v>
      </c>
      <c r="W761">
        <v>338996155</v>
      </c>
      <c r="X761">
        <v>339500751</v>
      </c>
      <c r="Y761">
        <v>340560751</v>
      </c>
      <c r="Z761">
        <v>341660751</v>
      </c>
      <c r="AA761">
        <v>343660751</v>
      </c>
      <c r="AB761">
        <v>9443317314.5515003</v>
      </c>
      <c r="AC761">
        <v>33899615.5</v>
      </c>
      <c r="AD761">
        <v>9570862182.9772549</v>
      </c>
      <c r="AE761">
        <v>33950075.100000001</v>
      </c>
      <c r="AF761">
        <v>10051979629.79348</v>
      </c>
      <c r="AG761">
        <v>34056075.100000001</v>
      </c>
      <c r="AH761">
        <v>10891202968.072201</v>
      </c>
      <c r="AI761">
        <v>34166075.100000001</v>
      </c>
      <c r="AJ761">
        <v>11404110710.81579</v>
      </c>
      <c r="AK761">
        <v>34366075.100000001</v>
      </c>
    </row>
    <row r="762" spans="1:37" x14ac:dyDescent="0.35">
      <c r="A762" t="s">
        <v>8198</v>
      </c>
      <c r="B762">
        <v>1191.06</v>
      </c>
      <c r="C762" t="s">
        <v>1079</v>
      </c>
      <c r="D762" t="s">
        <v>8199</v>
      </c>
      <c r="E762" t="s">
        <v>8200</v>
      </c>
      <c r="F762">
        <v>5.3999999999999998E-5</v>
      </c>
      <c r="G762" t="s">
        <v>8201</v>
      </c>
      <c r="H762">
        <v>0.8</v>
      </c>
      <c r="I762">
        <v>50.35</v>
      </c>
      <c r="J762" t="s">
        <v>8202</v>
      </c>
      <c r="K762" t="s">
        <v>8203</v>
      </c>
      <c r="L762" t="s">
        <v>8204</v>
      </c>
      <c r="M762" t="s">
        <v>8205</v>
      </c>
      <c r="N762">
        <v>115616.08748171599</v>
      </c>
      <c r="O762">
        <v>117003.48053149661</v>
      </c>
      <c r="P762">
        <v>122502.64411647691</v>
      </c>
      <c r="Q762">
        <v>132302.85564579509</v>
      </c>
      <c r="R762">
        <v>137727.27272727271</v>
      </c>
      <c r="S762" t="s">
        <v>8206</v>
      </c>
      <c r="T762" t="s">
        <v>8207</v>
      </c>
      <c r="U762" t="s">
        <v>8208</v>
      </c>
      <c r="V762" t="s">
        <v>1090</v>
      </c>
      <c r="W762">
        <v>125425284</v>
      </c>
      <c r="X762">
        <v>126003478.59999999</v>
      </c>
      <c r="Y762">
        <v>126003478.59999999</v>
      </c>
      <c r="Z762">
        <v>126103478.59999999</v>
      </c>
      <c r="AA762">
        <v>126103478.59999999</v>
      </c>
      <c r="AB762">
        <v>783063752.79760611</v>
      </c>
      <c r="AC762">
        <v>6772.9653359999993</v>
      </c>
      <c r="AD762">
        <v>796113659.98490131</v>
      </c>
      <c r="AE762">
        <v>6804.1878443999994</v>
      </c>
      <c r="AF762">
        <v>833531002.00419164</v>
      </c>
      <c r="AG762">
        <v>6804.1878443999994</v>
      </c>
      <c r="AH762">
        <v>900927917.58501434</v>
      </c>
      <c r="AI762">
        <v>6809.5878443999991</v>
      </c>
      <c r="AJ762">
        <v>937865962.20599973</v>
      </c>
      <c r="AK762">
        <v>6809.5878443999991</v>
      </c>
    </row>
    <row r="763" spans="1:37" x14ac:dyDescent="0.35">
      <c r="A763" t="s">
        <v>8209</v>
      </c>
      <c r="B763">
        <v>2969.27</v>
      </c>
      <c r="C763" t="s">
        <v>1079</v>
      </c>
      <c r="D763" t="s">
        <v>8210</v>
      </c>
      <c r="E763" t="s">
        <v>8211</v>
      </c>
      <c r="F763">
        <v>5.3999999999999998E-5</v>
      </c>
      <c r="G763" t="s">
        <v>8212</v>
      </c>
      <c r="H763">
        <v>0.3</v>
      </c>
      <c r="I763">
        <v>503510.1</v>
      </c>
      <c r="J763" t="s">
        <v>8213</v>
      </c>
      <c r="K763" t="s">
        <v>8214</v>
      </c>
      <c r="L763" t="s">
        <v>8215</v>
      </c>
      <c r="M763" t="s">
        <v>8216</v>
      </c>
      <c r="N763">
        <v>115616.08748171599</v>
      </c>
      <c r="O763">
        <v>117003.48053149661</v>
      </c>
      <c r="P763">
        <v>122502.64411647691</v>
      </c>
      <c r="Q763">
        <v>132302.85564579509</v>
      </c>
      <c r="R763">
        <v>137727.27272727271</v>
      </c>
      <c r="S763" t="s">
        <v>8217</v>
      </c>
      <c r="T763" t="s">
        <v>8218</v>
      </c>
      <c r="U763" t="s">
        <v>8219</v>
      </c>
      <c r="V763" t="s">
        <v>1090</v>
      </c>
      <c r="W763">
        <v>125425284</v>
      </c>
      <c r="X763">
        <v>126003478.59999999</v>
      </c>
      <c r="Y763">
        <v>126003478.59999999</v>
      </c>
      <c r="Z763">
        <v>126103478.59999999</v>
      </c>
      <c r="AA763">
        <v>126103478.59999999</v>
      </c>
      <c r="AB763">
        <v>783063752.79760611</v>
      </c>
      <c r="AC763">
        <v>6772.9653359999993</v>
      </c>
      <c r="AD763">
        <v>796113659.98490131</v>
      </c>
      <c r="AE763">
        <v>6804.1878443999994</v>
      </c>
      <c r="AF763">
        <v>833531002.00419164</v>
      </c>
      <c r="AG763">
        <v>6804.1878443999994</v>
      </c>
      <c r="AH763">
        <v>900927917.58501434</v>
      </c>
      <c r="AI763">
        <v>6809.5878443999991</v>
      </c>
      <c r="AJ763">
        <v>937865962.20599973</v>
      </c>
      <c r="AK763">
        <v>6809.5878443999991</v>
      </c>
    </row>
    <row r="764" spans="1:37" x14ac:dyDescent="0.35">
      <c r="A764" t="s">
        <v>8220</v>
      </c>
      <c r="B764">
        <v>18238</v>
      </c>
      <c r="C764" t="s">
        <v>1079</v>
      </c>
      <c r="D764" t="s">
        <v>8221</v>
      </c>
      <c r="E764" t="s">
        <v>8222</v>
      </c>
      <c r="F764">
        <v>5.3999999999999998E-5</v>
      </c>
      <c r="G764" t="s">
        <v>8223</v>
      </c>
      <c r="H764">
        <v>1</v>
      </c>
      <c r="I764">
        <v>50.35</v>
      </c>
      <c r="J764" t="s">
        <v>8224</v>
      </c>
      <c r="K764" t="s">
        <v>8225</v>
      </c>
      <c r="L764" t="s">
        <v>8226</v>
      </c>
      <c r="M764" t="s">
        <v>8227</v>
      </c>
      <c r="N764">
        <v>115616.08748171599</v>
      </c>
      <c r="O764">
        <v>117003.48053149661</v>
      </c>
      <c r="P764">
        <v>122502.64411647691</v>
      </c>
      <c r="Q764">
        <v>132302.85564579509</v>
      </c>
      <c r="R764">
        <v>137727.27272727271</v>
      </c>
      <c r="S764" t="s">
        <v>8228</v>
      </c>
      <c r="T764" t="s">
        <v>8229</v>
      </c>
      <c r="U764" t="s">
        <v>311</v>
      </c>
      <c r="V764" t="s">
        <v>1090</v>
      </c>
      <c r="W764">
        <v>125425284</v>
      </c>
      <c r="X764">
        <v>126003478.59999999</v>
      </c>
      <c r="Y764">
        <v>126003478.59999999</v>
      </c>
      <c r="Z764">
        <v>126103478.59999999</v>
      </c>
      <c r="AA764">
        <v>126103478.59999999</v>
      </c>
      <c r="AB764">
        <v>783063752.79760611</v>
      </c>
      <c r="AC764">
        <v>6772.9653359999993</v>
      </c>
      <c r="AD764">
        <v>796113659.98490131</v>
      </c>
      <c r="AE764">
        <v>6804.1878443999994</v>
      </c>
      <c r="AF764">
        <v>833531002.00419164</v>
      </c>
      <c r="AG764">
        <v>6804.1878443999994</v>
      </c>
      <c r="AH764">
        <v>900927917.58501434</v>
      </c>
      <c r="AI764">
        <v>6809.5878443999991</v>
      </c>
      <c r="AJ764">
        <v>937865962.20599973</v>
      </c>
      <c r="AK764">
        <v>6809.5878443999991</v>
      </c>
    </row>
    <row r="765" spans="1:37" x14ac:dyDescent="0.35">
      <c r="A765" t="s">
        <v>8230</v>
      </c>
      <c r="B765">
        <v>13027.15</v>
      </c>
      <c r="C765" t="s">
        <v>1079</v>
      </c>
      <c r="D765" t="s">
        <v>8231</v>
      </c>
      <c r="E765" t="s">
        <v>8232</v>
      </c>
      <c r="F765">
        <v>5.3999999999999998E-5</v>
      </c>
      <c r="G765" t="s">
        <v>8233</v>
      </c>
      <c r="H765">
        <v>1</v>
      </c>
      <c r="I765">
        <v>5035203.05</v>
      </c>
      <c r="J765" t="s">
        <v>8234</v>
      </c>
      <c r="K765" t="s">
        <v>8235</v>
      </c>
      <c r="L765" t="s">
        <v>8236</v>
      </c>
      <c r="M765" t="s">
        <v>8237</v>
      </c>
      <c r="N765">
        <v>115616.08748171599</v>
      </c>
      <c r="O765">
        <v>117003.48053149661</v>
      </c>
      <c r="P765">
        <v>122502.64411647691</v>
      </c>
      <c r="Q765">
        <v>132302.85564579509</v>
      </c>
      <c r="R765">
        <v>137727.27272727271</v>
      </c>
      <c r="S765" t="s">
        <v>3451</v>
      </c>
      <c r="T765" t="s">
        <v>8238</v>
      </c>
      <c r="U765" t="s">
        <v>8239</v>
      </c>
      <c r="V765" t="s">
        <v>1090</v>
      </c>
      <c r="W765">
        <v>125425284</v>
      </c>
      <c r="X765">
        <v>126003478.59999999</v>
      </c>
      <c r="Y765">
        <v>126003478.59999999</v>
      </c>
      <c r="Z765">
        <v>126103478.59999999</v>
      </c>
      <c r="AA765">
        <v>126103478.59999999</v>
      </c>
      <c r="AB765">
        <v>783063752.79760611</v>
      </c>
      <c r="AC765">
        <v>6772.9653359999993</v>
      </c>
      <c r="AD765">
        <v>796113659.98490131</v>
      </c>
      <c r="AE765">
        <v>6804.1878443999994</v>
      </c>
      <c r="AF765">
        <v>833531002.00419164</v>
      </c>
      <c r="AG765">
        <v>6804.1878443999994</v>
      </c>
      <c r="AH765">
        <v>900927917.58501434</v>
      </c>
      <c r="AI765">
        <v>6809.5878443999991</v>
      </c>
      <c r="AJ765">
        <v>937865962.20599973</v>
      </c>
      <c r="AK765">
        <v>6809.5878443999991</v>
      </c>
    </row>
    <row r="766" spans="1:37" x14ac:dyDescent="0.35">
      <c r="A766" t="s">
        <v>8240</v>
      </c>
      <c r="B766">
        <v>105.53</v>
      </c>
      <c r="C766" t="s">
        <v>8241</v>
      </c>
      <c r="D766" t="s">
        <v>8242</v>
      </c>
      <c r="E766" t="s">
        <v>8243</v>
      </c>
      <c r="F766">
        <v>0.03</v>
      </c>
      <c r="G766" t="s">
        <v>8244</v>
      </c>
      <c r="H766">
        <v>0.2</v>
      </c>
      <c r="I766">
        <v>0</v>
      </c>
      <c r="J766" t="s">
        <v>8245</v>
      </c>
      <c r="K766" t="s">
        <v>8246</v>
      </c>
      <c r="L766" t="s">
        <v>8247</v>
      </c>
      <c r="M766" t="s">
        <v>8248</v>
      </c>
      <c r="N766">
        <v>335.78269631653501</v>
      </c>
      <c r="O766">
        <v>339.81208867233352</v>
      </c>
      <c r="P766">
        <v>355.78325683993307</v>
      </c>
      <c r="Q766">
        <v>384.2459173871278</v>
      </c>
      <c r="R766">
        <v>400</v>
      </c>
      <c r="S766" t="s">
        <v>8249</v>
      </c>
      <c r="T766" t="s">
        <v>8250</v>
      </c>
      <c r="U766" t="s">
        <v>8251</v>
      </c>
      <c r="V766" t="s">
        <v>94</v>
      </c>
      <c r="W766">
        <v>265472419.80000001</v>
      </c>
      <c r="X766">
        <v>266439117.80000001</v>
      </c>
      <c r="Y766">
        <v>267499117.80000001</v>
      </c>
      <c r="Z766">
        <v>268599117.80000001</v>
      </c>
      <c r="AA766">
        <v>270179117.80000001</v>
      </c>
      <c r="AB766">
        <v>2674231347.5435729</v>
      </c>
      <c r="AC766">
        <v>7964172.5940000014</v>
      </c>
      <c r="AD766">
        <v>2716176993.7089572</v>
      </c>
      <c r="AE766">
        <v>7993173.534</v>
      </c>
      <c r="AF766">
        <v>2855151219.9807882</v>
      </c>
      <c r="AG766">
        <v>8024973.534</v>
      </c>
      <c r="AH766">
        <v>3096243432.8530259</v>
      </c>
      <c r="AI766">
        <v>8057973.534</v>
      </c>
      <c r="AJ766">
        <v>3242149413.5999999</v>
      </c>
      <c r="AK766">
        <v>8105373.534</v>
      </c>
    </row>
    <row r="767" spans="1:37" x14ac:dyDescent="0.35">
      <c r="A767" t="s">
        <v>8252</v>
      </c>
      <c r="B767">
        <v>1.65</v>
      </c>
      <c r="C767" t="s">
        <v>1402</v>
      </c>
      <c r="D767" t="s">
        <v>8253</v>
      </c>
      <c r="E767" t="s">
        <v>8254</v>
      </c>
      <c r="F767">
        <v>0.3</v>
      </c>
      <c r="G767" t="s">
        <v>8255</v>
      </c>
      <c r="H767">
        <v>0.15</v>
      </c>
      <c r="I767">
        <v>0</v>
      </c>
      <c r="J767" t="s">
        <v>8256</v>
      </c>
      <c r="K767" t="s">
        <v>8257</v>
      </c>
      <c r="L767" t="s">
        <v>8258</v>
      </c>
      <c r="M767" t="s">
        <v>8259</v>
      </c>
      <c r="N767">
        <v>245.54109668146631</v>
      </c>
      <c r="O767">
        <v>248.48758984164391</v>
      </c>
      <c r="P767">
        <v>260.16650656420109</v>
      </c>
      <c r="Q767">
        <v>280.97982708933722</v>
      </c>
      <c r="R767">
        <v>292.5</v>
      </c>
      <c r="S767" t="s">
        <v>8260</v>
      </c>
      <c r="T767" t="s">
        <v>8261</v>
      </c>
      <c r="U767" t="s">
        <v>8262</v>
      </c>
      <c r="V767" t="s">
        <v>49</v>
      </c>
      <c r="W767">
        <v>338996155</v>
      </c>
      <c r="X767">
        <v>339500751</v>
      </c>
      <c r="Y767">
        <v>340560751</v>
      </c>
      <c r="Z767">
        <v>341660751</v>
      </c>
      <c r="AA767">
        <v>343660751</v>
      </c>
      <c r="AB767">
        <v>24971246300.85009</v>
      </c>
      <c r="AC767">
        <v>101698846.5</v>
      </c>
      <c r="AD767">
        <v>25308517009.62542</v>
      </c>
      <c r="AE767">
        <v>101850225.3</v>
      </c>
      <c r="AF767">
        <v>26580750258.165218</v>
      </c>
      <c r="AG767">
        <v>102168225.3</v>
      </c>
      <c r="AH767">
        <v>28799933621.757931</v>
      </c>
      <c r="AI767">
        <v>102498225.3</v>
      </c>
      <c r="AJ767">
        <v>30156230900.25</v>
      </c>
      <c r="AK767">
        <v>103098225.3</v>
      </c>
    </row>
    <row r="768" spans="1:37" x14ac:dyDescent="0.35">
      <c r="A768" t="s">
        <v>8263</v>
      </c>
      <c r="B768">
        <v>1547.83</v>
      </c>
      <c r="C768" t="s">
        <v>2883</v>
      </c>
      <c r="D768" t="s">
        <v>8264</v>
      </c>
      <c r="E768" t="s">
        <v>8265</v>
      </c>
      <c r="F768">
        <v>1.0000000000000001E-5</v>
      </c>
      <c r="G768" t="s">
        <v>8266</v>
      </c>
      <c r="H768">
        <v>0.5</v>
      </c>
      <c r="I768">
        <v>25.35</v>
      </c>
      <c r="J768" t="s">
        <v>8267</v>
      </c>
      <c r="K768" t="s">
        <v>8268</v>
      </c>
      <c r="L768" t="s">
        <v>8269</v>
      </c>
      <c r="M768" t="s">
        <v>8270</v>
      </c>
      <c r="N768">
        <v>125204.97288902799</v>
      </c>
      <c r="O768">
        <v>126707.4325636963</v>
      </c>
      <c r="P768">
        <v>132662.68189419009</v>
      </c>
      <c r="Q768">
        <v>143275.69644572531</v>
      </c>
      <c r="R768">
        <v>149150</v>
      </c>
      <c r="S768" t="s">
        <v>2891</v>
      </c>
      <c r="T768" t="s">
        <v>8271</v>
      </c>
      <c r="U768" t="s">
        <v>8272</v>
      </c>
      <c r="V768" t="s">
        <v>94</v>
      </c>
      <c r="W768">
        <v>265472419.80000001</v>
      </c>
      <c r="X768">
        <v>266439117.80000001</v>
      </c>
      <c r="Y768">
        <v>267499117.80000001</v>
      </c>
      <c r="Z768">
        <v>268599117.80000001</v>
      </c>
      <c r="AA768">
        <v>270179117.80000001</v>
      </c>
      <c r="AB768">
        <v>332384671.23843658</v>
      </c>
      <c r="AC768">
        <v>2654.7241979999999</v>
      </c>
      <c r="AD768">
        <v>337598165.5097425</v>
      </c>
      <c r="AE768">
        <v>2664.3911779999999</v>
      </c>
      <c r="AF768">
        <v>354871503.71677881</v>
      </c>
      <c r="AG768">
        <v>2674.9911780000002</v>
      </c>
      <c r="AH768">
        <v>384837256.67502409</v>
      </c>
      <c r="AI768">
        <v>2685.9911780000002</v>
      </c>
      <c r="AJ768">
        <v>402972154.19870001</v>
      </c>
      <c r="AK768">
        <v>2701.7911779999999</v>
      </c>
    </row>
    <row r="769" spans="1:37" x14ac:dyDescent="0.35">
      <c r="A769" t="s">
        <v>8273</v>
      </c>
      <c r="B769">
        <v>1722.2</v>
      </c>
      <c r="C769" t="s">
        <v>1915</v>
      </c>
      <c r="D769" t="s">
        <v>8274</v>
      </c>
      <c r="E769" t="s">
        <v>8275</v>
      </c>
      <c r="F769">
        <v>3.3332999999999999E-6</v>
      </c>
      <c r="G769" t="s">
        <v>8276</v>
      </c>
      <c r="H769">
        <v>0.15</v>
      </c>
      <c r="I769">
        <v>10.15</v>
      </c>
      <c r="J769" t="s">
        <v>8277</v>
      </c>
      <c r="K769" t="s">
        <v>8278</v>
      </c>
      <c r="L769" t="s">
        <v>8279</v>
      </c>
      <c r="M769" t="s">
        <v>8280</v>
      </c>
      <c r="N769">
        <v>3927.4583229880441</v>
      </c>
      <c r="O769">
        <v>3974.5878228638999</v>
      </c>
      <c r="P769">
        <v>4161.3934505385032</v>
      </c>
      <c r="Q769">
        <v>4494.3049265815825</v>
      </c>
      <c r="R769">
        <v>4678.5714285714284</v>
      </c>
      <c r="S769" t="s">
        <v>8281</v>
      </c>
      <c r="T769" t="s">
        <v>8282</v>
      </c>
      <c r="U769" t="s">
        <v>8283</v>
      </c>
      <c r="V769" t="s">
        <v>49</v>
      </c>
      <c r="W769">
        <v>338996155</v>
      </c>
      <c r="X769">
        <v>339500751</v>
      </c>
      <c r="Y769">
        <v>340560751</v>
      </c>
      <c r="Z769">
        <v>341660751</v>
      </c>
      <c r="AA769">
        <v>343660751</v>
      </c>
      <c r="AB769">
        <v>4437933.1882766364</v>
      </c>
      <c r="AC769">
        <v>1129.9758834615</v>
      </c>
      <c r="AD769">
        <v>4497873.5234074714</v>
      </c>
      <c r="AE769">
        <v>1131.6578533083</v>
      </c>
      <c r="AF769">
        <v>4723977.0221636221</v>
      </c>
      <c r="AG769">
        <v>1135.1911513083001</v>
      </c>
      <c r="AH769">
        <v>5118374.1372096641</v>
      </c>
      <c r="AI769">
        <v>1138.8577813083</v>
      </c>
      <c r="AJ769">
        <v>5359417.6411209749</v>
      </c>
      <c r="AK769">
        <v>1145.5243813083</v>
      </c>
    </row>
    <row r="770" spans="1:37" x14ac:dyDescent="0.35">
      <c r="A770" t="s">
        <v>8284</v>
      </c>
      <c r="B770">
        <v>3800.2</v>
      </c>
      <c r="C770" t="s">
        <v>8285</v>
      </c>
      <c r="D770" t="s">
        <v>8286</v>
      </c>
      <c r="E770" t="s">
        <v>8287</v>
      </c>
      <c r="F770">
        <v>1.2500000000000001E-2</v>
      </c>
      <c r="G770" t="s">
        <v>8288</v>
      </c>
      <c r="H770">
        <v>0.3</v>
      </c>
      <c r="I770">
        <v>0</v>
      </c>
      <c r="J770" t="s">
        <v>8289</v>
      </c>
      <c r="K770" t="s">
        <v>8290</v>
      </c>
      <c r="L770" t="s">
        <v>8291</v>
      </c>
      <c r="M770" t="s">
        <v>8292</v>
      </c>
      <c r="N770">
        <v>1049.3209259891721</v>
      </c>
      <c r="O770">
        <v>1061.9127771010419</v>
      </c>
      <c r="P770">
        <v>1111.8226776247909</v>
      </c>
      <c r="Q770">
        <v>1200.7684918347741</v>
      </c>
      <c r="R770">
        <v>1250</v>
      </c>
      <c r="S770" t="s">
        <v>8293</v>
      </c>
      <c r="T770" t="s">
        <v>1945</v>
      </c>
      <c r="U770" t="s">
        <v>8294</v>
      </c>
      <c r="V770" t="s">
        <v>49</v>
      </c>
      <c r="W770">
        <v>338996155</v>
      </c>
      <c r="X770">
        <v>339500751</v>
      </c>
      <c r="Y770">
        <v>340560751</v>
      </c>
      <c r="Z770">
        <v>341660751</v>
      </c>
      <c r="AA770">
        <v>343660751</v>
      </c>
      <c r="AB770">
        <v>4446446990.8921108</v>
      </c>
      <c r="AC770">
        <v>4237451.9375</v>
      </c>
      <c r="AD770">
        <v>4506502316.5287418</v>
      </c>
      <c r="AE770">
        <v>4243759.3875000002</v>
      </c>
      <c r="AF770">
        <v>4733039575.8841219</v>
      </c>
      <c r="AG770">
        <v>4257009.3875000002</v>
      </c>
      <c r="AH770">
        <v>5128193308.7175798</v>
      </c>
      <c r="AI770">
        <v>4270759.3875000002</v>
      </c>
      <c r="AJ770">
        <v>5369699234.375</v>
      </c>
      <c r="AK770">
        <v>4295759.3875000002</v>
      </c>
    </row>
    <row r="771" spans="1:37" x14ac:dyDescent="0.35">
      <c r="A771" t="s">
        <v>8295</v>
      </c>
      <c r="B771">
        <v>4600.32</v>
      </c>
      <c r="C771" t="s">
        <v>1092</v>
      </c>
      <c r="D771" t="s">
        <v>8296</v>
      </c>
      <c r="E771" t="s">
        <v>4551</v>
      </c>
      <c r="F771">
        <v>2.9999999999999997E-4</v>
      </c>
      <c r="G771" t="s">
        <v>8297</v>
      </c>
      <c r="H771">
        <v>0.85</v>
      </c>
      <c r="I771">
        <v>70.3</v>
      </c>
      <c r="J771" t="s">
        <v>8298</v>
      </c>
      <c r="K771" t="s">
        <v>8299</v>
      </c>
      <c r="L771" t="s">
        <v>8300</v>
      </c>
      <c r="M771" t="s">
        <v>8301</v>
      </c>
      <c r="N771">
        <v>213551.79873773921</v>
      </c>
      <c r="O771">
        <v>216114.42032259211</v>
      </c>
      <c r="P771">
        <v>226271.79807775389</v>
      </c>
      <c r="Q771">
        <v>244373.5419239742</v>
      </c>
      <c r="R771">
        <v>254392.8571428571</v>
      </c>
      <c r="S771" t="s">
        <v>8302</v>
      </c>
      <c r="T771" t="s">
        <v>8303</v>
      </c>
      <c r="U771" t="s">
        <v>8304</v>
      </c>
      <c r="V771" t="s">
        <v>49</v>
      </c>
      <c r="W771">
        <v>338996155</v>
      </c>
      <c r="X771">
        <v>339500751</v>
      </c>
      <c r="Y771">
        <v>340560751</v>
      </c>
      <c r="Z771">
        <v>341660751</v>
      </c>
      <c r="AA771">
        <v>343660751</v>
      </c>
      <c r="AB771">
        <v>21717971599.628231</v>
      </c>
      <c r="AC771">
        <v>101698.8465</v>
      </c>
      <c r="AD771">
        <v>22011302400.434898</v>
      </c>
      <c r="AE771">
        <v>101850.22530000001</v>
      </c>
      <c r="AF771">
        <v>23117788045.04406</v>
      </c>
      <c r="AG771">
        <v>102168.22530000001</v>
      </c>
      <c r="AH771">
        <v>25047854357.482498</v>
      </c>
      <c r="AI771">
        <v>102498.22530000001</v>
      </c>
      <c r="AJ771">
        <v>26227452100.424992</v>
      </c>
      <c r="AK771">
        <v>103098.22530000001</v>
      </c>
    </row>
    <row r="772" spans="1:37" x14ac:dyDescent="0.35">
      <c r="A772" t="s">
        <v>8305</v>
      </c>
      <c r="B772">
        <v>4164.59</v>
      </c>
      <c r="C772" t="s">
        <v>1092</v>
      </c>
      <c r="D772" t="s">
        <v>8306</v>
      </c>
      <c r="E772" t="s">
        <v>8307</v>
      </c>
      <c r="F772">
        <v>2.9999999999999997E-4</v>
      </c>
      <c r="G772" t="s">
        <v>8308</v>
      </c>
      <c r="H772">
        <v>0.7</v>
      </c>
      <c r="I772">
        <v>2020.3</v>
      </c>
      <c r="J772" t="s">
        <v>8309</v>
      </c>
      <c r="K772" t="s">
        <v>8310</v>
      </c>
      <c r="L772" t="s">
        <v>8311</v>
      </c>
      <c r="M772" t="s">
        <v>1099</v>
      </c>
      <c r="N772">
        <v>213551.79873773921</v>
      </c>
      <c r="O772">
        <v>216114.42032259211</v>
      </c>
      <c r="P772">
        <v>226271.79807775389</v>
      </c>
      <c r="Q772">
        <v>244373.5419239742</v>
      </c>
      <c r="R772">
        <v>254392.8571428571</v>
      </c>
      <c r="S772" t="s">
        <v>8312</v>
      </c>
      <c r="T772" t="s">
        <v>8313</v>
      </c>
      <c r="U772" t="s">
        <v>8314</v>
      </c>
      <c r="V772" t="s">
        <v>49</v>
      </c>
      <c r="W772">
        <v>338996155</v>
      </c>
      <c r="X772">
        <v>339500751</v>
      </c>
      <c r="Y772">
        <v>340560751</v>
      </c>
      <c r="Z772">
        <v>341660751</v>
      </c>
      <c r="AA772">
        <v>343660751</v>
      </c>
      <c r="AB772">
        <v>21717971599.628231</v>
      </c>
      <c r="AC772">
        <v>101698.8465</v>
      </c>
      <c r="AD772">
        <v>22011302400.434898</v>
      </c>
      <c r="AE772">
        <v>101850.22530000001</v>
      </c>
      <c r="AF772">
        <v>23117788045.04406</v>
      </c>
      <c r="AG772">
        <v>102168.22530000001</v>
      </c>
      <c r="AH772">
        <v>25047854357.482498</v>
      </c>
      <c r="AI772">
        <v>102498.22530000001</v>
      </c>
      <c r="AJ772">
        <v>26227452100.424992</v>
      </c>
      <c r="AK772">
        <v>103098.22530000001</v>
      </c>
    </row>
    <row r="773" spans="1:37" x14ac:dyDescent="0.35">
      <c r="A773" t="s">
        <v>8315</v>
      </c>
      <c r="B773">
        <v>6946.87</v>
      </c>
      <c r="C773" t="s">
        <v>1092</v>
      </c>
      <c r="D773" t="s">
        <v>8316</v>
      </c>
      <c r="E773" t="s">
        <v>8317</v>
      </c>
      <c r="F773">
        <v>2.9999999999999997E-4</v>
      </c>
      <c r="G773" t="s">
        <v>8318</v>
      </c>
      <c r="H773">
        <v>50.12</v>
      </c>
      <c r="I773">
        <v>302090.3</v>
      </c>
      <c r="J773" t="s">
        <v>8319</v>
      </c>
      <c r="K773" t="s">
        <v>8320</v>
      </c>
      <c r="L773" t="s">
        <v>8321</v>
      </c>
      <c r="M773" t="s">
        <v>8322</v>
      </c>
      <c r="N773">
        <v>213551.79873773921</v>
      </c>
      <c r="O773">
        <v>216114.42032259211</v>
      </c>
      <c r="P773">
        <v>226271.79807775389</v>
      </c>
      <c r="Q773">
        <v>244373.5419239742</v>
      </c>
      <c r="R773">
        <v>254392.8571428571</v>
      </c>
      <c r="S773" t="s">
        <v>8323</v>
      </c>
      <c r="T773" t="s">
        <v>8324</v>
      </c>
      <c r="U773" t="s">
        <v>8325</v>
      </c>
      <c r="V773" t="s">
        <v>49</v>
      </c>
      <c r="W773">
        <v>338996155</v>
      </c>
      <c r="X773">
        <v>339500751</v>
      </c>
      <c r="Y773">
        <v>340560751</v>
      </c>
      <c r="Z773">
        <v>341660751</v>
      </c>
      <c r="AA773">
        <v>343660751</v>
      </c>
      <c r="AB773">
        <v>21717971599.628231</v>
      </c>
      <c r="AC773">
        <v>101698.8465</v>
      </c>
      <c r="AD773">
        <v>22011302400.434898</v>
      </c>
      <c r="AE773">
        <v>101850.22530000001</v>
      </c>
      <c r="AF773">
        <v>23117788045.04406</v>
      </c>
      <c r="AG773">
        <v>102168.22530000001</v>
      </c>
      <c r="AH773">
        <v>25047854357.482498</v>
      </c>
      <c r="AI773">
        <v>102498.22530000001</v>
      </c>
      <c r="AJ773">
        <v>26227452100.424992</v>
      </c>
      <c r="AK773">
        <v>103098.22530000001</v>
      </c>
    </row>
    <row r="774" spans="1:37" x14ac:dyDescent="0.35">
      <c r="A774" t="s">
        <v>8326</v>
      </c>
      <c r="B774">
        <v>8059.64</v>
      </c>
      <c r="C774" t="s">
        <v>1092</v>
      </c>
      <c r="D774" t="s">
        <v>8327</v>
      </c>
      <c r="E774" t="s">
        <v>8328</v>
      </c>
      <c r="F774">
        <v>2.9999999999999997E-4</v>
      </c>
      <c r="G774" t="s">
        <v>8329</v>
      </c>
      <c r="H774">
        <v>0.95</v>
      </c>
      <c r="I774">
        <v>2025403020</v>
      </c>
      <c r="J774" t="s">
        <v>8330</v>
      </c>
      <c r="K774" t="s">
        <v>8331</v>
      </c>
      <c r="L774" t="s">
        <v>8332</v>
      </c>
      <c r="M774" t="s">
        <v>8333</v>
      </c>
      <c r="N774">
        <v>213551.79873773921</v>
      </c>
      <c r="O774">
        <v>216114.42032259211</v>
      </c>
      <c r="P774">
        <v>226271.79807775389</v>
      </c>
      <c r="Q774">
        <v>244373.5419239742</v>
      </c>
      <c r="R774">
        <v>254392.8571428571</v>
      </c>
      <c r="S774" t="s">
        <v>8334</v>
      </c>
      <c r="T774" t="s">
        <v>8335</v>
      </c>
      <c r="U774" t="s">
        <v>8336</v>
      </c>
      <c r="V774" t="s">
        <v>49</v>
      </c>
      <c r="W774">
        <v>338996155</v>
      </c>
      <c r="X774">
        <v>339500751</v>
      </c>
      <c r="Y774">
        <v>340560751</v>
      </c>
      <c r="Z774">
        <v>341660751</v>
      </c>
      <c r="AA774">
        <v>343660751</v>
      </c>
      <c r="AB774">
        <v>21717971599.628231</v>
      </c>
      <c r="AC774">
        <v>101698.8465</v>
      </c>
      <c r="AD774">
        <v>22011302400.434898</v>
      </c>
      <c r="AE774">
        <v>101850.22530000001</v>
      </c>
      <c r="AF774">
        <v>23117788045.04406</v>
      </c>
      <c r="AG774">
        <v>102168.22530000001</v>
      </c>
      <c r="AH774">
        <v>25047854357.482498</v>
      </c>
      <c r="AI774">
        <v>102498.22530000001</v>
      </c>
      <c r="AJ774">
        <v>26227452100.424992</v>
      </c>
      <c r="AK774">
        <v>103098.22530000001</v>
      </c>
    </row>
    <row r="775" spans="1:37" x14ac:dyDescent="0.35">
      <c r="A775" t="s">
        <v>8337</v>
      </c>
      <c r="B775">
        <v>3073.36</v>
      </c>
      <c r="C775" t="s">
        <v>1092</v>
      </c>
      <c r="D775" t="s">
        <v>8338</v>
      </c>
      <c r="E775" t="s">
        <v>8339</v>
      </c>
      <c r="F775">
        <v>2.9999999999999997E-4</v>
      </c>
      <c r="G775" t="s">
        <v>8340</v>
      </c>
      <c r="H775">
        <v>0.9</v>
      </c>
      <c r="I775">
        <v>252530.4</v>
      </c>
      <c r="J775" t="s">
        <v>8341</v>
      </c>
      <c r="K775" t="s">
        <v>8342</v>
      </c>
      <c r="L775" t="s">
        <v>8343</v>
      </c>
      <c r="M775" t="s">
        <v>8344</v>
      </c>
      <c r="N775">
        <v>213551.79873773921</v>
      </c>
      <c r="O775">
        <v>216114.42032259211</v>
      </c>
      <c r="P775">
        <v>226271.79807775389</v>
      </c>
      <c r="Q775">
        <v>244373.5419239742</v>
      </c>
      <c r="R775">
        <v>254392.8571428571</v>
      </c>
      <c r="S775" t="s">
        <v>8345</v>
      </c>
      <c r="T775" t="s">
        <v>8346</v>
      </c>
      <c r="U775" t="s">
        <v>8347</v>
      </c>
      <c r="V775" t="s">
        <v>49</v>
      </c>
      <c r="W775">
        <v>338996155</v>
      </c>
      <c r="X775">
        <v>339500751</v>
      </c>
      <c r="Y775">
        <v>340560751</v>
      </c>
      <c r="Z775">
        <v>341660751</v>
      </c>
      <c r="AA775">
        <v>343660751</v>
      </c>
      <c r="AB775">
        <v>21717971599.628231</v>
      </c>
      <c r="AC775">
        <v>101698.8465</v>
      </c>
      <c r="AD775">
        <v>22011302400.434898</v>
      </c>
      <c r="AE775">
        <v>101850.22530000001</v>
      </c>
      <c r="AF775">
        <v>23117788045.04406</v>
      </c>
      <c r="AG775">
        <v>102168.22530000001</v>
      </c>
      <c r="AH775">
        <v>25047854357.482498</v>
      </c>
      <c r="AI775">
        <v>102498.22530000001</v>
      </c>
      <c r="AJ775">
        <v>26227452100.424992</v>
      </c>
      <c r="AK775">
        <v>103098.22530000001</v>
      </c>
    </row>
    <row r="776" spans="1:37" x14ac:dyDescent="0.35">
      <c r="A776" t="s">
        <v>8348</v>
      </c>
      <c r="B776">
        <v>116.68</v>
      </c>
      <c r="C776" t="s">
        <v>1126</v>
      </c>
      <c r="D776" t="s">
        <v>8349</v>
      </c>
      <c r="E776" t="s">
        <v>8350</v>
      </c>
      <c r="F776">
        <v>3.8000000000000002E-4</v>
      </c>
      <c r="G776" t="s">
        <v>8351</v>
      </c>
      <c r="H776">
        <v>0.2</v>
      </c>
      <c r="I776">
        <v>0.02</v>
      </c>
      <c r="J776" t="s">
        <v>8352</v>
      </c>
      <c r="K776" t="s">
        <v>8353</v>
      </c>
      <c r="L776" t="s">
        <v>8354</v>
      </c>
      <c r="M776" t="s">
        <v>8355</v>
      </c>
      <c r="N776">
        <v>14270.764593452741</v>
      </c>
      <c r="O776">
        <v>14442.01376857417</v>
      </c>
      <c r="P776">
        <v>15120.78841569716</v>
      </c>
      <c r="Q776">
        <v>16330.451488952929</v>
      </c>
      <c r="R776">
        <v>17000</v>
      </c>
      <c r="S776" t="s">
        <v>8356</v>
      </c>
      <c r="T776" t="s">
        <v>1945</v>
      </c>
      <c r="U776" t="s">
        <v>8357</v>
      </c>
      <c r="V776" t="s">
        <v>49</v>
      </c>
      <c r="W776">
        <v>338996155</v>
      </c>
      <c r="X776">
        <v>339500751</v>
      </c>
      <c r="Y776">
        <v>340560751</v>
      </c>
      <c r="Z776">
        <v>341660751</v>
      </c>
      <c r="AA776">
        <v>343660751</v>
      </c>
      <c r="AB776">
        <v>1838339043.9144349</v>
      </c>
      <c r="AC776">
        <v>128818.5389</v>
      </c>
      <c r="AD776">
        <v>1863168317.7456429</v>
      </c>
      <c r="AE776">
        <v>129010.28538</v>
      </c>
      <c r="AF776">
        <v>1956827882.253531</v>
      </c>
      <c r="AG776">
        <v>129413.08538</v>
      </c>
      <c r="AH776">
        <v>2120200241.556196</v>
      </c>
      <c r="AI776">
        <v>129831.08538</v>
      </c>
      <c r="AJ776">
        <v>2220048451.46</v>
      </c>
      <c r="AK776">
        <v>130591.08538</v>
      </c>
    </row>
    <row r="777" spans="1:37" x14ac:dyDescent="0.35">
      <c r="A777" t="s">
        <v>8358</v>
      </c>
      <c r="B777">
        <v>231.68</v>
      </c>
      <c r="C777" t="s">
        <v>1126</v>
      </c>
      <c r="D777" t="s">
        <v>8359</v>
      </c>
      <c r="E777" t="s">
        <v>8360</v>
      </c>
      <c r="F777">
        <v>3.8000000000000002E-4</v>
      </c>
      <c r="G777" t="s">
        <v>8361</v>
      </c>
      <c r="H777">
        <v>0.3</v>
      </c>
      <c r="I777">
        <v>0.01</v>
      </c>
      <c r="J777" t="s">
        <v>8362</v>
      </c>
      <c r="K777" t="s">
        <v>8363</v>
      </c>
      <c r="L777" t="s">
        <v>8364</v>
      </c>
      <c r="M777" t="s">
        <v>8365</v>
      </c>
      <c r="N777">
        <v>14270.764593452741</v>
      </c>
      <c r="O777">
        <v>14442.01376857417</v>
      </c>
      <c r="P777">
        <v>15120.78841569716</v>
      </c>
      <c r="Q777">
        <v>16330.451488952929</v>
      </c>
      <c r="R777">
        <v>17000</v>
      </c>
      <c r="S777" t="s">
        <v>8366</v>
      </c>
      <c r="T777" t="s">
        <v>8367</v>
      </c>
      <c r="U777" t="s">
        <v>8368</v>
      </c>
      <c r="V777" t="s">
        <v>49</v>
      </c>
      <c r="W777">
        <v>338996155</v>
      </c>
      <c r="X777">
        <v>339500751</v>
      </c>
      <c r="Y777">
        <v>340560751</v>
      </c>
      <c r="Z777">
        <v>341660751</v>
      </c>
      <c r="AA777">
        <v>343660751</v>
      </c>
      <c r="AB777">
        <v>1838339043.9144349</v>
      </c>
      <c r="AC777">
        <v>128818.5389</v>
      </c>
      <c r="AD777">
        <v>1863168317.7456429</v>
      </c>
      <c r="AE777">
        <v>129010.28538</v>
      </c>
      <c r="AF777">
        <v>1956827882.253531</v>
      </c>
      <c r="AG777">
        <v>129413.08538</v>
      </c>
      <c r="AH777">
        <v>2120200241.556196</v>
      </c>
      <c r="AI777">
        <v>129831.08538</v>
      </c>
      <c r="AJ777">
        <v>2220048451.46</v>
      </c>
      <c r="AK777">
        <v>130591.08538</v>
      </c>
    </row>
    <row r="778" spans="1:37" x14ac:dyDescent="0.35">
      <c r="A778" t="s">
        <v>8369</v>
      </c>
      <c r="B778">
        <v>62.03</v>
      </c>
      <c r="C778" t="s">
        <v>1426</v>
      </c>
      <c r="D778" t="s">
        <v>8370</v>
      </c>
      <c r="E778" t="s">
        <v>8371</v>
      </c>
      <c r="F778">
        <v>0.02</v>
      </c>
      <c r="G778" t="s">
        <v>8372</v>
      </c>
      <c r="H778">
        <v>10.199999999999999</v>
      </c>
      <c r="I778">
        <v>0.15</v>
      </c>
      <c r="J778" t="s">
        <v>8373</v>
      </c>
      <c r="K778" t="s">
        <v>8374</v>
      </c>
      <c r="L778" t="s">
        <v>8375</v>
      </c>
      <c r="M778" t="s">
        <v>8376</v>
      </c>
      <c r="N778">
        <v>1196.2258556276561</v>
      </c>
      <c r="O778">
        <v>1210.5805658951881</v>
      </c>
      <c r="P778">
        <v>1267.4778524922619</v>
      </c>
      <c r="Q778">
        <v>1368.876080691643</v>
      </c>
      <c r="R778">
        <v>1425</v>
      </c>
      <c r="S778" t="s">
        <v>8377</v>
      </c>
      <c r="T778" t="s">
        <v>8378</v>
      </c>
      <c r="U778" t="s">
        <v>8379</v>
      </c>
      <c r="V778" t="s">
        <v>49</v>
      </c>
      <c r="W778">
        <v>338996155</v>
      </c>
      <c r="X778">
        <v>339500751</v>
      </c>
      <c r="Y778">
        <v>340560751</v>
      </c>
      <c r="Z778">
        <v>341660751</v>
      </c>
      <c r="AA778">
        <v>343660751</v>
      </c>
      <c r="AB778">
        <v>8110319311.3872108</v>
      </c>
      <c r="AC778">
        <v>6779923.1000000006</v>
      </c>
      <c r="AD778">
        <v>8219860225.3484259</v>
      </c>
      <c r="AE778">
        <v>6790015.0199999996</v>
      </c>
      <c r="AF778">
        <v>8633064186.4126377</v>
      </c>
      <c r="AG778">
        <v>6811215.0199999996</v>
      </c>
      <c r="AH778">
        <v>9353824595.1008644</v>
      </c>
      <c r="AI778">
        <v>6833215.0199999996</v>
      </c>
      <c r="AJ778">
        <v>9794331403.5</v>
      </c>
      <c r="AK778">
        <v>6873215.0199999996</v>
      </c>
    </row>
    <row r="779" spans="1:37" x14ac:dyDescent="0.35">
      <c r="A779" t="s">
        <v>8380</v>
      </c>
      <c r="B779">
        <v>4.6900000000000004</v>
      </c>
      <c r="C779" t="s">
        <v>8381</v>
      </c>
      <c r="D779" t="s">
        <v>8382</v>
      </c>
      <c r="E779" t="s">
        <v>8383</v>
      </c>
      <c r="F779">
        <v>3.5999999999999999E-3</v>
      </c>
      <c r="G779" t="s">
        <v>8384</v>
      </c>
      <c r="H779">
        <v>7.1</v>
      </c>
      <c r="I779">
        <v>0.03</v>
      </c>
      <c r="J779" t="s">
        <v>8385</v>
      </c>
      <c r="K779" t="s">
        <v>8386</v>
      </c>
      <c r="L779" t="s">
        <v>8387</v>
      </c>
      <c r="M779" t="s">
        <v>8388</v>
      </c>
      <c r="N779">
        <v>293.80985927696821</v>
      </c>
      <c r="O779">
        <v>297.33557758829181</v>
      </c>
      <c r="P779">
        <v>311.31034973494138</v>
      </c>
      <c r="Q779">
        <v>336.21517771373681</v>
      </c>
      <c r="R779">
        <v>350</v>
      </c>
      <c r="S779" t="s">
        <v>8389</v>
      </c>
      <c r="T779" t="s">
        <v>8390</v>
      </c>
      <c r="U779" t="s">
        <v>8391</v>
      </c>
      <c r="V779" t="s">
        <v>49</v>
      </c>
      <c r="W779">
        <v>338996155</v>
      </c>
      <c r="X779">
        <v>339500751</v>
      </c>
      <c r="Y779">
        <v>340560751</v>
      </c>
      <c r="Z779">
        <v>341660751</v>
      </c>
      <c r="AA779">
        <v>343660751</v>
      </c>
      <c r="AB779">
        <v>358561485.34553981</v>
      </c>
      <c r="AC779">
        <v>1220386.1580000001</v>
      </c>
      <c r="AD779">
        <v>363404346.80487782</v>
      </c>
      <c r="AE779">
        <v>1222202.7035999999</v>
      </c>
      <c r="AF779">
        <v>381672311.39929551</v>
      </c>
      <c r="AG779">
        <v>1226018.7035999999</v>
      </c>
      <c r="AH779">
        <v>413537508.41498548</v>
      </c>
      <c r="AI779">
        <v>1229978.7035999999</v>
      </c>
      <c r="AJ779">
        <v>433012546.25999999</v>
      </c>
      <c r="AK779">
        <v>1237178.7035999999</v>
      </c>
    </row>
    <row r="780" spans="1:37" x14ac:dyDescent="0.35">
      <c r="A780" t="s">
        <v>8392</v>
      </c>
      <c r="B780">
        <v>5.48</v>
      </c>
      <c r="C780" t="s">
        <v>8393</v>
      </c>
      <c r="D780" t="s">
        <v>8394</v>
      </c>
      <c r="E780" t="s">
        <v>8395</v>
      </c>
      <c r="F780">
        <v>0.34</v>
      </c>
      <c r="G780" t="s">
        <v>8396</v>
      </c>
      <c r="H780">
        <v>0.2</v>
      </c>
      <c r="I780">
        <v>0.01</v>
      </c>
      <c r="J780" t="s">
        <v>8397</v>
      </c>
      <c r="K780" t="s">
        <v>8398</v>
      </c>
      <c r="L780" t="s">
        <v>8399</v>
      </c>
      <c r="M780" t="s">
        <v>8400</v>
      </c>
      <c r="N780">
        <v>18.887776667805099</v>
      </c>
      <c r="O780">
        <v>19.11442998781876</v>
      </c>
      <c r="P780">
        <v>20.01280819724624</v>
      </c>
      <c r="Q780">
        <v>21.61383285302594</v>
      </c>
      <c r="R780">
        <v>22.5</v>
      </c>
      <c r="S780" t="s">
        <v>8401</v>
      </c>
      <c r="T780" t="s">
        <v>8402</v>
      </c>
      <c r="U780" t="s">
        <v>8403</v>
      </c>
      <c r="V780" t="s">
        <v>49</v>
      </c>
      <c r="W780">
        <v>338996155</v>
      </c>
      <c r="X780">
        <v>339500751</v>
      </c>
      <c r="Y780">
        <v>340560751</v>
      </c>
      <c r="Z780">
        <v>341660751</v>
      </c>
      <c r="AA780">
        <v>343660751</v>
      </c>
      <c r="AB780">
        <v>2176980446.740777</v>
      </c>
      <c r="AC780">
        <v>115258692.7</v>
      </c>
      <c r="AD780">
        <v>2206383534.172472</v>
      </c>
      <c r="AE780">
        <v>115430255.34</v>
      </c>
      <c r="AF780">
        <v>2317296176.3528662</v>
      </c>
      <c r="AG780">
        <v>115790655.34</v>
      </c>
      <c r="AH780">
        <v>2510763443.9481268</v>
      </c>
      <c r="AI780">
        <v>116164655.34</v>
      </c>
      <c r="AJ780">
        <v>2629004745.1500001</v>
      </c>
      <c r="AK780">
        <v>116844655.34</v>
      </c>
    </row>
    <row r="781" spans="1:37" x14ac:dyDescent="0.35">
      <c r="A781" t="s">
        <v>8404</v>
      </c>
      <c r="B781">
        <v>6618.52</v>
      </c>
      <c r="C781" t="s">
        <v>8405</v>
      </c>
      <c r="D781" t="s">
        <v>8406</v>
      </c>
      <c r="E781" t="s">
        <v>8407</v>
      </c>
      <c r="F781">
        <v>1.5E-5</v>
      </c>
      <c r="G781" t="s">
        <v>8408</v>
      </c>
      <c r="H781">
        <v>0.6</v>
      </c>
      <c r="I781">
        <v>0.2</v>
      </c>
      <c r="J781" t="s">
        <v>8409</v>
      </c>
      <c r="K781" t="s">
        <v>8410</v>
      </c>
      <c r="L781" t="s">
        <v>8411</v>
      </c>
      <c r="M781" t="s">
        <v>8412</v>
      </c>
      <c r="N781">
        <v>83945.674079133765</v>
      </c>
      <c r="O781">
        <v>84953.022168083378</v>
      </c>
      <c r="P781">
        <v>88945.814209983291</v>
      </c>
      <c r="Q781">
        <v>96061.479346781955</v>
      </c>
      <c r="R781">
        <v>100000</v>
      </c>
      <c r="S781" t="s">
        <v>8413</v>
      </c>
      <c r="T781" t="s">
        <v>8414</v>
      </c>
      <c r="U781" t="s">
        <v>8415</v>
      </c>
      <c r="V781" t="s">
        <v>94</v>
      </c>
      <c r="W781">
        <v>265472419.80000001</v>
      </c>
      <c r="X781">
        <v>266439117.80000001</v>
      </c>
      <c r="Y781">
        <v>267499117.80000001</v>
      </c>
      <c r="Z781">
        <v>268599117.80000001</v>
      </c>
      <c r="AA781">
        <v>270179117.80000001</v>
      </c>
      <c r="AB781">
        <v>334278918.44294667</v>
      </c>
      <c r="AC781">
        <v>3982.0862969999998</v>
      </c>
      <c r="AD781">
        <v>339522124.21361971</v>
      </c>
      <c r="AE781">
        <v>3996.5867669999998</v>
      </c>
      <c r="AF781">
        <v>356893902.49759853</v>
      </c>
      <c r="AG781">
        <v>4012.4867669999999</v>
      </c>
      <c r="AH781">
        <v>387030429.1066283</v>
      </c>
      <c r="AI781">
        <v>4028.9867669999999</v>
      </c>
      <c r="AJ781">
        <v>405268676.69999999</v>
      </c>
      <c r="AK781">
        <v>4052.6867670000001</v>
      </c>
    </row>
    <row r="782" spans="1:37" x14ac:dyDescent="0.35">
      <c r="A782" t="s">
        <v>8416</v>
      </c>
      <c r="B782">
        <v>8253.7900000000009</v>
      </c>
      <c r="C782" t="s">
        <v>566</v>
      </c>
      <c r="D782" t="s">
        <v>8417</v>
      </c>
      <c r="E782" t="s">
        <v>8418</v>
      </c>
      <c r="F782">
        <v>2.2499999999999999E-4</v>
      </c>
      <c r="G782" t="s">
        <v>8419</v>
      </c>
      <c r="H782">
        <v>0.25</v>
      </c>
      <c r="I782">
        <v>0.2</v>
      </c>
      <c r="J782" t="s">
        <v>8420</v>
      </c>
      <c r="K782" t="s">
        <v>8421</v>
      </c>
      <c r="L782" t="s">
        <v>8422</v>
      </c>
      <c r="M782" t="s">
        <v>8423</v>
      </c>
      <c r="N782">
        <v>98098.151586384061</v>
      </c>
      <c r="O782">
        <v>99275.329405420678</v>
      </c>
      <c r="P782">
        <v>103941.2698874754</v>
      </c>
      <c r="Q782">
        <v>112256.5714784735</v>
      </c>
      <c r="R782">
        <v>116859.0909090909</v>
      </c>
      <c r="S782" t="s">
        <v>8424</v>
      </c>
      <c r="T782" t="s">
        <v>8425</v>
      </c>
      <c r="U782" t="s">
        <v>8426</v>
      </c>
      <c r="V782" t="s">
        <v>94</v>
      </c>
      <c r="W782">
        <v>265472419.80000001</v>
      </c>
      <c r="X782">
        <v>266439117.80000001</v>
      </c>
      <c r="Y782">
        <v>267499117.80000001</v>
      </c>
      <c r="Z782">
        <v>268599117.80000001</v>
      </c>
      <c r="AA782">
        <v>270179117.80000001</v>
      </c>
      <c r="AB782">
        <v>5859529577.8975325</v>
      </c>
      <c r="AC782">
        <v>59731.294455000003</v>
      </c>
      <c r="AD782">
        <v>5951437016.8690548</v>
      </c>
      <c r="AE782">
        <v>59948.801505000003</v>
      </c>
      <c r="AF782">
        <v>6255944549.5300617</v>
      </c>
      <c r="AG782">
        <v>60187.301505000003</v>
      </c>
      <c r="AH782">
        <v>6784203614.9333897</v>
      </c>
      <c r="AI782">
        <v>60434.801505000003</v>
      </c>
      <c r="AJ782">
        <v>7103899369.9638395</v>
      </c>
      <c r="AK782">
        <v>60790.301505000003</v>
      </c>
    </row>
    <row r="783" spans="1:37" x14ac:dyDescent="0.35">
      <c r="A783" t="s">
        <v>8427</v>
      </c>
      <c r="B783">
        <v>3592.01</v>
      </c>
      <c r="C783" t="s">
        <v>566</v>
      </c>
      <c r="D783" t="s">
        <v>8428</v>
      </c>
      <c r="E783" t="s">
        <v>8429</v>
      </c>
      <c r="F783">
        <v>2.2499999999999999E-4</v>
      </c>
      <c r="G783" t="s">
        <v>8430</v>
      </c>
      <c r="H783">
        <v>204030.3</v>
      </c>
      <c r="I783">
        <v>771841322.10000002</v>
      </c>
      <c r="J783" t="s">
        <v>8431</v>
      </c>
      <c r="K783" t="s">
        <v>8432</v>
      </c>
      <c r="L783" t="s">
        <v>8433</v>
      </c>
      <c r="M783" t="s">
        <v>8434</v>
      </c>
      <c r="N783">
        <v>98098.151586384061</v>
      </c>
      <c r="O783">
        <v>99275.329405420678</v>
      </c>
      <c r="P783">
        <v>103941.2698874754</v>
      </c>
      <c r="Q783">
        <v>112256.5714784735</v>
      </c>
      <c r="R783">
        <v>116859.0909090909</v>
      </c>
      <c r="S783" t="s">
        <v>8435</v>
      </c>
      <c r="T783" t="s">
        <v>8436</v>
      </c>
      <c r="U783" t="s">
        <v>8437</v>
      </c>
      <c r="V783" t="s">
        <v>94</v>
      </c>
      <c r="W783">
        <v>265472419.80000001</v>
      </c>
      <c r="X783">
        <v>266439117.80000001</v>
      </c>
      <c r="Y783">
        <v>267499117.80000001</v>
      </c>
      <c r="Z783">
        <v>268599117.80000001</v>
      </c>
      <c r="AA783">
        <v>270179117.80000001</v>
      </c>
      <c r="AB783">
        <v>5859529577.8975325</v>
      </c>
      <c r="AC783">
        <v>59731.294455000003</v>
      </c>
      <c r="AD783">
        <v>5951437016.8690548</v>
      </c>
      <c r="AE783">
        <v>59948.801505000003</v>
      </c>
      <c r="AF783">
        <v>6255944549.5300617</v>
      </c>
      <c r="AG783">
        <v>60187.301505000003</v>
      </c>
      <c r="AH783">
        <v>6784203614.9333897</v>
      </c>
      <c r="AI783">
        <v>60434.801505000003</v>
      </c>
      <c r="AJ783">
        <v>7103899369.9638395</v>
      </c>
      <c r="AK783">
        <v>60790.301505000003</v>
      </c>
    </row>
    <row r="784" spans="1:37" x14ac:dyDescent="0.35">
      <c r="A784" t="s">
        <v>8438</v>
      </c>
      <c r="B784">
        <v>2993.35</v>
      </c>
      <c r="C784" t="s">
        <v>566</v>
      </c>
      <c r="D784" t="s">
        <v>8439</v>
      </c>
      <c r="E784" t="s">
        <v>8440</v>
      </c>
      <c r="F784">
        <v>2.2499999999999999E-4</v>
      </c>
      <c r="G784" t="s">
        <v>8441</v>
      </c>
      <c r="H784">
        <v>203530.5</v>
      </c>
      <c r="I784">
        <v>520525525.10000002</v>
      </c>
      <c r="J784" t="s">
        <v>8442</v>
      </c>
      <c r="K784" t="s">
        <v>8443</v>
      </c>
      <c r="L784" t="s">
        <v>8444</v>
      </c>
      <c r="M784" t="s">
        <v>8445</v>
      </c>
      <c r="N784">
        <v>98098.151586384061</v>
      </c>
      <c r="O784">
        <v>99275.329405420678</v>
      </c>
      <c r="P784">
        <v>103941.2698874754</v>
      </c>
      <c r="Q784">
        <v>112256.5714784735</v>
      </c>
      <c r="R784">
        <v>116859.0909090909</v>
      </c>
      <c r="S784" t="s">
        <v>8446</v>
      </c>
      <c r="T784" t="s">
        <v>8447</v>
      </c>
      <c r="U784" t="s">
        <v>8448</v>
      </c>
      <c r="V784" t="s">
        <v>94</v>
      </c>
      <c r="W784">
        <v>265472419.80000001</v>
      </c>
      <c r="X784">
        <v>266439117.80000001</v>
      </c>
      <c r="Y784">
        <v>267499117.80000001</v>
      </c>
      <c r="Z784">
        <v>268599117.80000001</v>
      </c>
      <c r="AA784">
        <v>270179117.80000001</v>
      </c>
      <c r="AB784">
        <v>5859529577.8975325</v>
      </c>
      <c r="AC784">
        <v>59731.294455000003</v>
      </c>
      <c r="AD784">
        <v>5951437016.8690548</v>
      </c>
      <c r="AE784">
        <v>59948.801505000003</v>
      </c>
      <c r="AF784">
        <v>6255944549.5300617</v>
      </c>
      <c r="AG784">
        <v>60187.301505000003</v>
      </c>
      <c r="AH784">
        <v>6784203614.9333897</v>
      </c>
      <c r="AI784">
        <v>60434.801505000003</v>
      </c>
      <c r="AJ784">
        <v>7103899369.9638395</v>
      </c>
      <c r="AK784">
        <v>60790.301505000003</v>
      </c>
    </row>
    <row r="785" spans="1:37" x14ac:dyDescent="0.35">
      <c r="A785" t="s">
        <v>8449</v>
      </c>
      <c r="B785">
        <v>34165.33</v>
      </c>
      <c r="C785" t="s">
        <v>255</v>
      </c>
      <c r="D785" t="s">
        <v>8450</v>
      </c>
      <c r="E785" t="s">
        <v>8451</v>
      </c>
      <c r="F785">
        <v>4.1999999999999998E-5</v>
      </c>
      <c r="G785" t="s">
        <v>8452</v>
      </c>
      <c r="H785">
        <v>0.7</v>
      </c>
      <c r="I785">
        <v>30525.3</v>
      </c>
      <c r="J785" t="s">
        <v>8453</v>
      </c>
      <c r="K785" t="s">
        <v>8454</v>
      </c>
      <c r="L785" t="s">
        <v>8455</v>
      </c>
      <c r="M785" t="s">
        <v>8456</v>
      </c>
      <c r="N785">
        <v>118710.1325836446</v>
      </c>
      <c r="O785">
        <v>120134.6541746483</v>
      </c>
      <c r="P785">
        <v>125780.9829208568</v>
      </c>
      <c r="Q785">
        <v>135843.46155452539</v>
      </c>
      <c r="R785">
        <v>141413.04347826089</v>
      </c>
      <c r="S785" t="s">
        <v>8457</v>
      </c>
      <c r="T785" t="s">
        <v>8458</v>
      </c>
      <c r="U785" t="s">
        <v>8459</v>
      </c>
      <c r="V785" t="s">
        <v>94</v>
      </c>
      <c r="W785">
        <v>265472419.80000001</v>
      </c>
      <c r="X785">
        <v>266439117.80000001</v>
      </c>
      <c r="Y785">
        <v>267499117.80000001</v>
      </c>
      <c r="Z785">
        <v>268599117.80000001</v>
      </c>
      <c r="AA785">
        <v>270179117.80000001</v>
      </c>
      <c r="AB785">
        <v>1323599178.3738761</v>
      </c>
      <c r="AC785">
        <v>11149.8416316</v>
      </c>
      <c r="AD785">
        <v>1344359993.571058</v>
      </c>
      <c r="AE785">
        <v>11190.4429476</v>
      </c>
      <c r="AF785">
        <v>1413144682.628535</v>
      </c>
      <c r="AG785">
        <v>11234.962947599999</v>
      </c>
      <c r="AH785">
        <v>1532472225.162637</v>
      </c>
      <c r="AI785">
        <v>11281.1629476</v>
      </c>
      <c r="AJ785">
        <v>1604687755.959522</v>
      </c>
      <c r="AK785">
        <v>11347.5229476</v>
      </c>
    </row>
    <row r="786" spans="1:37" x14ac:dyDescent="0.35">
      <c r="A786" t="s">
        <v>8460</v>
      </c>
      <c r="B786">
        <v>12156.24</v>
      </c>
      <c r="C786" t="s">
        <v>255</v>
      </c>
      <c r="D786" t="s">
        <v>8461</v>
      </c>
      <c r="E786" t="s">
        <v>8462</v>
      </c>
      <c r="F786">
        <v>4.1999999999999998E-5</v>
      </c>
      <c r="G786" t="s">
        <v>8463</v>
      </c>
      <c r="H786">
        <v>0.7</v>
      </c>
      <c r="I786">
        <v>305.3</v>
      </c>
      <c r="J786" t="s">
        <v>8464</v>
      </c>
      <c r="K786" t="s">
        <v>8465</v>
      </c>
      <c r="L786" t="s">
        <v>8466</v>
      </c>
      <c r="M786" t="s">
        <v>8467</v>
      </c>
      <c r="N786">
        <v>118710.1325836446</v>
      </c>
      <c r="O786">
        <v>120134.6541746483</v>
      </c>
      <c r="P786">
        <v>125780.9829208568</v>
      </c>
      <c r="Q786">
        <v>135843.46155452539</v>
      </c>
      <c r="R786">
        <v>141413.04347826089</v>
      </c>
      <c r="S786" t="s">
        <v>8468</v>
      </c>
      <c r="T786" t="s">
        <v>6261</v>
      </c>
      <c r="U786" t="s">
        <v>8469</v>
      </c>
      <c r="V786" t="s">
        <v>94</v>
      </c>
      <c r="W786">
        <v>265472419.80000001</v>
      </c>
      <c r="X786">
        <v>266439117.80000001</v>
      </c>
      <c r="Y786">
        <v>267499117.80000001</v>
      </c>
      <c r="Z786">
        <v>268599117.80000001</v>
      </c>
      <c r="AA786">
        <v>270179117.80000001</v>
      </c>
      <c r="AB786">
        <v>1323599178.3738761</v>
      </c>
      <c r="AC786">
        <v>11149.8416316</v>
      </c>
      <c r="AD786">
        <v>1344359993.571058</v>
      </c>
      <c r="AE786">
        <v>11190.4429476</v>
      </c>
      <c r="AF786">
        <v>1413144682.628535</v>
      </c>
      <c r="AG786">
        <v>11234.962947599999</v>
      </c>
      <c r="AH786">
        <v>1532472225.162637</v>
      </c>
      <c r="AI786">
        <v>11281.1629476</v>
      </c>
      <c r="AJ786">
        <v>1604687755.959522</v>
      </c>
      <c r="AK786">
        <v>11347.5229476</v>
      </c>
    </row>
    <row r="787" spans="1:37" x14ac:dyDescent="0.35">
      <c r="A787" t="s">
        <v>8470</v>
      </c>
      <c r="B787">
        <v>12156.24</v>
      </c>
      <c r="C787" t="s">
        <v>255</v>
      </c>
      <c r="D787" t="s">
        <v>8471</v>
      </c>
      <c r="E787" t="s">
        <v>8472</v>
      </c>
      <c r="F787">
        <v>4.1999999999999998E-5</v>
      </c>
      <c r="G787" t="s">
        <v>8473</v>
      </c>
      <c r="H787">
        <v>0.5</v>
      </c>
      <c r="I787">
        <v>30560.5</v>
      </c>
      <c r="J787" t="s">
        <v>8474</v>
      </c>
      <c r="K787" t="s">
        <v>8475</v>
      </c>
      <c r="L787" t="s">
        <v>8476</v>
      </c>
      <c r="M787" t="s">
        <v>8477</v>
      </c>
      <c r="N787">
        <v>118710.1325836446</v>
      </c>
      <c r="O787">
        <v>120134.6541746483</v>
      </c>
      <c r="P787">
        <v>125780.9829208568</v>
      </c>
      <c r="Q787">
        <v>135843.46155452539</v>
      </c>
      <c r="R787">
        <v>141413.04347826089</v>
      </c>
      <c r="S787" t="s">
        <v>8478</v>
      </c>
      <c r="T787" t="s">
        <v>8479</v>
      </c>
      <c r="U787" t="s">
        <v>8480</v>
      </c>
      <c r="V787" t="s">
        <v>94</v>
      </c>
      <c r="W787">
        <v>265472419.80000001</v>
      </c>
      <c r="X787">
        <v>266439117.80000001</v>
      </c>
      <c r="Y787">
        <v>267499117.80000001</v>
      </c>
      <c r="Z787">
        <v>268599117.80000001</v>
      </c>
      <c r="AA787">
        <v>270179117.80000001</v>
      </c>
      <c r="AB787">
        <v>1323599178.3738761</v>
      </c>
      <c r="AC787">
        <v>11149.8416316</v>
      </c>
      <c r="AD787">
        <v>1344359993.571058</v>
      </c>
      <c r="AE787">
        <v>11190.4429476</v>
      </c>
      <c r="AF787">
        <v>1413144682.628535</v>
      </c>
      <c r="AG787">
        <v>11234.962947599999</v>
      </c>
      <c r="AH787">
        <v>1532472225.162637</v>
      </c>
      <c r="AI787">
        <v>11281.1629476</v>
      </c>
      <c r="AJ787">
        <v>1604687755.959522</v>
      </c>
      <c r="AK787">
        <v>11347.5229476</v>
      </c>
    </row>
    <row r="788" spans="1:37" x14ac:dyDescent="0.35">
      <c r="A788" t="s">
        <v>8481</v>
      </c>
      <c r="B788">
        <v>3214.72</v>
      </c>
      <c r="C788" t="s">
        <v>2883</v>
      </c>
      <c r="D788" t="s">
        <v>8482</v>
      </c>
      <c r="E788" t="s">
        <v>8483</v>
      </c>
      <c r="F788">
        <v>1.0000000000000001E-5</v>
      </c>
      <c r="G788" t="s">
        <v>8484</v>
      </c>
      <c r="H788">
        <v>0.4</v>
      </c>
      <c r="I788">
        <v>520.29999999999995</v>
      </c>
      <c r="J788" t="s">
        <v>8485</v>
      </c>
      <c r="K788" t="s">
        <v>8486</v>
      </c>
      <c r="L788" t="s">
        <v>8487</v>
      </c>
      <c r="M788" t="s">
        <v>8488</v>
      </c>
      <c r="N788">
        <v>125204.97288902799</v>
      </c>
      <c r="O788">
        <v>126707.4325636963</v>
      </c>
      <c r="P788">
        <v>132662.68189419009</v>
      </c>
      <c r="Q788">
        <v>143275.69644572531</v>
      </c>
      <c r="R788">
        <v>149150</v>
      </c>
      <c r="S788" t="s">
        <v>8489</v>
      </c>
      <c r="T788" t="s">
        <v>8490</v>
      </c>
      <c r="U788" t="s">
        <v>8491</v>
      </c>
      <c r="V788" t="s">
        <v>94</v>
      </c>
      <c r="W788">
        <v>265472419.80000001</v>
      </c>
      <c r="X788">
        <v>266439117.80000001</v>
      </c>
      <c r="Y788">
        <v>267499117.80000001</v>
      </c>
      <c r="Z788">
        <v>268599117.80000001</v>
      </c>
      <c r="AA788">
        <v>270179117.80000001</v>
      </c>
      <c r="AB788">
        <v>332384671.23843658</v>
      </c>
      <c r="AC788">
        <v>2654.7241979999999</v>
      </c>
      <c r="AD788">
        <v>337598165.5097425</v>
      </c>
      <c r="AE788">
        <v>2664.3911779999999</v>
      </c>
      <c r="AF788">
        <v>354871503.71677881</v>
      </c>
      <c r="AG788">
        <v>2674.9911780000002</v>
      </c>
      <c r="AH788">
        <v>384837256.67502409</v>
      </c>
      <c r="AI788">
        <v>2685.9911780000002</v>
      </c>
      <c r="AJ788">
        <v>402972154.19870001</v>
      </c>
      <c r="AK788">
        <v>2701.7911779999999</v>
      </c>
    </row>
    <row r="789" spans="1:37" x14ac:dyDescent="0.35">
      <c r="A789" t="s">
        <v>8492</v>
      </c>
      <c r="B789">
        <v>191.82</v>
      </c>
      <c r="C789" t="s">
        <v>1368</v>
      </c>
      <c r="D789" t="s">
        <v>8493</v>
      </c>
      <c r="E789" t="s">
        <v>8494</v>
      </c>
      <c r="F789">
        <v>0.2</v>
      </c>
      <c r="G789" t="s">
        <v>8495</v>
      </c>
      <c r="H789">
        <v>0.25</v>
      </c>
      <c r="I789">
        <v>0</v>
      </c>
      <c r="J789" t="s">
        <v>8496</v>
      </c>
      <c r="K789" t="s">
        <v>8497</v>
      </c>
      <c r="L789" t="s">
        <v>8498</v>
      </c>
      <c r="M789" t="s">
        <v>8499</v>
      </c>
      <c r="N789">
        <v>260.23158964531473</v>
      </c>
      <c r="O789">
        <v>263.35436872105839</v>
      </c>
      <c r="P789">
        <v>275.73202405094821</v>
      </c>
      <c r="Q789">
        <v>297.79058597502399</v>
      </c>
      <c r="R789">
        <v>310</v>
      </c>
      <c r="S789" t="s">
        <v>3777</v>
      </c>
      <c r="T789" t="s">
        <v>8500</v>
      </c>
      <c r="U789" t="s">
        <v>8501</v>
      </c>
      <c r="V789" t="s">
        <v>1017</v>
      </c>
      <c r="W789">
        <v>331357816</v>
      </c>
      <c r="X789">
        <v>331968553.60000002</v>
      </c>
      <c r="Y789">
        <v>333028553.60000002</v>
      </c>
      <c r="Z789">
        <v>334128553.60000002</v>
      </c>
      <c r="AA789">
        <v>336128553.60000002</v>
      </c>
      <c r="AB789">
        <v>17245954239.815941</v>
      </c>
      <c r="AC789">
        <v>66271563.200000003</v>
      </c>
      <c r="AD789">
        <v>17485073773.714169</v>
      </c>
      <c r="AE789">
        <v>66393710.720000014</v>
      </c>
      <c r="AF789">
        <v>18365327430.17754</v>
      </c>
      <c r="AG789">
        <v>66605710.720000014</v>
      </c>
      <c r="AH789">
        <v>19900067553.506248</v>
      </c>
      <c r="AI789">
        <v>66825710.720000014</v>
      </c>
      <c r="AJ789">
        <v>20839970323.200001</v>
      </c>
      <c r="AK789">
        <v>67225710.720000014</v>
      </c>
    </row>
    <row r="790" spans="1:37" x14ac:dyDescent="0.35">
      <c r="A790" t="s">
        <v>8502</v>
      </c>
      <c r="B790">
        <v>280.27</v>
      </c>
      <c r="C790" t="s">
        <v>325</v>
      </c>
      <c r="D790" t="s">
        <v>8503</v>
      </c>
      <c r="E790" t="s">
        <v>8504</v>
      </c>
      <c r="F790">
        <v>0.12</v>
      </c>
      <c r="G790" t="s">
        <v>8505</v>
      </c>
      <c r="H790">
        <v>0.45</v>
      </c>
      <c r="J790" t="s">
        <v>8506</v>
      </c>
      <c r="K790" t="s">
        <v>8507</v>
      </c>
      <c r="L790" t="s">
        <v>8508</v>
      </c>
      <c r="M790" t="s">
        <v>8509</v>
      </c>
      <c r="N790">
        <v>4512.0799817534398</v>
      </c>
      <c r="O790">
        <v>4566.2249415344813</v>
      </c>
      <c r="P790">
        <v>4780.8375137866014</v>
      </c>
      <c r="Q790">
        <v>5163.3045148895299</v>
      </c>
      <c r="R790">
        <v>5375</v>
      </c>
      <c r="S790" t="s">
        <v>2771</v>
      </c>
      <c r="T790" t="s">
        <v>8510</v>
      </c>
      <c r="U790" t="s">
        <v>4167</v>
      </c>
      <c r="V790" t="s">
        <v>94</v>
      </c>
      <c r="W790">
        <v>265472419.80000001</v>
      </c>
      <c r="X790">
        <v>266439117.80000001</v>
      </c>
      <c r="Y790">
        <v>267499117.80000001</v>
      </c>
      <c r="Z790">
        <v>268599117.80000001</v>
      </c>
      <c r="AA790">
        <v>270179117.80000001</v>
      </c>
      <c r="AB790">
        <v>143739934930.4671</v>
      </c>
      <c r="AC790">
        <v>31856690.375999998</v>
      </c>
      <c r="AD790">
        <v>145994513411.85641</v>
      </c>
      <c r="AE790">
        <v>31972694.136</v>
      </c>
      <c r="AF790">
        <v>153464378073.96729</v>
      </c>
      <c r="AG790">
        <v>32099894.136</v>
      </c>
      <c r="AH790">
        <v>166423084515.85019</v>
      </c>
      <c r="AI790">
        <v>32231894.136</v>
      </c>
      <c r="AJ790">
        <v>174265530981</v>
      </c>
      <c r="AK790">
        <v>32421494.136</v>
      </c>
    </row>
    <row r="791" spans="1:37" x14ac:dyDescent="0.35">
      <c r="A791" t="s">
        <v>8511</v>
      </c>
      <c r="B791">
        <v>9603.32</v>
      </c>
      <c r="C791" t="s">
        <v>255</v>
      </c>
      <c r="D791" t="s">
        <v>8512</v>
      </c>
      <c r="E791" t="s">
        <v>8513</v>
      </c>
      <c r="F791">
        <v>4.1999999999999998E-5</v>
      </c>
      <c r="G791" t="s">
        <v>8514</v>
      </c>
      <c r="H791">
        <v>40.5</v>
      </c>
      <c r="I791">
        <v>30405.35</v>
      </c>
      <c r="J791" t="s">
        <v>8515</v>
      </c>
      <c r="K791" t="s">
        <v>8516</v>
      </c>
      <c r="L791" t="s">
        <v>8517</v>
      </c>
      <c r="M791" t="s">
        <v>8518</v>
      </c>
      <c r="N791">
        <v>118710.1325836446</v>
      </c>
      <c r="O791">
        <v>120134.6541746483</v>
      </c>
      <c r="P791">
        <v>125780.9829208568</v>
      </c>
      <c r="Q791">
        <v>135843.46155452539</v>
      </c>
      <c r="R791">
        <v>141413.04347826089</v>
      </c>
      <c r="S791" t="s">
        <v>8519</v>
      </c>
      <c r="T791" t="s">
        <v>8520</v>
      </c>
      <c r="U791" t="s">
        <v>8521</v>
      </c>
      <c r="V791" t="s">
        <v>94</v>
      </c>
      <c r="W791">
        <v>265472419.80000001</v>
      </c>
      <c r="X791">
        <v>266439117.80000001</v>
      </c>
      <c r="Y791">
        <v>267499117.80000001</v>
      </c>
      <c r="Z791">
        <v>268599117.80000001</v>
      </c>
      <c r="AA791">
        <v>270179117.80000001</v>
      </c>
      <c r="AB791">
        <v>1323599178.3738761</v>
      </c>
      <c r="AC791">
        <v>11149.8416316</v>
      </c>
      <c r="AD791">
        <v>1344359993.571058</v>
      </c>
      <c r="AE791">
        <v>11190.4429476</v>
      </c>
      <c r="AF791">
        <v>1413144682.628535</v>
      </c>
      <c r="AG791">
        <v>11234.962947599999</v>
      </c>
      <c r="AH791">
        <v>1532472225.162637</v>
      </c>
      <c r="AI791">
        <v>11281.1629476</v>
      </c>
      <c r="AJ791">
        <v>1604687755.959522</v>
      </c>
      <c r="AK791">
        <v>11347.5229476</v>
      </c>
    </row>
    <row r="792" spans="1:37" x14ac:dyDescent="0.35">
      <c r="A792" t="s">
        <v>8522</v>
      </c>
      <c r="B792">
        <v>15828.31</v>
      </c>
      <c r="C792" t="s">
        <v>360</v>
      </c>
      <c r="D792" t="s">
        <v>8523</v>
      </c>
      <c r="E792" t="s">
        <v>8524</v>
      </c>
      <c r="F792">
        <v>3.4999999999999999E-6</v>
      </c>
      <c r="G792" t="s">
        <v>8525</v>
      </c>
      <c r="H792">
        <v>0.3</v>
      </c>
      <c r="I792">
        <v>0.2</v>
      </c>
      <c r="J792" t="s">
        <v>8526</v>
      </c>
      <c r="K792" t="s">
        <v>8527</v>
      </c>
      <c r="L792" t="s">
        <v>8528</v>
      </c>
      <c r="M792" t="s">
        <v>8529</v>
      </c>
      <c r="N792">
        <v>54010.646702514663</v>
      </c>
      <c r="O792">
        <v>54658.774462944843</v>
      </c>
      <c r="P792">
        <v>57227.736862703241</v>
      </c>
      <c r="Q792">
        <v>61805.955811719497</v>
      </c>
      <c r="R792">
        <v>64340</v>
      </c>
      <c r="S792" t="s">
        <v>8530</v>
      </c>
      <c r="T792" t="s">
        <v>8531</v>
      </c>
      <c r="U792" t="s">
        <v>8532</v>
      </c>
      <c r="V792" t="s">
        <v>49</v>
      </c>
      <c r="W792">
        <v>338996155</v>
      </c>
      <c r="X792">
        <v>339500751</v>
      </c>
      <c r="Y792">
        <v>340560751</v>
      </c>
      <c r="Z792">
        <v>341660751</v>
      </c>
      <c r="AA792">
        <v>343660751</v>
      </c>
      <c r="AB792">
        <v>64082905.464255638</v>
      </c>
      <c r="AC792">
        <v>1186.4865425</v>
      </c>
      <c r="AD792">
        <v>64948432.426182874</v>
      </c>
      <c r="AE792">
        <v>1188.2526284999999</v>
      </c>
      <c r="AF792">
        <v>68213323.653974101</v>
      </c>
      <c r="AG792">
        <v>1191.9626284999999</v>
      </c>
      <c r="AH792">
        <v>73908342.476167142</v>
      </c>
      <c r="AI792">
        <v>1195.8126285000001</v>
      </c>
      <c r="AJ792">
        <v>77388964.517690003</v>
      </c>
      <c r="AK792">
        <v>1202.8126285000001</v>
      </c>
    </row>
    <row r="793" spans="1:37" x14ac:dyDescent="0.35">
      <c r="A793" t="s">
        <v>8533</v>
      </c>
      <c r="B793">
        <v>505.71</v>
      </c>
      <c r="C793" t="s">
        <v>4915</v>
      </c>
      <c r="D793" t="s">
        <v>8534</v>
      </c>
      <c r="E793" t="s">
        <v>8535</v>
      </c>
      <c r="F793">
        <v>1.4999999999999999E-2</v>
      </c>
      <c r="G793" t="s">
        <v>8536</v>
      </c>
      <c r="H793">
        <v>10.3</v>
      </c>
      <c r="I793">
        <v>0.01</v>
      </c>
      <c r="J793" t="s">
        <v>8537</v>
      </c>
      <c r="K793" t="s">
        <v>8538</v>
      </c>
      <c r="L793" t="s">
        <v>8539</v>
      </c>
      <c r="M793" t="s">
        <v>8540</v>
      </c>
      <c r="N793">
        <v>937.39336055032709</v>
      </c>
      <c r="O793">
        <v>948.642080876931</v>
      </c>
      <c r="P793">
        <v>993.22825867814674</v>
      </c>
      <c r="Q793">
        <v>1072.6865193723991</v>
      </c>
      <c r="R793">
        <v>1116.666666666667</v>
      </c>
      <c r="S793" t="s">
        <v>8541</v>
      </c>
      <c r="T793" t="s">
        <v>587</v>
      </c>
      <c r="U793" t="s">
        <v>8542</v>
      </c>
      <c r="V793" t="s">
        <v>4925</v>
      </c>
      <c r="W793">
        <v>151690027.59999999</v>
      </c>
      <c r="X793">
        <v>150864900.80000001</v>
      </c>
      <c r="Y793">
        <v>151924900.80000001</v>
      </c>
      <c r="Z793">
        <v>153024900.80000001</v>
      </c>
      <c r="AA793">
        <v>154604900.80000001</v>
      </c>
      <c r="AB793">
        <v>2132898371.009038</v>
      </c>
      <c r="AC793">
        <v>2275350.4139999999</v>
      </c>
      <c r="AD793">
        <v>2146751901.3930571</v>
      </c>
      <c r="AE793">
        <v>2262973.5120000001</v>
      </c>
      <c r="AF793">
        <v>2263441570.0715132</v>
      </c>
      <c r="AG793">
        <v>2278873.5120000001</v>
      </c>
      <c r="AH793">
        <v>2462216223.2468791</v>
      </c>
      <c r="AI793">
        <v>2295373.5120000001</v>
      </c>
      <c r="AJ793">
        <v>2589632088.400001</v>
      </c>
      <c r="AK793">
        <v>2319073.5120000001</v>
      </c>
    </row>
    <row r="794" spans="1:37" x14ac:dyDescent="0.35">
      <c r="A794" t="s">
        <v>8543</v>
      </c>
      <c r="B794">
        <v>257.83</v>
      </c>
      <c r="C794" t="s">
        <v>4915</v>
      </c>
      <c r="D794" t="s">
        <v>8544</v>
      </c>
      <c r="E794" t="s">
        <v>8545</v>
      </c>
      <c r="F794">
        <v>1.4999999999999999E-2</v>
      </c>
      <c r="G794" t="s">
        <v>8546</v>
      </c>
      <c r="H794">
        <v>0.15</v>
      </c>
      <c r="I794">
        <v>0.01</v>
      </c>
      <c r="J794" t="s">
        <v>8547</v>
      </c>
      <c r="K794" t="s">
        <v>8548</v>
      </c>
      <c r="L794" t="s">
        <v>8549</v>
      </c>
      <c r="M794" t="s">
        <v>8550</v>
      </c>
      <c r="N794">
        <v>937.39336055032709</v>
      </c>
      <c r="O794">
        <v>948.642080876931</v>
      </c>
      <c r="P794">
        <v>993.22825867814674</v>
      </c>
      <c r="Q794">
        <v>1072.6865193723991</v>
      </c>
      <c r="R794">
        <v>1116.666666666667</v>
      </c>
      <c r="S794" t="s">
        <v>8551</v>
      </c>
      <c r="T794" t="s">
        <v>587</v>
      </c>
      <c r="U794" t="s">
        <v>8552</v>
      </c>
      <c r="V794" t="s">
        <v>4925</v>
      </c>
      <c r="W794">
        <v>151690027.59999999</v>
      </c>
      <c r="X794">
        <v>150864900.80000001</v>
      </c>
      <c r="Y794">
        <v>151924900.80000001</v>
      </c>
      <c r="Z794">
        <v>153024900.80000001</v>
      </c>
      <c r="AA794">
        <v>154604900.80000001</v>
      </c>
      <c r="AB794">
        <v>2132898371.009038</v>
      </c>
      <c r="AC794">
        <v>2275350.4139999999</v>
      </c>
      <c r="AD794">
        <v>2146751901.3930571</v>
      </c>
      <c r="AE794">
        <v>2262973.5120000001</v>
      </c>
      <c r="AF794">
        <v>2263441570.0715132</v>
      </c>
      <c r="AG794">
        <v>2278873.5120000001</v>
      </c>
      <c r="AH794">
        <v>2462216223.2468791</v>
      </c>
      <c r="AI794">
        <v>2295373.5120000001</v>
      </c>
      <c r="AJ794">
        <v>2589632088.400001</v>
      </c>
      <c r="AK794">
        <v>2319073.5120000001</v>
      </c>
    </row>
    <row r="795" spans="1:37" x14ac:dyDescent="0.35">
      <c r="A795" t="s">
        <v>8553</v>
      </c>
      <c r="B795">
        <v>659.51</v>
      </c>
      <c r="C795" t="s">
        <v>360</v>
      </c>
      <c r="D795" t="s">
        <v>8554</v>
      </c>
      <c r="E795" t="s">
        <v>8555</v>
      </c>
      <c r="F795">
        <v>3.4999999999999999E-6</v>
      </c>
      <c r="G795" t="s">
        <v>8556</v>
      </c>
      <c r="H795">
        <v>20.3</v>
      </c>
      <c r="I795">
        <v>1.53</v>
      </c>
      <c r="J795" t="s">
        <v>8557</v>
      </c>
      <c r="K795" t="s">
        <v>8558</v>
      </c>
      <c r="L795" t="s">
        <v>8559</v>
      </c>
      <c r="M795" t="s">
        <v>8560</v>
      </c>
      <c r="N795">
        <v>54010.646702514663</v>
      </c>
      <c r="O795">
        <v>54658.774462944843</v>
      </c>
      <c r="P795">
        <v>57227.736862703241</v>
      </c>
      <c r="Q795">
        <v>61805.955811719497</v>
      </c>
      <c r="R795">
        <v>64340</v>
      </c>
      <c r="S795" t="s">
        <v>8561</v>
      </c>
      <c r="T795" t="s">
        <v>8562</v>
      </c>
      <c r="U795" t="s">
        <v>8563</v>
      </c>
      <c r="V795" t="s">
        <v>49</v>
      </c>
      <c r="W795">
        <v>338996155</v>
      </c>
      <c r="X795">
        <v>339500751</v>
      </c>
      <c r="Y795">
        <v>340560751</v>
      </c>
      <c r="Z795">
        <v>341660751</v>
      </c>
      <c r="AA795">
        <v>343660751</v>
      </c>
      <c r="AB795">
        <v>64082905.464255638</v>
      </c>
      <c r="AC795">
        <v>1186.4865425</v>
      </c>
      <c r="AD795">
        <v>64948432.426182874</v>
      </c>
      <c r="AE795">
        <v>1188.2526284999999</v>
      </c>
      <c r="AF795">
        <v>68213323.653974101</v>
      </c>
      <c r="AG795">
        <v>1191.9626284999999</v>
      </c>
      <c r="AH795">
        <v>73908342.476167142</v>
      </c>
      <c r="AI795">
        <v>1195.8126285000001</v>
      </c>
      <c r="AJ795">
        <v>77388964.517690003</v>
      </c>
      <c r="AK795">
        <v>1202.8126285000001</v>
      </c>
    </row>
    <row r="796" spans="1:37" x14ac:dyDescent="0.35">
      <c r="A796" t="s">
        <v>8564</v>
      </c>
      <c r="B796">
        <v>78.900000000000006</v>
      </c>
      <c r="C796" t="s">
        <v>1019</v>
      </c>
      <c r="D796" t="s">
        <v>8565</v>
      </c>
      <c r="E796" t="s">
        <v>8566</v>
      </c>
      <c r="F796">
        <v>0.28999999999999998</v>
      </c>
      <c r="G796" t="s">
        <v>8567</v>
      </c>
      <c r="H796">
        <v>0.25</v>
      </c>
      <c r="I796">
        <v>0.01</v>
      </c>
      <c r="J796" t="s">
        <v>8568</v>
      </c>
      <c r="K796" t="s">
        <v>8569</v>
      </c>
      <c r="L796" t="s">
        <v>8570</v>
      </c>
      <c r="M796" t="s">
        <v>8571</v>
      </c>
      <c r="N796">
        <v>349.3072771403954</v>
      </c>
      <c r="O796">
        <v>353.49896446608022</v>
      </c>
      <c r="P796">
        <v>370.11341579598587</v>
      </c>
      <c r="Q796">
        <v>399.72248905966478</v>
      </c>
      <c r="R796">
        <v>416.11111111111109</v>
      </c>
      <c r="S796" t="s">
        <v>8572</v>
      </c>
      <c r="T796" t="s">
        <v>8573</v>
      </c>
      <c r="U796" t="s">
        <v>8574</v>
      </c>
      <c r="V796" t="s">
        <v>1029</v>
      </c>
      <c r="W796">
        <v>139921842</v>
      </c>
      <c r="X796">
        <v>139603232</v>
      </c>
      <c r="Y796">
        <v>140663232</v>
      </c>
      <c r="Z796">
        <v>141763232</v>
      </c>
      <c r="AA796">
        <v>143763232</v>
      </c>
      <c r="AB796">
        <v>14173958116.0317</v>
      </c>
      <c r="AC796">
        <v>40577334.18</v>
      </c>
      <c r="AD796">
        <v>14311383404.954201</v>
      </c>
      <c r="AE796">
        <v>40484937.279999986</v>
      </c>
      <c r="AF796">
        <v>15097791289.002741</v>
      </c>
      <c r="AG796">
        <v>40792337.279999986</v>
      </c>
      <c r="AH796">
        <v>16433126066.13299</v>
      </c>
      <c r="AI796">
        <v>41111337.279999986</v>
      </c>
      <c r="AJ796">
        <v>17348228679.288891</v>
      </c>
      <c r="AK796">
        <v>41691337.279999986</v>
      </c>
    </row>
    <row r="797" spans="1:37" x14ac:dyDescent="0.35">
      <c r="A797" t="s">
        <v>8575</v>
      </c>
      <c r="B797">
        <v>686.54</v>
      </c>
      <c r="C797" t="s">
        <v>4573</v>
      </c>
      <c r="D797" t="s">
        <v>8576</v>
      </c>
      <c r="E797" t="s">
        <v>8577</v>
      </c>
      <c r="F797">
        <v>5.0000000000000001E-4</v>
      </c>
      <c r="G797" t="s">
        <v>8578</v>
      </c>
      <c r="H797">
        <v>0.2</v>
      </c>
      <c r="I797">
        <v>0.1</v>
      </c>
      <c r="J797" t="s">
        <v>8579</v>
      </c>
      <c r="K797" t="s">
        <v>8580</v>
      </c>
      <c r="L797" t="s">
        <v>8581</v>
      </c>
      <c r="M797" t="s">
        <v>8582</v>
      </c>
      <c r="N797">
        <v>50367.404447480258</v>
      </c>
      <c r="O797">
        <v>50971.813300850023</v>
      </c>
      <c r="P797">
        <v>53367.488525989967</v>
      </c>
      <c r="Q797">
        <v>57636.88760806917</v>
      </c>
      <c r="R797">
        <v>60000</v>
      </c>
      <c r="S797" t="s">
        <v>8583</v>
      </c>
      <c r="T797" t="s">
        <v>8584</v>
      </c>
      <c r="U797" t="s">
        <v>8585</v>
      </c>
      <c r="V797" t="s">
        <v>647</v>
      </c>
      <c r="W797">
        <v>7638338</v>
      </c>
      <c r="X797">
        <v>7532198.4000000004</v>
      </c>
      <c r="Y797">
        <v>7532198.4000000004</v>
      </c>
      <c r="Z797">
        <v>7532198.4000000004</v>
      </c>
      <c r="AA797">
        <v>7532198.4000000004</v>
      </c>
      <c r="AB797">
        <v>192361629.67627871</v>
      </c>
      <c r="AC797">
        <v>3819.1689999999999</v>
      </c>
      <c r="AD797">
        <v>191964905.2948806</v>
      </c>
      <c r="AE797">
        <v>3766.0992000000001</v>
      </c>
      <c r="AF797">
        <v>200987255.84373999</v>
      </c>
      <c r="AG797">
        <v>3766.0992000000001</v>
      </c>
      <c r="AH797">
        <v>217066236.31123921</v>
      </c>
      <c r="AI797">
        <v>3766.0992000000001</v>
      </c>
      <c r="AJ797">
        <v>225965952</v>
      </c>
      <c r="AK797">
        <v>3766.0992000000001</v>
      </c>
    </row>
    <row r="798" spans="1:37" x14ac:dyDescent="0.35">
      <c r="A798" t="s">
        <v>8586</v>
      </c>
      <c r="B798">
        <v>70.94</v>
      </c>
      <c r="C798" t="s">
        <v>1019</v>
      </c>
      <c r="D798" t="s">
        <v>8587</v>
      </c>
      <c r="E798" t="s">
        <v>5729</v>
      </c>
      <c r="F798">
        <v>0.28999999999999998</v>
      </c>
      <c r="G798" t="s">
        <v>8588</v>
      </c>
      <c r="H798">
        <v>0.2</v>
      </c>
      <c r="I798">
        <v>0.01</v>
      </c>
      <c r="J798" t="s">
        <v>8589</v>
      </c>
      <c r="K798" t="s">
        <v>8590</v>
      </c>
      <c r="L798" t="s">
        <v>8591</v>
      </c>
      <c r="M798" t="s">
        <v>8592</v>
      </c>
      <c r="N798">
        <v>349.3072771403954</v>
      </c>
      <c r="O798">
        <v>353.49896446608022</v>
      </c>
      <c r="P798">
        <v>370.11341579598587</v>
      </c>
      <c r="Q798">
        <v>399.72248905966478</v>
      </c>
      <c r="R798">
        <v>416.11111111111109</v>
      </c>
      <c r="S798" t="s">
        <v>8593</v>
      </c>
      <c r="T798" t="s">
        <v>8594</v>
      </c>
      <c r="U798" t="s">
        <v>8595</v>
      </c>
      <c r="V798" t="s">
        <v>1029</v>
      </c>
      <c r="W798">
        <v>139921842</v>
      </c>
      <c r="X798">
        <v>139603232</v>
      </c>
      <c r="Y798">
        <v>140663232</v>
      </c>
      <c r="Z798">
        <v>141763232</v>
      </c>
      <c r="AA798">
        <v>143763232</v>
      </c>
      <c r="AB798">
        <v>14173958116.0317</v>
      </c>
      <c r="AC798">
        <v>40577334.18</v>
      </c>
      <c r="AD798">
        <v>14311383404.954201</v>
      </c>
      <c r="AE798">
        <v>40484937.279999986</v>
      </c>
      <c r="AF798">
        <v>15097791289.002741</v>
      </c>
      <c r="AG798">
        <v>40792337.279999986</v>
      </c>
      <c r="AH798">
        <v>16433126066.13299</v>
      </c>
      <c r="AI798">
        <v>41111337.279999986</v>
      </c>
      <c r="AJ798">
        <v>17348228679.288891</v>
      </c>
      <c r="AK798">
        <v>41691337.279999986</v>
      </c>
    </row>
    <row r="799" spans="1:37" x14ac:dyDescent="0.35">
      <c r="A799" t="s">
        <v>8596</v>
      </c>
      <c r="B799">
        <v>263.8</v>
      </c>
      <c r="C799" t="s">
        <v>360</v>
      </c>
      <c r="D799" t="s">
        <v>8597</v>
      </c>
      <c r="E799" t="s">
        <v>8598</v>
      </c>
      <c r="F799">
        <v>3.4999999999999999E-6</v>
      </c>
      <c r="G799" t="s">
        <v>8599</v>
      </c>
      <c r="H799">
        <v>0.3</v>
      </c>
      <c r="I799">
        <v>0.23</v>
      </c>
      <c r="J799" t="s">
        <v>8600</v>
      </c>
      <c r="K799" t="s">
        <v>8601</v>
      </c>
      <c r="L799" t="s">
        <v>8602</v>
      </c>
      <c r="M799" t="s">
        <v>8603</v>
      </c>
      <c r="N799">
        <v>54010.646702514663</v>
      </c>
      <c r="O799">
        <v>54658.774462944843</v>
      </c>
      <c r="P799">
        <v>57227.736862703241</v>
      </c>
      <c r="Q799">
        <v>61805.955811719497</v>
      </c>
      <c r="R799">
        <v>64340</v>
      </c>
      <c r="S799" t="s">
        <v>8604</v>
      </c>
      <c r="T799" t="s">
        <v>8605</v>
      </c>
      <c r="U799" t="s">
        <v>8606</v>
      </c>
      <c r="V799" t="s">
        <v>49</v>
      </c>
      <c r="W799">
        <v>338996155</v>
      </c>
      <c r="X799">
        <v>339500751</v>
      </c>
      <c r="Y799">
        <v>340560751</v>
      </c>
      <c r="Z799">
        <v>341660751</v>
      </c>
      <c r="AA799">
        <v>343660751</v>
      </c>
      <c r="AB799">
        <v>64082905.464255638</v>
      </c>
      <c r="AC799">
        <v>1186.4865425</v>
      </c>
      <c r="AD799">
        <v>64948432.426182874</v>
      </c>
      <c r="AE799">
        <v>1188.2526284999999</v>
      </c>
      <c r="AF799">
        <v>68213323.653974101</v>
      </c>
      <c r="AG799">
        <v>1191.9626284999999</v>
      </c>
      <c r="AH799">
        <v>73908342.476167142</v>
      </c>
      <c r="AI799">
        <v>1195.8126285000001</v>
      </c>
      <c r="AJ799">
        <v>77388964.517690003</v>
      </c>
      <c r="AK799">
        <v>1202.8126285000001</v>
      </c>
    </row>
    <row r="800" spans="1:37" x14ac:dyDescent="0.35">
      <c r="A800" t="s">
        <v>8607</v>
      </c>
      <c r="B800">
        <v>395.73</v>
      </c>
      <c r="C800" t="s">
        <v>360</v>
      </c>
      <c r="D800" t="s">
        <v>8608</v>
      </c>
      <c r="E800" t="s">
        <v>8609</v>
      </c>
      <c r="F800">
        <v>3.4999999999999999E-6</v>
      </c>
      <c r="G800" t="s">
        <v>8610</v>
      </c>
      <c r="H800">
        <v>0.3</v>
      </c>
      <c r="I800">
        <v>0.23</v>
      </c>
      <c r="J800" t="s">
        <v>8611</v>
      </c>
      <c r="K800" t="s">
        <v>8612</v>
      </c>
      <c r="L800" t="s">
        <v>8613</v>
      </c>
      <c r="M800" t="s">
        <v>8614</v>
      </c>
      <c r="N800">
        <v>54010.646702514663</v>
      </c>
      <c r="O800">
        <v>54658.774462944843</v>
      </c>
      <c r="P800">
        <v>57227.736862703241</v>
      </c>
      <c r="Q800">
        <v>61805.955811719497</v>
      </c>
      <c r="R800">
        <v>64340</v>
      </c>
      <c r="S800" t="s">
        <v>8615</v>
      </c>
      <c r="T800" t="s">
        <v>8616</v>
      </c>
      <c r="U800" t="s">
        <v>8617</v>
      </c>
      <c r="V800" t="s">
        <v>49</v>
      </c>
      <c r="W800">
        <v>338996155</v>
      </c>
      <c r="X800">
        <v>339500751</v>
      </c>
      <c r="Y800">
        <v>340560751</v>
      </c>
      <c r="Z800">
        <v>341660751</v>
      </c>
      <c r="AA800">
        <v>343660751</v>
      </c>
      <c r="AB800">
        <v>64082905.464255638</v>
      </c>
      <c r="AC800">
        <v>1186.4865425</v>
      </c>
      <c r="AD800">
        <v>64948432.426182874</v>
      </c>
      <c r="AE800">
        <v>1188.2526284999999</v>
      </c>
      <c r="AF800">
        <v>68213323.653974101</v>
      </c>
      <c r="AG800">
        <v>1191.9626284999999</v>
      </c>
      <c r="AH800">
        <v>73908342.476167142</v>
      </c>
      <c r="AI800">
        <v>1195.8126285000001</v>
      </c>
      <c r="AJ800">
        <v>77388964.517690003</v>
      </c>
      <c r="AK800">
        <v>1202.8126285000001</v>
      </c>
    </row>
    <row r="801" spans="1:37" x14ac:dyDescent="0.35">
      <c r="A801" t="s">
        <v>8618</v>
      </c>
      <c r="B801">
        <v>19785.3</v>
      </c>
      <c r="C801" t="s">
        <v>360</v>
      </c>
      <c r="D801" t="s">
        <v>8619</v>
      </c>
      <c r="E801" t="s">
        <v>8620</v>
      </c>
      <c r="F801">
        <v>3.4999999999999999E-6</v>
      </c>
      <c r="G801" t="s">
        <v>8621</v>
      </c>
      <c r="H801">
        <v>0.5</v>
      </c>
      <c r="I801">
        <v>0.1</v>
      </c>
      <c r="J801" t="s">
        <v>8622</v>
      </c>
      <c r="K801" t="s">
        <v>8623</v>
      </c>
      <c r="L801" t="s">
        <v>8624</v>
      </c>
      <c r="M801" t="s">
        <v>8625</v>
      </c>
      <c r="N801">
        <v>54010.646702514663</v>
      </c>
      <c r="O801">
        <v>54658.774462944843</v>
      </c>
      <c r="P801">
        <v>57227.736862703241</v>
      </c>
      <c r="Q801">
        <v>61805.955811719497</v>
      </c>
      <c r="R801">
        <v>64340</v>
      </c>
      <c r="S801" t="s">
        <v>8626</v>
      </c>
      <c r="T801" t="s">
        <v>8627</v>
      </c>
      <c r="U801" t="s">
        <v>8628</v>
      </c>
      <c r="V801" t="s">
        <v>49</v>
      </c>
      <c r="W801">
        <v>338996155</v>
      </c>
      <c r="X801">
        <v>339500751</v>
      </c>
      <c r="Y801">
        <v>340560751</v>
      </c>
      <c r="Z801">
        <v>341660751</v>
      </c>
      <c r="AA801">
        <v>343660751</v>
      </c>
      <c r="AB801">
        <v>64082905.464255638</v>
      </c>
      <c r="AC801">
        <v>1186.4865425</v>
      </c>
      <c r="AD801">
        <v>64948432.426182874</v>
      </c>
      <c r="AE801">
        <v>1188.2526284999999</v>
      </c>
      <c r="AF801">
        <v>68213323.653974101</v>
      </c>
      <c r="AG801">
        <v>1191.9626284999999</v>
      </c>
      <c r="AH801">
        <v>73908342.476167142</v>
      </c>
      <c r="AI801">
        <v>1195.8126285000001</v>
      </c>
      <c r="AJ801">
        <v>77388964.517690003</v>
      </c>
      <c r="AK801">
        <v>1202.8126285000001</v>
      </c>
    </row>
    <row r="802" spans="1:37" x14ac:dyDescent="0.35">
      <c r="A802" t="s">
        <v>8629</v>
      </c>
      <c r="B802">
        <v>791.41</v>
      </c>
      <c r="C802" t="s">
        <v>360</v>
      </c>
      <c r="D802" t="s">
        <v>8630</v>
      </c>
      <c r="E802" t="s">
        <v>8631</v>
      </c>
      <c r="F802">
        <v>3.4999999999999999E-6</v>
      </c>
      <c r="G802" t="s">
        <v>8632</v>
      </c>
      <c r="H802">
        <v>0.4</v>
      </c>
      <c r="I802">
        <v>0.3</v>
      </c>
      <c r="J802" t="s">
        <v>8633</v>
      </c>
      <c r="K802" t="s">
        <v>8634</v>
      </c>
      <c r="L802" t="s">
        <v>8635</v>
      </c>
      <c r="M802" t="s">
        <v>8636</v>
      </c>
      <c r="N802">
        <v>54010.646702514663</v>
      </c>
      <c r="O802">
        <v>54658.774462944843</v>
      </c>
      <c r="P802">
        <v>57227.736862703241</v>
      </c>
      <c r="Q802">
        <v>61805.955811719497</v>
      </c>
      <c r="R802">
        <v>64340</v>
      </c>
      <c r="S802" t="s">
        <v>8637</v>
      </c>
      <c r="T802" t="s">
        <v>8638</v>
      </c>
      <c r="U802" t="s">
        <v>8639</v>
      </c>
      <c r="V802" t="s">
        <v>49</v>
      </c>
      <c r="W802">
        <v>338996155</v>
      </c>
      <c r="X802">
        <v>339500751</v>
      </c>
      <c r="Y802">
        <v>340560751</v>
      </c>
      <c r="Z802">
        <v>341660751</v>
      </c>
      <c r="AA802">
        <v>343660751</v>
      </c>
      <c r="AB802">
        <v>64082905.464255638</v>
      </c>
      <c r="AC802">
        <v>1186.4865425</v>
      </c>
      <c r="AD802">
        <v>64948432.426182874</v>
      </c>
      <c r="AE802">
        <v>1188.2526284999999</v>
      </c>
      <c r="AF802">
        <v>68213323.653974101</v>
      </c>
      <c r="AG802">
        <v>1191.9626284999999</v>
      </c>
      <c r="AH802">
        <v>73908342.476167142</v>
      </c>
      <c r="AI802">
        <v>1195.8126285000001</v>
      </c>
      <c r="AJ802">
        <v>77388964.517690003</v>
      </c>
      <c r="AK802">
        <v>1202.8126285000001</v>
      </c>
    </row>
    <row r="803" spans="1:37" x14ac:dyDescent="0.35">
      <c r="A803" t="s">
        <v>8640</v>
      </c>
      <c r="B803">
        <v>23742.29</v>
      </c>
      <c r="C803" t="s">
        <v>360</v>
      </c>
      <c r="D803" t="s">
        <v>8641</v>
      </c>
      <c r="E803" t="s">
        <v>8555</v>
      </c>
      <c r="F803">
        <v>3.4999999999999999E-6</v>
      </c>
      <c r="G803" t="s">
        <v>8642</v>
      </c>
      <c r="H803">
        <v>0.4</v>
      </c>
      <c r="I803">
        <v>0.3</v>
      </c>
      <c r="J803" t="s">
        <v>8643</v>
      </c>
      <c r="K803" t="s">
        <v>8644</v>
      </c>
      <c r="L803" t="s">
        <v>8645</v>
      </c>
      <c r="M803" t="s">
        <v>8646</v>
      </c>
      <c r="N803">
        <v>54010.646702514663</v>
      </c>
      <c r="O803">
        <v>54658.774462944843</v>
      </c>
      <c r="P803">
        <v>57227.736862703241</v>
      </c>
      <c r="Q803">
        <v>61805.955811719497</v>
      </c>
      <c r="R803">
        <v>64340</v>
      </c>
      <c r="S803" t="s">
        <v>8647</v>
      </c>
      <c r="T803" t="s">
        <v>8648</v>
      </c>
      <c r="U803" t="s">
        <v>8649</v>
      </c>
      <c r="V803" t="s">
        <v>49</v>
      </c>
      <c r="W803">
        <v>338996155</v>
      </c>
      <c r="X803">
        <v>339500751</v>
      </c>
      <c r="Y803">
        <v>340560751</v>
      </c>
      <c r="Z803">
        <v>341660751</v>
      </c>
      <c r="AA803">
        <v>343660751</v>
      </c>
      <c r="AB803">
        <v>64082905.464255638</v>
      </c>
      <c r="AC803">
        <v>1186.4865425</v>
      </c>
      <c r="AD803">
        <v>64948432.426182874</v>
      </c>
      <c r="AE803">
        <v>1188.2526284999999</v>
      </c>
      <c r="AF803">
        <v>68213323.653974101</v>
      </c>
      <c r="AG803">
        <v>1191.9626284999999</v>
      </c>
      <c r="AH803">
        <v>73908342.476167142</v>
      </c>
      <c r="AI803">
        <v>1195.8126285000001</v>
      </c>
      <c r="AJ803">
        <v>77388964.517690003</v>
      </c>
      <c r="AK803">
        <v>1202.8126285000001</v>
      </c>
    </row>
    <row r="804" spans="1:37" x14ac:dyDescent="0.35">
      <c r="A804" t="s">
        <v>8650</v>
      </c>
      <c r="B804">
        <v>19052.54</v>
      </c>
      <c r="C804" t="s">
        <v>8651</v>
      </c>
      <c r="D804" t="s">
        <v>8652</v>
      </c>
      <c r="E804" t="s">
        <v>8653</v>
      </c>
      <c r="F804">
        <v>3.9999999999999998E-6</v>
      </c>
      <c r="G804" t="s">
        <v>8654</v>
      </c>
      <c r="H804">
        <v>0.7</v>
      </c>
      <c r="I804">
        <v>10.199999999999999</v>
      </c>
      <c r="J804" t="s">
        <v>8655</v>
      </c>
      <c r="K804" t="s">
        <v>8656</v>
      </c>
      <c r="L804" t="s">
        <v>8657</v>
      </c>
      <c r="M804" t="s">
        <v>8658</v>
      </c>
      <c r="N804">
        <v>209864.18519783439</v>
      </c>
      <c r="O804">
        <v>212382.5554202084</v>
      </c>
      <c r="P804">
        <v>222364.53552495819</v>
      </c>
      <c r="Q804">
        <v>240153.69836695489</v>
      </c>
      <c r="R804">
        <v>250000</v>
      </c>
      <c r="S804" t="s">
        <v>8659</v>
      </c>
      <c r="T804" t="s">
        <v>8660</v>
      </c>
      <c r="U804" t="s">
        <v>8661</v>
      </c>
      <c r="V804" t="s">
        <v>49</v>
      </c>
      <c r="W804">
        <v>338996155</v>
      </c>
      <c r="X804">
        <v>339500751</v>
      </c>
      <c r="Y804">
        <v>340560751</v>
      </c>
      <c r="Z804">
        <v>341660751</v>
      </c>
      <c r="AA804">
        <v>343660751</v>
      </c>
      <c r="AB804">
        <v>284572607.41709512</v>
      </c>
      <c r="AC804">
        <v>1355.9846199999999</v>
      </c>
      <c r="AD804">
        <v>288416148.2578395</v>
      </c>
      <c r="AE804">
        <v>1358.0030039999999</v>
      </c>
      <c r="AF804">
        <v>302914532.85658377</v>
      </c>
      <c r="AG804">
        <v>1362.2430039999999</v>
      </c>
      <c r="AH804">
        <v>328204371.75792509</v>
      </c>
      <c r="AI804">
        <v>1366.643004</v>
      </c>
      <c r="AJ804">
        <v>343660751</v>
      </c>
      <c r="AK804">
        <v>1374.643004</v>
      </c>
    </row>
    <row r="805" spans="1:37" x14ac:dyDescent="0.35">
      <c r="A805" t="s">
        <v>8662</v>
      </c>
      <c r="B805">
        <v>180.98</v>
      </c>
      <c r="C805" t="s">
        <v>1019</v>
      </c>
      <c r="D805" t="s">
        <v>8663</v>
      </c>
      <c r="E805" t="s">
        <v>8664</v>
      </c>
      <c r="F805">
        <v>0.28999999999999998</v>
      </c>
      <c r="G805" t="s">
        <v>8665</v>
      </c>
      <c r="H805">
        <v>0.25</v>
      </c>
      <c r="I805">
        <v>0</v>
      </c>
      <c r="J805" t="s">
        <v>8666</v>
      </c>
      <c r="K805" t="s">
        <v>8667</v>
      </c>
      <c r="L805" t="s">
        <v>8668</v>
      </c>
      <c r="M805" t="s">
        <v>8669</v>
      </c>
      <c r="N805">
        <v>349.3072771403954</v>
      </c>
      <c r="O805">
        <v>353.49896446608022</v>
      </c>
      <c r="P805">
        <v>370.11341579598587</v>
      </c>
      <c r="Q805">
        <v>399.72248905966478</v>
      </c>
      <c r="R805">
        <v>416.11111111111109</v>
      </c>
      <c r="S805" t="s">
        <v>8670</v>
      </c>
      <c r="T805" t="s">
        <v>587</v>
      </c>
      <c r="U805" t="s">
        <v>8671</v>
      </c>
      <c r="V805" t="s">
        <v>1029</v>
      </c>
      <c r="W805">
        <v>139921842</v>
      </c>
      <c r="X805">
        <v>139603232</v>
      </c>
      <c r="Y805">
        <v>140663232</v>
      </c>
      <c r="Z805">
        <v>141763232</v>
      </c>
      <c r="AA805">
        <v>143763232</v>
      </c>
      <c r="AB805">
        <v>14173958116.0317</v>
      </c>
      <c r="AC805">
        <v>40577334.18</v>
      </c>
      <c r="AD805">
        <v>14311383404.954201</v>
      </c>
      <c r="AE805">
        <v>40484937.279999986</v>
      </c>
      <c r="AF805">
        <v>15097791289.002741</v>
      </c>
      <c r="AG805">
        <v>40792337.279999986</v>
      </c>
      <c r="AH805">
        <v>16433126066.13299</v>
      </c>
      <c r="AI805">
        <v>41111337.279999986</v>
      </c>
      <c r="AJ805">
        <v>17348228679.288891</v>
      </c>
      <c r="AK805">
        <v>41691337.279999986</v>
      </c>
    </row>
    <row r="806" spans="1:37" x14ac:dyDescent="0.35">
      <c r="A806" t="s">
        <v>8672</v>
      </c>
      <c r="B806">
        <v>38.53</v>
      </c>
      <c r="C806" t="s">
        <v>255</v>
      </c>
      <c r="D806" t="s">
        <v>8673</v>
      </c>
      <c r="E806" t="s">
        <v>8674</v>
      </c>
      <c r="F806">
        <v>4.1999999999999998E-5</v>
      </c>
      <c r="G806" t="s">
        <v>8675</v>
      </c>
      <c r="H806">
        <v>0.5</v>
      </c>
      <c r="I806">
        <v>527.73</v>
      </c>
      <c r="J806" t="s">
        <v>8676</v>
      </c>
      <c r="K806" t="s">
        <v>8677</v>
      </c>
      <c r="L806" t="s">
        <v>8678</v>
      </c>
      <c r="M806" t="s">
        <v>8679</v>
      </c>
      <c r="N806">
        <v>118710.1325836446</v>
      </c>
      <c r="O806">
        <v>120134.6541746483</v>
      </c>
      <c r="P806">
        <v>125780.9829208568</v>
      </c>
      <c r="Q806">
        <v>135843.46155452539</v>
      </c>
      <c r="R806">
        <v>141413.04347826089</v>
      </c>
      <c r="S806" t="s">
        <v>8680</v>
      </c>
      <c r="T806" t="s">
        <v>8681</v>
      </c>
      <c r="U806" t="s">
        <v>8682</v>
      </c>
      <c r="V806" t="s">
        <v>94</v>
      </c>
      <c r="W806">
        <v>265472419.80000001</v>
      </c>
      <c r="X806">
        <v>266439117.80000001</v>
      </c>
      <c r="Y806">
        <v>267499117.80000001</v>
      </c>
      <c r="Z806">
        <v>268599117.80000001</v>
      </c>
      <c r="AA806">
        <v>270179117.80000001</v>
      </c>
      <c r="AB806">
        <v>1323599178.3738761</v>
      </c>
      <c r="AC806">
        <v>11149.8416316</v>
      </c>
      <c r="AD806">
        <v>1344359993.571058</v>
      </c>
      <c r="AE806">
        <v>11190.4429476</v>
      </c>
      <c r="AF806">
        <v>1413144682.628535</v>
      </c>
      <c r="AG806">
        <v>11234.962947599999</v>
      </c>
      <c r="AH806">
        <v>1532472225.162637</v>
      </c>
      <c r="AI806">
        <v>11281.1629476</v>
      </c>
      <c r="AJ806">
        <v>1604687755.959522</v>
      </c>
      <c r="AK806">
        <v>11347.5229476</v>
      </c>
    </row>
    <row r="807" spans="1:37" x14ac:dyDescent="0.35">
      <c r="A807" t="s">
        <v>8683</v>
      </c>
      <c r="B807">
        <v>77.069999999999993</v>
      </c>
      <c r="C807" t="s">
        <v>255</v>
      </c>
      <c r="D807" t="s">
        <v>8684</v>
      </c>
      <c r="E807" t="s">
        <v>8685</v>
      </c>
      <c r="F807">
        <v>4.1999999999999998E-5</v>
      </c>
      <c r="G807" t="s">
        <v>8686</v>
      </c>
      <c r="H807">
        <v>0.5</v>
      </c>
      <c r="I807">
        <v>255.25</v>
      </c>
      <c r="J807" t="s">
        <v>8687</v>
      </c>
      <c r="K807" t="s">
        <v>8688</v>
      </c>
      <c r="L807" t="s">
        <v>8689</v>
      </c>
      <c r="M807" t="s">
        <v>8690</v>
      </c>
      <c r="N807">
        <v>118710.1325836446</v>
      </c>
      <c r="O807">
        <v>120134.6541746483</v>
      </c>
      <c r="P807">
        <v>125780.9829208568</v>
      </c>
      <c r="Q807">
        <v>135843.46155452539</v>
      </c>
      <c r="R807">
        <v>141413.04347826089</v>
      </c>
      <c r="S807" t="s">
        <v>8691</v>
      </c>
      <c r="T807" t="s">
        <v>8692</v>
      </c>
      <c r="U807" t="s">
        <v>7984</v>
      </c>
      <c r="V807" t="s">
        <v>94</v>
      </c>
      <c r="W807">
        <v>265472419.80000001</v>
      </c>
      <c r="X807">
        <v>266439117.80000001</v>
      </c>
      <c r="Y807">
        <v>267499117.80000001</v>
      </c>
      <c r="Z807">
        <v>268599117.80000001</v>
      </c>
      <c r="AA807">
        <v>270179117.80000001</v>
      </c>
      <c r="AB807">
        <v>1323599178.3738761</v>
      </c>
      <c r="AC807">
        <v>11149.8416316</v>
      </c>
      <c r="AD807">
        <v>1344359993.571058</v>
      </c>
      <c r="AE807">
        <v>11190.4429476</v>
      </c>
      <c r="AF807">
        <v>1413144682.628535</v>
      </c>
      <c r="AG807">
        <v>11234.962947599999</v>
      </c>
      <c r="AH807">
        <v>1532472225.162637</v>
      </c>
      <c r="AI807">
        <v>11281.1629476</v>
      </c>
      <c r="AJ807">
        <v>1604687755.959522</v>
      </c>
      <c r="AK807">
        <v>11347.5229476</v>
      </c>
    </row>
    <row r="808" spans="1:37" x14ac:dyDescent="0.35">
      <c r="A808" t="s">
        <v>8693</v>
      </c>
      <c r="B808">
        <v>154.12</v>
      </c>
      <c r="C808" t="s">
        <v>255</v>
      </c>
      <c r="D808" t="s">
        <v>8694</v>
      </c>
      <c r="E808" t="s">
        <v>8695</v>
      </c>
      <c r="F808">
        <v>4.1999999999999998E-5</v>
      </c>
      <c r="G808" t="s">
        <v>8696</v>
      </c>
      <c r="H808">
        <v>0.8</v>
      </c>
      <c r="I808">
        <v>25.3</v>
      </c>
      <c r="J808" t="s">
        <v>8697</v>
      </c>
      <c r="K808" t="s">
        <v>8698</v>
      </c>
      <c r="L808" t="s">
        <v>8699</v>
      </c>
      <c r="M808" t="s">
        <v>8700</v>
      </c>
      <c r="N808">
        <v>118710.1325836446</v>
      </c>
      <c r="O808">
        <v>120134.6541746483</v>
      </c>
      <c r="P808">
        <v>125780.9829208568</v>
      </c>
      <c r="Q808">
        <v>135843.46155452539</v>
      </c>
      <c r="R808">
        <v>141413.04347826089</v>
      </c>
      <c r="S808" t="s">
        <v>8701</v>
      </c>
      <c r="T808" t="s">
        <v>8702</v>
      </c>
      <c r="U808" t="s">
        <v>8703</v>
      </c>
      <c r="V808" t="s">
        <v>94</v>
      </c>
      <c r="W808">
        <v>265472419.80000001</v>
      </c>
      <c r="X808">
        <v>266439117.80000001</v>
      </c>
      <c r="Y808">
        <v>267499117.80000001</v>
      </c>
      <c r="Z808">
        <v>268599117.80000001</v>
      </c>
      <c r="AA808">
        <v>270179117.80000001</v>
      </c>
      <c r="AB808">
        <v>1323599178.3738761</v>
      </c>
      <c r="AC808">
        <v>11149.8416316</v>
      </c>
      <c r="AD808">
        <v>1344359993.571058</v>
      </c>
      <c r="AE808">
        <v>11190.4429476</v>
      </c>
      <c r="AF808">
        <v>1413144682.628535</v>
      </c>
      <c r="AG808">
        <v>11234.962947599999</v>
      </c>
      <c r="AH808">
        <v>1532472225.162637</v>
      </c>
      <c r="AI808">
        <v>11281.1629476</v>
      </c>
      <c r="AJ808">
        <v>1604687755.959522</v>
      </c>
      <c r="AK808">
        <v>11347.5229476</v>
      </c>
    </row>
    <row r="809" spans="1:37" x14ac:dyDescent="0.35">
      <c r="A809" t="s">
        <v>8704</v>
      </c>
      <c r="B809">
        <v>296.86</v>
      </c>
      <c r="C809" t="s">
        <v>1614</v>
      </c>
      <c r="D809" t="s">
        <v>8705</v>
      </c>
      <c r="E809" t="s">
        <v>8706</v>
      </c>
      <c r="F809">
        <v>0.05</v>
      </c>
      <c r="G809" t="s">
        <v>8707</v>
      </c>
      <c r="H809">
        <v>0.2</v>
      </c>
      <c r="I809">
        <v>0.01</v>
      </c>
      <c r="J809" t="s">
        <v>8708</v>
      </c>
      <c r="K809" t="s">
        <v>8709</v>
      </c>
      <c r="L809" t="s">
        <v>8710</v>
      </c>
      <c r="M809" t="s">
        <v>8711</v>
      </c>
      <c r="N809">
        <v>67.15653926330701</v>
      </c>
      <c r="O809">
        <v>67.962417734466698</v>
      </c>
      <c r="P809">
        <v>71.156651367986626</v>
      </c>
      <c r="Q809">
        <v>76.849183477425555</v>
      </c>
      <c r="R809">
        <v>80</v>
      </c>
      <c r="S809" t="s">
        <v>6323</v>
      </c>
      <c r="T809" t="s">
        <v>8712</v>
      </c>
      <c r="U809" t="s">
        <v>8713</v>
      </c>
      <c r="V809" t="s">
        <v>1017</v>
      </c>
      <c r="W809">
        <v>331357816</v>
      </c>
      <c r="X809">
        <v>331968553.60000002</v>
      </c>
      <c r="Y809">
        <v>333028553.60000002</v>
      </c>
      <c r="Z809">
        <v>334128553.60000002</v>
      </c>
      <c r="AA809">
        <v>336128553.60000002</v>
      </c>
      <c r="AB809">
        <v>1112642209.0203829</v>
      </c>
      <c r="AC809">
        <v>16567890.800000001</v>
      </c>
      <c r="AD809">
        <v>1128069275.723495</v>
      </c>
      <c r="AE809">
        <v>16598427.68</v>
      </c>
      <c r="AF809">
        <v>1184859834.205003</v>
      </c>
      <c r="AG809">
        <v>16651427.68</v>
      </c>
      <c r="AH809">
        <v>1283875326.032661</v>
      </c>
      <c r="AI809">
        <v>16706427.68</v>
      </c>
      <c r="AJ809">
        <v>1344514214.4000001</v>
      </c>
      <c r="AK809">
        <v>16806427.68</v>
      </c>
    </row>
    <row r="810" spans="1:37" x14ac:dyDescent="0.35">
      <c r="A810" t="s">
        <v>8714</v>
      </c>
      <c r="B810">
        <v>266.77999999999997</v>
      </c>
      <c r="C810" t="s">
        <v>8715</v>
      </c>
      <c r="D810" t="s">
        <v>8716</v>
      </c>
      <c r="E810" t="s">
        <v>8717</v>
      </c>
      <c r="F810">
        <v>5.0000000000000001E-3</v>
      </c>
      <c r="G810" t="s">
        <v>8718</v>
      </c>
      <c r="H810">
        <v>40.1</v>
      </c>
      <c r="I810">
        <v>55.05</v>
      </c>
      <c r="J810" t="s">
        <v>8719</v>
      </c>
      <c r="K810" t="s">
        <v>8720</v>
      </c>
      <c r="L810" t="s">
        <v>8721</v>
      </c>
      <c r="M810" t="s">
        <v>8722</v>
      </c>
      <c r="N810">
        <v>335.78269631653501</v>
      </c>
      <c r="O810">
        <v>339.81208867233352</v>
      </c>
      <c r="P810">
        <v>355.78325683993307</v>
      </c>
      <c r="Q810">
        <v>384.2459173871278</v>
      </c>
      <c r="R810">
        <v>400</v>
      </c>
      <c r="S810" t="s">
        <v>8723</v>
      </c>
      <c r="T810" t="s">
        <v>8724</v>
      </c>
      <c r="U810" t="s">
        <v>8725</v>
      </c>
      <c r="V810" t="s">
        <v>94</v>
      </c>
      <c r="W810">
        <v>265472419.80000001</v>
      </c>
      <c r="X810">
        <v>266439117.80000001</v>
      </c>
      <c r="Y810">
        <v>267499117.80000001</v>
      </c>
      <c r="Z810">
        <v>268599117.80000001</v>
      </c>
      <c r="AA810">
        <v>270179117.80000001</v>
      </c>
      <c r="AB810">
        <v>445705224.59059548</v>
      </c>
      <c r="AC810">
        <v>1327362.0989999999</v>
      </c>
      <c r="AD810">
        <v>452696165.61815947</v>
      </c>
      <c r="AE810">
        <v>1332195.5889999999</v>
      </c>
      <c r="AF810">
        <v>475858536.66346473</v>
      </c>
      <c r="AG810">
        <v>1337495.5889999999</v>
      </c>
      <c r="AH810">
        <v>516040572.14217108</v>
      </c>
      <c r="AI810">
        <v>1342995.5889999999</v>
      </c>
      <c r="AJ810">
        <v>540358235.60000002</v>
      </c>
      <c r="AK810">
        <v>1350895.5889999999</v>
      </c>
    </row>
    <row r="811" spans="1:37" x14ac:dyDescent="0.35">
      <c r="A811" t="s">
        <v>8726</v>
      </c>
      <c r="B811">
        <v>427.55</v>
      </c>
      <c r="C811" t="s">
        <v>2436</v>
      </c>
      <c r="D811" t="s">
        <v>8727</v>
      </c>
      <c r="E811" t="s">
        <v>8728</v>
      </c>
      <c r="F811">
        <v>1.4999999999999999E-2</v>
      </c>
      <c r="G811" t="s">
        <v>8729</v>
      </c>
      <c r="H811">
        <v>0.3</v>
      </c>
      <c r="I811">
        <v>0.26</v>
      </c>
      <c r="J811" t="s">
        <v>8730</v>
      </c>
      <c r="K811" t="s">
        <v>8731</v>
      </c>
      <c r="L811" t="s">
        <v>8732</v>
      </c>
      <c r="M811" t="s">
        <v>8733</v>
      </c>
      <c r="N811">
        <v>2999.6587537610458</v>
      </c>
      <c r="O811">
        <v>3035.6546588061792</v>
      </c>
      <c r="P811">
        <v>3178.330427770069</v>
      </c>
      <c r="Q811">
        <v>3432.5968619916748</v>
      </c>
      <c r="R811">
        <v>3573.333333333333</v>
      </c>
      <c r="S811" t="s">
        <v>8734</v>
      </c>
      <c r="T811" t="s">
        <v>8735</v>
      </c>
      <c r="U811" t="s">
        <v>2446</v>
      </c>
      <c r="V811" t="s">
        <v>49</v>
      </c>
      <c r="W811">
        <v>338996155</v>
      </c>
      <c r="X811">
        <v>339500751</v>
      </c>
      <c r="Y811">
        <v>340560751</v>
      </c>
      <c r="Z811">
        <v>341660751</v>
      </c>
      <c r="AA811">
        <v>343660751</v>
      </c>
      <c r="AB811">
        <v>15253091757.556299</v>
      </c>
      <c r="AC811">
        <v>5084942.3250000002</v>
      </c>
      <c r="AD811">
        <v>15459105546.620199</v>
      </c>
      <c r="AE811">
        <v>5092511.2649999997</v>
      </c>
      <c r="AF811">
        <v>16236218961.11289</v>
      </c>
      <c r="AG811">
        <v>5108411.2649999997</v>
      </c>
      <c r="AH811">
        <v>17591754326.224781</v>
      </c>
      <c r="AI811">
        <v>5124911.2649999997</v>
      </c>
      <c r="AJ811">
        <v>18420216253.599998</v>
      </c>
      <c r="AK811">
        <v>5154911.2649999997</v>
      </c>
    </row>
    <row r="812" spans="1:37" x14ac:dyDescent="0.35">
      <c r="A812" t="s">
        <v>8736</v>
      </c>
      <c r="B812">
        <v>464.92</v>
      </c>
      <c r="C812" t="s">
        <v>2436</v>
      </c>
      <c r="D812" t="s">
        <v>8737</v>
      </c>
      <c r="E812" t="s">
        <v>8738</v>
      </c>
      <c r="F812">
        <v>1.4999999999999999E-2</v>
      </c>
      <c r="G812" t="s">
        <v>8739</v>
      </c>
      <c r="H812">
        <v>0.3</v>
      </c>
      <c r="I812">
        <v>1020.1</v>
      </c>
      <c r="J812" t="s">
        <v>8740</v>
      </c>
      <c r="K812" t="s">
        <v>8741</v>
      </c>
      <c r="L812" t="s">
        <v>8742</v>
      </c>
      <c r="M812" t="s">
        <v>8743</v>
      </c>
      <c r="N812">
        <v>2999.6587537610458</v>
      </c>
      <c r="O812">
        <v>3035.6546588061792</v>
      </c>
      <c r="P812">
        <v>3178.330427770069</v>
      </c>
      <c r="Q812">
        <v>3432.5968619916748</v>
      </c>
      <c r="R812">
        <v>3573.333333333333</v>
      </c>
      <c r="S812" t="s">
        <v>8744</v>
      </c>
      <c r="T812" t="s">
        <v>8745</v>
      </c>
      <c r="U812" t="s">
        <v>8746</v>
      </c>
      <c r="V812" t="s">
        <v>49</v>
      </c>
      <c r="W812">
        <v>338996155</v>
      </c>
      <c r="X812">
        <v>339500751</v>
      </c>
      <c r="Y812">
        <v>340560751</v>
      </c>
      <c r="Z812">
        <v>341660751</v>
      </c>
      <c r="AA812">
        <v>343660751</v>
      </c>
      <c r="AB812">
        <v>15253091757.556299</v>
      </c>
      <c r="AC812">
        <v>5084942.3250000002</v>
      </c>
      <c r="AD812">
        <v>15459105546.620199</v>
      </c>
      <c r="AE812">
        <v>5092511.2649999997</v>
      </c>
      <c r="AF812">
        <v>16236218961.11289</v>
      </c>
      <c r="AG812">
        <v>5108411.2649999997</v>
      </c>
      <c r="AH812">
        <v>17591754326.224781</v>
      </c>
      <c r="AI812">
        <v>5124911.2649999997</v>
      </c>
      <c r="AJ812">
        <v>18420216253.599998</v>
      </c>
      <c r="AK812">
        <v>5154911.2649999997</v>
      </c>
    </row>
    <row r="813" spans="1:37" x14ac:dyDescent="0.35">
      <c r="A813" t="s">
        <v>8747</v>
      </c>
      <c r="B813">
        <v>690.55</v>
      </c>
      <c r="C813" t="s">
        <v>3931</v>
      </c>
      <c r="D813" t="s">
        <v>6540</v>
      </c>
      <c r="E813" t="s">
        <v>8748</v>
      </c>
      <c r="F813">
        <v>6.1999999999999998E-3</v>
      </c>
      <c r="G813" t="s">
        <v>8749</v>
      </c>
      <c r="H813">
        <v>0.3</v>
      </c>
      <c r="J813" t="s">
        <v>8750</v>
      </c>
      <c r="K813" t="s">
        <v>8751</v>
      </c>
      <c r="L813" t="s">
        <v>8752</v>
      </c>
      <c r="M813" t="s">
        <v>8753</v>
      </c>
      <c r="N813">
        <v>1129.7688636483419</v>
      </c>
      <c r="O813">
        <v>1143.326090012122</v>
      </c>
      <c r="P813">
        <v>1197.0624162426909</v>
      </c>
      <c r="Q813">
        <v>1292.827409542107</v>
      </c>
      <c r="R813">
        <v>1345.833333333333</v>
      </c>
      <c r="S813" t="s">
        <v>8754</v>
      </c>
      <c r="T813" t="s">
        <v>587</v>
      </c>
      <c r="U813" t="s">
        <v>8755</v>
      </c>
      <c r="V813" t="s">
        <v>3941</v>
      </c>
      <c r="W813">
        <v>138616800</v>
      </c>
      <c r="X813">
        <v>139915020</v>
      </c>
      <c r="Y813">
        <v>139915020</v>
      </c>
      <c r="Z813">
        <v>139915020</v>
      </c>
      <c r="AA813">
        <v>139915020</v>
      </c>
      <c r="AB813">
        <v>970950656.63513052</v>
      </c>
      <c r="AC813">
        <v>859424.15999999992</v>
      </c>
      <c r="AD813">
        <v>991804655.05352044</v>
      </c>
      <c r="AE813">
        <v>867473.12399999995</v>
      </c>
      <c r="AF813">
        <v>1038419473.841036</v>
      </c>
      <c r="AG813">
        <v>867473.12399999995</v>
      </c>
      <c r="AH813">
        <v>1121493031.7483189</v>
      </c>
      <c r="AI813">
        <v>867473.12399999995</v>
      </c>
      <c r="AJ813">
        <v>1167474246.05</v>
      </c>
      <c r="AK813">
        <v>867473.12399999995</v>
      </c>
    </row>
    <row r="814" spans="1:37" x14ac:dyDescent="0.35">
      <c r="A814" t="s">
        <v>8756</v>
      </c>
      <c r="B814">
        <v>48.56</v>
      </c>
      <c r="C814" t="s">
        <v>8757</v>
      </c>
      <c r="D814" t="s">
        <v>8758</v>
      </c>
      <c r="E814" t="s">
        <v>8759</v>
      </c>
      <c r="F814">
        <v>1E-3</v>
      </c>
      <c r="G814" t="s">
        <v>8760</v>
      </c>
      <c r="H814">
        <v>0.1</v>
      </c>
      <c r="I814">
        <v>0.03</v>
      </c>
      <c r="J814" t="s">
        <v>8761</v>
      </c>
      <c r="K814" t="s">
        <v>8762</v>
      </c>
      <c r="L814" t="s">
        <v>8763</v>
      </c>
      <c r="M814" t="s">
        <v>8764</v>
      </c>
      <c r="N814">
        <v>304.30306853685988</v>
      </c>
      <c r="O814">
        <v>307.95470535930218</v>
      </c>
      <c r="P814">
        <v>322.42857651118942</v>
      </c>
      <c r="Q814">
        <v>348.22286263208463</v>
      </c>
      <c r="R814">
        <v>362.5</v>
      </c>
      <c r="S814" t="s">
        <v>8765</v>
      </c>
      <c r="T814" t="s">
        <v>8766</v>
      </c>
      <c r="U814" t="s">
        <v>8767</v>
      </c>
      <c r="V814" t="s">
        <v>49</v>
      </c>
      <c r="W814">
        <v>338996155</v>
      </c>
      <c r="X814">
        <v>339500751</v>
      </c>
      <c r="Y814">
        <v>340560751</v>
      </c>
      <c r="Z814">
        <v>341660751</v>
      </c>
      <c r="AA814">
        <v>343660751</v>
      </c>
      <c r="AB814">
        <v>103157570.188697</v>
      </c>
      <c r="AC814">
        <v>338996.15500000003</v>
      </c>
      <c r="AD814">
        <v>104550853.74346679</v>
      </c>
      <c r="AE814">
        <v>339500.75099999999</v>
      </c>
      <c r="AF814">
        <v>109806518.1605116</v>
      </c>
      <c r="AG814">
        <v>340560.75099999999</v>
      </c>
      <c r="AH814">
        <v>118974084.7622478</v>
      </c>
      <c r="AI814">
        <v>341660.75099999999</v>
      </c>
      <c r="AJ814">
        <v>124577022.2375</v>
      </c>
      <c r="AK814">
        <v>343660.75099999999</v>
      </c>
    </row>
    <row r="815" spans="1:37" x14ac:dyDescent="0.35">
      <c r="A815" t="s">
        <v>8768</v>
      </c>
      <c r="B815">
        <v>20545.66</v>
      </c>
      <c r="C815" t="s">
        <v>4958</v>
      </c>
      <c r="D815" t="s">
        <v>8769</v>
      </c>
      <c r="E815" t="s">
        <v>8770</v>
      </c>
      <c r="F815">
        <v>4.5300000000000003E-5</v>
      </c>
      <c r="G815" t="s">
        <v>8771</v>
      </c>
      <c r="H815">
        <v>0.5</v>
      </c>
      <c r="I815">
        <v>0.2</v>
      </c>
      <c r="J815" t="s">
        <v>8772</v>
      </c>
      <c r="K815" t="s">
        <v>8773</v>
      </c>
      <c r="L815" t="s">
        <v>8774</v>
      </c>
      <c r="M815" t="s">
        <v>8775</v>
      </c>
      <c r="N815">
        <v>109129.3763028739</v>
      </c>
      <c r="O815">
        <v>110438.9288185084</v>
      </c>
      <c r="P815">
        <v>115629.5584729783</v>
      </c>
      <c r="Q815">
        <v>124879.9231508165</v>
      </c>
      <c r="R815">
        <v>130000</v>
      </c>
      <c r="S815" t="s">
        <v>8776</v>
      </c>
      <c r="T815" t="s">
        <v>8777</v>
      </c>
      <c r="U815" t="s">
        <v>8778</v>
      </c>
      <c r="V815" t="s">
        <v>94</v>
      </c>
      <c r="W815">
        <v>265472419.80000001</v>
      </c>
      <c r="X815">
        <v>266439117.80000001</v>
      </c>
      <c r="Y815">
        <v>267499117.80000001</v>
      </c>
      <c r="Z815">
        <v>268599117.80000001</v>
      </c>
      <c r="AA815">
        <v>270179117.80000001</v>
      </c>
      <c r="AB815">
        <v>1312379033.807009</v>
      </c>
      <c r="AC815">
        <v>12025.90061694</v>
      </c>
      <c r="AD815">
        <v>1332963859.6626711</v>
      </c>
      <c r="AE815">
        <v>12069.69203634</v>
      </c>
      <c r="AF815">
        <v>1401165461.2055719</v>
      </c>
      <c r="AG815">
        <v>12117.71003634</v>
      </c>
      <c r="AH815">
        <v>1519481464.6726229</v>
      </c>
      <c r="AI815">
        <v>12167.54003634</v>
      </c>
      <c r="AJ815">
        <v>1591084824.7242</v>
      </c>
      <c r="AK815">
        <v>12239.114036340001</v>
      </c>
    </row>
    <row r="816" spans="1:37" x14ac:dyDescent="0.35">
      <c r="A816" t="s">
        <v>8779</v>
      </c>
      <c r="B816">
        <v>15982.38</v>
      </c>
      <c r="C816" t="s">
        <v>2917</v>
      </c>
      <c r="D816" t="s">
        <v>8780</v>
      </c>
      <c r="E816" t="s">
        <v>8781</v>
      </c>
      <c r="F816">
        <v>1.3999999999999999E-4</v>
      </c>
      <c r="G816" t="s">
        <v>8782</v>
      </c>
      <c r="H816">
        <v>0.6</v>
      </c>
      <c r="I816">
        <v>5.28</v>
      </c>
      <c r="J816" t="s">
        <v>8783</v>
      </c>
      <c r="K816" t="s">
        <v>8784</v>
      </c>
      <c r="L816" t="s">
        <v>8785</v>
      </c>
      <c r="M816" t="s">
        <v>8786</v>
      </c>
      <c r="N816">
        <v>77020.155967605227</v>
      </c>
      <c r="O816">
        <v>77944.397839216486</v>
      </c>
      <c r="P816">
        <v>81607.784537659652</v>
      </c>
      <c r="Q816">
        <v>88136.407300672436</v>
      </c>
      <c r="R816">
        <v>91750</v>
      </c>
      <c r="S816" t="s">
        <v>8787</v>
      </c>
      <c r="T816" t="s">
        <v>8788</v>
      </c>
      <c r="U816" t="s">
        <v>8789</v>
      </c>
      <c r="V816" t="s">
        <v>49</v>
      </c>
      <c r="W816">
        <v>338996155</v>
      </c>
      <c r="X816">
        <v>339500751</v>
      </c>
      <c r="Y816">
        <v>340560751</v>
      </c>
      <c r="Z816">
        <v>341660751</v>
      </c>
      <c r="AA816">
        <v>343660751</v>
      </c>
      <c r="AB816">
        <v>3655335142.2725859</v>
      </c>
      <c r="AC816">
        <v>47459.461699999993</v>
      </c>
      <c r="AD816">
        <v>3704705424.3719478</v>
      </c>
      <c r="AE816">
        <v>47530.105139999992</v>
      </c>
      <c r="AF816">
        <v>3890937174.5428181</v>
      </c>
      <c r="AG816">
        <v>47678.505139999987</v>
      </c>
      <c r="AH816">
        <v>4215785155.230547</v>
      </c>
      <c r="AI816">
        <v>47832.505139999987</v>
      </c>
      <c r="AJ816">
        <v>4414322346.5949993</v>
      </c>
      <c r="AK816">
        <v>48112.505139999987</v>
      </c>
    </row>
    <row r="817" spans="1:37" x14ac:dyDescent="0.35">
      <c r="A817" t="s">
        <v>8790</v>
      </c>
      <c r="B817">
        <v>21169.27</v>
      </c>
      <c r="C817" t="s">
        <v>255</v>
      </c>
      <c r="D817" t="s">
        <v>8791</v>
      </c>
      <c r="E817" t="s">
        <v>8792</v>
      </c>
      <c r="F817">
        <v>4.1999999999999998E-5</v>
      </c>
      <c r="G817" t="s">
        <v>8793</v>
      </c>
      <c r="H817">
        <v>0.7</v>
      </c>
      <c r="I817">
        <v>30.3</v>
      </c>
      <c r="J817" t="s">
        <v>8794</v>
      </c>
      <c r="K817" t="s">
        <v>8795</v>
      </c>
      <c r="L817" t="s">
        <v>8796</v>
      </c>
      <c r="M817" t="s">
        <v>8797</v>
      </c>
      <c r="N817">
        <v>118710.1325836446</v>
      </c>
      <c r="O817">
        <v>120134.6541746483</v>
      </c>
      <c r="P817">
        <v>125780.9829208568</v>
      </c>
      <c r="Q817">
        <v>135843.46155452539</v>
      </c>
      <c r="R817">
        <v>141413.04347826089</v>
      </c>
      <c r="S817" t="s">
        <v>8798</v>
      </c>
      <c r="T817" t="s">
        <v>8799</v>
      </c>
      <c r="U817" t="s">
        <v>8800</v>
      </c>
      <c r="V817" t="s">
        <v>94</v>
      </c>
      <c r="W817">
        <v>265472419.80000001</v>
      </c>
      <c r="X817">
        <v>266439117.80000001</v>
      </c>
      <c r="Y817">
        <v>267499117.80000001</v>
      </c>
      <c r="Z817">
        <v>268599117.80000001</v>
      </c>
      <c r="AA817">
        <v>270179117.80000001</v>
      </c>
      <c r="AB817">
        <v>1323599178.3738761</v>
      </c>
      <c r="AC817">
        <v>11149.8416316</v>
      </c>
      <c r="AD817">
        <v>1344359993.571058</v>
      </c>
      <c r="AE817">
        <v>11190.4429476</v>
      </c>
      <c r="AF817">
        <v>1413144682.628535</v>
      </c>
      <c r="AG817">
        <v>11234.962947599999</v>
      </c>
      <c r="AH817">
        <v>1532472225.162637</v>
      </c>
      <c r="AI817">
        <v>11281.1629476</v>
      </c>
      <c r="AJ817">
        <v>1604687755.959522</v>
      </c>
      <c r="AK817">
        <v>11347.5229476</v>
      </c>
    </row>
    <row r="818" spans="1:37" x14ac:dyDescent="0.35">
      <c r="A818" t="s">
        <v>8801</v>
      </c>
      <c r="B818">
        <v>21169.27</v>
      </c>
      <c r="C818" t="s">
        <v>255</v>
      </c>
      <c r="D818" t="s">
        <v>8802</v>
      </c>
      <c r="E818" t="s">
        <v>8803</v>
      </c>
      <c r="F818">
        <v>4.1999999999999998E-5</v>
      </c>
      <c r="G818" t="s">
        <v>8804</v>
      </c>
      <c r="H818">
        <v>0.5</v>
      </c>
      <c r="I818">
        <v>205.3</v>
      </c>
      <c r="J818" t="s">
        <v>8805</v>
      </c>
      <c r="K818" t="s">
        <v>8806</v>
      </c>
      <c r="L818" t="s">
        <v>8807</v>
      </c>
      <c r="M818" t="s">
        <v>8808</v>
      </c>
      <c r="N818">
        <v>118710.1325836446</v>
      </c>
      <c r="O818">
        <v>120134.6541746483</v>
      </c>
      <c r="P818">
        <v>125780.9829208568</v>
      </c>
      <c r="Q818">
        <v>135843.46155452539</v>
      </c>
      <c r="R818">
        <v>141413.04347826089</v>
      </c>
      <c r="S818" t="s">
        <v>8809</v>
      </c>
      <c r="T818" t="s">
        <v>8810</v>
      </c>
      <c r="U818" t="s">
        <v>8811</v>
      </c>
      <c r="V818" t="s">
        <v>94</v>
      </c>
      <c r="W818">
        <v>265472419.80000001</v>
      </c>
      <c r="X818">
        <v>266439117.80000001</v>
      </c>
      <c r="Y818">
        <v>267499117.80000001</v>
      </c>
      <c r="Z818">
        <v>268599117.80000001</v>
      </c>
      <c r="AA818">
        <v>270179117.80000001</v>
      </c>
      <c r="AB818">
        <v>1323599178.3738761</v>
      </c>
      <c r="AC818">
        <v>11149.8416316</v>
      </c>
      <c r="AD818">
        <v>1344359993.571058</v>
      </c>
      <c r="AE818">
        <v>11190.4429476</v>
      </c>
      <c r="AF818">
        <v>1413144682.628535</v>
      </c>
      <c r="AG818">
        <v>11234.962947599999</v>
      </c>
      <c r="AH818">
        <v>1532472225.162637</v>
      </c>
      <c r="AI818">
        <v>11281.1629476</v>
      </c>
      <c r="AJ818">
        <v>1604687755.959522</v>
      </c>
      <c r="AK818">
        <v>11347.5229476</v>
      </c>
    </row>
    <row r="819" spans="1:37" x14ac:dyDescent="0.35">
      <c r="A819" t="s">
        <v>8812</v>
      </c>
      <c r="B819">
        <v>7555.67</v>
      </c>
      <c r="C819" t="s">
        <v>8813</v>
      </c>
      <c r="D819" t="s">
        <v>8814</v>
      </c>
      <c r="E819" t="s">
        <v>8815</v>
      </c>
      <c r="F819">
        <v>9.0000000000000002E-6</v>
      </c>
      <c r="G819" t="s">
        <v>8816</v>
      </c>
      <c r="H819">
        <v>20.3</v>
      </c>
      <c r="I819">
        <v>406.05</v>
      </c>
      <c r="J819" t="s">
        <v>8817</v>
      </c>
      <c r="K819" t="s">
        <v>8818</v>
      </c>
      <c r="L819" t="s">
        <v>8819</v>
      </c>
      <c r="M819" t="s">
        <v>8820</v>
      </c>
      <c r="N819">
        <v>115425.3018588089</v>
      </c>
      <c r="O819">
        <v>116810.40548111461</v>
      </c>
      <c r="P819">
        <v>122300.494538727</v>
      </c>
      <c r="Q819">
        <v>132084.53410182521</v>
      </c>
      <c r="R819">
        <v>137500</v>
      </c>
      <c r="S819" t="s">
        <v>8821</v>
      </c>
      <c r="T819" t="s">
        <v>8822</v>
      </c>
      <c r="U819" t="s">
        <v>552</v>
      </c>
      <c r="V819" t="s">
        <v>49</v>
      </c>
      <c r="W819">
        <v>338996155</v>
      </c>
      <c r="X819">
        <v>339500751</v>
      </c>
      <c r="Y819">
        <v>340560751</v>
      </c>
      <c r="Z819">
        <v>341660751</v>
      </c>
      <c r="AA819">
        <v>343660751</v>
      </c>
      <c r="AB819">
        <v>352158601.67865521</v>
      </c>
      <c r="AC819">
        <v>3050.9653950000002</v>
      </c>
      <c r="AD819">
        <v>356914983.46907651</v>
      </c>
      <c r="AE819">
        <v>3055.5067589999999</v>
      </c>
      <c r="AF819">
        <v>374856734.41002238</v>
      </c>
      <c r="AG819">
        <v>3065.0467589999998</v>
      </c>
      <c r="AH819">
        <v>406152910.05043232</v>
      </c>
      <c r="AI819">
        <v>3074.9467589999999</v>
      </c>
      <c r="AJ819">
        <v>425280179.36250001</v>
      </c>
      <c r="AK819">
        <v>3092.9467589999999</v>
      </c>
    </row>
    <row r="820" spans="1:37" x14ac:dyDescent="0.35">
      <c r="A820" t="s">
        <v>8823</v>
      </c>
      <c r="B820">
        <v>17.989999999999998</v>
      </c>
      <c r="C820" t="s">
        <v>231</v>
      </c>
      <c r="D820" t="s">
        <v>3102</v>
      </c>
      <c r="E820" t="s">
        <v>8824</v>
      </c>
      <c r="F820">
        <v>0.191</v>
      </c>
      <c r="G820" t="s">
        <v>8825</v>
      </c>
      <c r="H820">
        <v>0.4</v>
      </c>
      <c r="I820">
        <v>0.03</v>
      </c>
      <c r="J820" t="s">
        <v>8826</v>
      </c>
      <c r="K820" t="s">
        <v>8827</v>
      </c>
      <c r="L820" t="s">
        <v>8828</v>
      </c>
      <c r="M820" t="s">
        <v>8829</v>
      </c>
      <c r="N820">
        <v>725.9551939635088</v>
      </c>
      <c r="O820">
        <v>734.66665629107092</v>
      </c>
      <c r="P820">
        <v>769.19598913675122</v>
      </c>
      <c r="Q820">
        <v>830.73166826769136</v>
      </c>
      <c r="R820">
        <v>864.79166666666663</v>
      </c>
      <c r="S820" t="s">
        <v>8830</v>
      </c>
      <c r="T820" t="s">
        <v>8831</v>
      </c>
      <c r="U820" t="s">
        <v>8832</v>
      </c>
      <c r="V820" t="s">
        <v>94</v>
      </c>
      <c r="W820">
        <v>265472419.80000001</v>
      </c>
      <c r="X820">
        <v>266439117.80000001</v>
      </c>
      <c r="Y820">
        <v>267499117.80000001</v>
      </c>
      <c r="Z820">
        <v>268599117.80000001</v>
      </c>
      <c r="AA820">
        <v>270179117.80000001</v>
      </c>
      <c r="AB820">
        <v>36809726663.503357</v>
      </c>
      <c r="AC820">
        <v>50705232.1818</v>
      </c>
      <c r="AD820">
        <v>37387091733.840332</v>
      </c>
      <c r="AE820">
        <v>50889871.499799997</v>
      </c>
      <c r="AF820">
        <v>39300016465.291458</v>
      </c>
      <c r="AG820">
        <v>51092331.499799997</v>
      </c>
      <c r="AH820">
        <v>42618554506.017807</v>
      </c>
      <c r="AI820">
        <v>51302431.499799997</v>
      </c>
      <c r="AJ820">
        <v>44626892069.931213</v>
      </c>
      <c r="AK820">
        <v>51604211.499799997</v>
      </c>
    </row>
    <row r="821" spans="1:37" x14ac:dyDescent="0.35">
      <c r="A821" t="s">
        <v>8833</v>
      </c>
      <c r="B821">
        <v>201.38</v>
      </c>
      <c r="C821" t="s">
        <v>2700</v>
      </c>
      <c r="D821" t="s">
        <v>8834</v>
      </c>
      <c r="E821" t="s">
        <v>8835</v>
      </c>
      <c r="F821">
        <v>2.0000000000000001E-4</v>
      </c>
      <c r="G821" t="s">
        <v>8836</v>
      </c>
      <c r="H821">
        <v>0.3</v>
      </c>
      <c r="I821">
        <v>0.2</v>
      </c>
      <c r="J821" t="s">
        <v>8837</v>
      </c>
      <c r="K821" t="s">
        <v>8838</v>
      </c>
      <c r="L821" t="s">
        <v>8839</v>
      </c>
      <c r="M821" t="s">
        <v>8840</v>
      </c>
      <c r="N821">
        <v>16509.31590222965</v>
      </c>
      <c r="O821">
        <v>16707.427693056401</v>
      </c>
      <c r="P821">
        <v>17492.67679463005</v>
      </c>
      <c r="Q821">
        <v>18892.09093820045</v>
      </c>
      <c r="R821">
        <v>19666.666666666672</v>
      </c>
      <c r="S821" t="s">
        <v>8841</v>
      </c>
      <c r="T821" t="s">
        <v>8842</v>
      </c>
      <c r="U821" t="s">
        <v>8843</v>
      </c>
      <c r="V821" t="s">
        <v>49</v>
      </c>
      <c r="W821">
        <v>338996155</v>
      </c>
      <c r="X821">
        <v>339500751</v>
      </c>
      <c r="Y821">
        <v>340560751</v>
      </c>
      <c r="Z821">
        <v>341660751</v>
      </c>
      <c r="AA821">
        <v>343660751</v>
      </c>
      <c r="AB821">
        <v>1119318922.507241</v>
      </c>
      <c r="AC821">
        <v>67799.231</v>
      </c>
      <c r="AD821">
        <v>1134436849.8141689</v>
      </c>
      <c r="AE821">
        <v>67900.150200000004</v>
      </c>
      <c r="AF821">
        <v>1191463829.2358971</v>
      </c>
      <c r="AG821">
        <v>68112.150200000004</v>
      </c>
      <c r="AH821">
        <v>1290937195.581172</v>
      </c>
      <c r="AI821">
        <v>68332.150200000004</v>
      </c>
      <c r="AJ821">
        <v>1351732287.2666669</v>
      </c>
      <c r="AK821">
        <v>68732.150200000004</v>
      </c>
    </row>
    <row r="822" spans="1:37" x14ac:dyDescent="0.35">
      <c r="A822" t="s">
        <v>8844</v>
      </c>
      <c r="B822">
        <v>94.92</v>
      </c>
      <c r="C822" t="s">
        <v>2700</v>
      </c>
      <c r="D822" t="s">
        <v>8845</v>
      </c>
      <c r="E822" t="s">
        <v>8846</v>
      </c>
      <c r="F822">
        <v>2.0000000000000001E-4</v>
      </c>
      <c r="G822" t="s">
        <v>8847</v>
      </c>
      <c r="H822">
        <v>0.2</v>
      </c>
      <c r="I822">
        <v>0.2</v>
      </c>
      <c r="J822" t="s">
        <v>8848</v>
      </c>
      <c r="K822" t="s">
        <v>8849</v>
      </c>
      <c r="L822" t="s">
        <v>8850</v>
      </c>
      <c r="M822" t="s">
        <v>8851</v>
      </c>
      <c r="N822">
        <v>16509.31590222965</v>
      </c>
      <c r="O822">
        <v>16707.427693056401</v>
      </c>
      <c r="P822">
        <v>17492.67679463005</v>
      </c>
      <c r="Q822">
        <v>18892.09093820045</v>
      </c>
      <c r="R822">
        <v>19666.666666666672</v>
      </c>
      <c r="S822" t="s">
        <v>8852</v>
      </c>
      <c r="T822" t="s">
        <v>8853</v>
      </c>
      <c r="U822" t="s">
        <v>8854</v>
      </c>
      <c r="V822" t="s">
        <v>49</v>
      </c>
      <c r="W822">
        <v>338996155</v>
      </c>
      <c r="X822">
        <v>339500751</v>
      </c>
      <c r="Y822">
        <v>340560751</v>
      </c>
      <c r="Z822">
        <v>341660751</v>
      </c>
      <c r="AA822">
        <v>343660751</v>
      </c>
      <c r="AB822">
        <v>1119318922.507241</v>
      </c>
      <c r="AC822">
        <v>67799.231</v>
      </c>
      <c r="AD822">
        <v>1134436849.8141689</v>
      </c>
      <c r="AE822">
        <v>67900.150200000004</v>
      </c>
      <c r="AF822">
        <v>1191463829.2358971</v>
      </c>
      <c r="AG822">
        <v>68112.150200000004</v>
      </c>
      <c r="AH822">
        <v>1290937195.581172</v>
      </c>
      <c r="AI822">
        <v>68332.150200000004</v>
      </c>
      <c r="AJ822">
        <v>1351732287.2666669</v>
      </c>
      <c r="AK822">
        <v>68732.150200000004</v>
      </c>
    </row>
    <row r="823" spans="1:37" x14ac:dyDescent="0.35">
      <c r="A823" t="s">
        <v>8855</v>
      </c>
      <c r="B823">
        <v>130.76</v>
      </c>
      <c r="C823" t="s">
        <v>5056</v>
      </c>
      <c r="D823" t="s">
        <v>8856</v>
      </c>
      <c r="E823" t="s">
        <v>8857</v>
      </c>
      <c r="F823">
        <v>4.0000000000000003E-5</v>
      </c>
      <c r="G823" t="s">
        <v>8858</v>
      </c>
      <c r="H823">
        <v>10.15</v>
      </c>
      <c r="J823" t="s">
        <v>8859</v>
      </c>
      <c r="K823" t="s">
        <v>8860</v>
      </c>
      <c r="L823" t="s">
        <v>8861</v>
      </c>
      <c r="M823" t="s">
        <v>8862</v>
      </c>
      <c r="N823">
        <v>2420.4336026150231</v>
      </c>
      <c r="O823">
        <v>2449.4788058464028</v>
      </c>
      <c r="P823">
        <v>2564.6043097211841</v>
      </c>
      <c r="Q823">
        <v>2769.7726544988791</v>
      </c>
      <c r="R823">
        <v>2883.333333333333</v>
      </c>
      <c r="S823" t="s">
        <v>8863</v>
      </c>
      <c r="T823" t="s">
        <v>8864</v>
      </c>
      <c r="U823" t="s">
        <v>8865</v>
      </c>
      <c r="V823" t="s">
        <v>49</v>
      </c>
      <c r="W823">
        <v>338996155</v>
      </c>
      <c r="X823">
        <v>339500751</v>
      </c>
      <c r="Y823">
        <v>340560751</v>
      </c>
      <c r="Z823">
        <v>341660751</v>
      </c>
      <c r="AA823">
        <v>343660751</v>
      </c>
      <c r="AB823">
        <v>32820707.388771631</v>
      </c>
      <c r="AC823">
        <v>13559.8462</v>
      </c>
      <c r="AD823">
        <v>33263995.765737489</v>
      </c>
      <c r="AE823">
        <v>13580.03004</v>
      </c>
      <c r="AF823">
        <v>34936142.789459333</v>
      </c>
      <c r="AG823">
        <v>13622.430039999999</v>
      </c>
      <c r="AH823">
        <v>37852904.209414028</v>
      </c>
      <c r="AI823">
        <v>13666.430039999999</v>
      </c>
      <c r="AJ823">
        <v>39635539.948666662</v>
      </c>
      <c r="AK823">
        <v>13746.430039999999</v>
      </c>
    </row>
    <row r="824" spans="1:37" x14ac:dyDescent="0.35">
      <c r="A824" t="s">
        <v>8866</v>
      </c>
      <c r="B824">
        <v>2555.3000000000002</v>
      </c>
      <c r="C824" t="s">
        <v>6004</v>
      </c>
      <c r="D824" t="s">
        <v>8867</v>
      </c>
      <c r="E824" t="s">
        <v>8868</v>
      </c>
      <c r="F824">
        <v>5.0000000000000004E-6</v>
      </c>
      <c r="G824" t="s">
        <v>8869</v>
      </c>
      <c r="H824">
        <v>0.15</v>
      </c>
      <c r="I824">
        <v>0.05</v>
      </c>
      <c r="J824" t="s">
        <v>8870</v>
      </c>
      <c r="K824" t="s">
        <v>8871</v>
      </c>
      <c r="L824" t="s">
        <v>8872</v>
      </c>
      <c r="M824" t="s">
        <v>8873</v>
      </c>
      <c r="N824">
        <v>55614.009077426119</v>
      </c>
      <c r="O824">
        <v>56281.377186355232</v>
      </c>
      <c r="P824">
        <v>58926.601914113933</v>
      </c>
      <c r="Q824">
        <v>63640.730067243043</v>
      </c>
      <c r="R824">
        <v>66250</v>
      </c>
      <c r="S824" t="s">
        <v>8874</v>
      </c>
      <c r="T824" t="s">
        <v>8875</v>
      </c>
      <c r="U824" t="s">
        <v>8876</v>
      </c>
      <c r="V824" t="s">
        <v>94</v>
      </c>
      <c r="W824">
        <v>265472419.80000001</v>
      </c>
      <c r="X824">
        <v>266439117.80000001</v>
      </c>
      <c r="Y824">
        <v>267499117.80000001</v>
      </c>
      <c r="Z824">
        <v>268599117.80000001</v>
      </c>
      <c r="AA824">
        <v>270179117.80000001</v>
      </c>
      <c r="AB824">
        <v>73819927.822817385</v>
      </c>
      <c r="AC824">
        <v>1327.3620989999999</v>
      </c>
      <c r="AD824">
        <v>74977802.43050769</v>
      </c>
      <c r="AE824">
        <v>1332.1955889999999</v>
      </c>
      <c r="AF824">
        <v>78814070.134886339</v>
      </c>
      <c r="AG824">
        <v>1337.4955890000001</v>
      </c>
      <c r="AH824">
        <v>85469219.76104708</v>
      </c>
      <c r="AI824">
        <v>1342.9955890000001</v>
      </c>
      <c r="AJ824">
        <v>89496832.77125001</v>
      </c>
      <c r="AK824">
        <v>1350.895589</v>
      </c>
    </row>
    <row r="825" spans="1:37" x14ac:dyDescent="0.35">
      <c r="A825" t="s">
        <v>8877</v>
      </c>
      <c r="B825">
        <v>147.74</v>
      </c>
      <c r="C825" t="s">
        <v>1055</v>
      </c>
      <c r="D825" t="s">
        <v>8878</v>
      </c>
      <c r="E825" t="s">
        <v>8879</v>
      </c>
      <c r="F825">
        <v>5.1999999999999998E-3</v>
      </c>
      <c r="G825" t="s">
        <v>8880</v>
      </c>
      <c r="H825">
        <v>0.25</v>
      </c>
      <c r="I825">
        <v>1</v>
      </c>
      <c r="J825" t="s">
        <v>8881</v>
      </c>
      <c r="K825" t="s">
        <v>8882</v>
      </c>
      <c r="L825" t="s">
        <v>8883</v>
      </c>
      <c r="M825" t="s">
        <v>8884</v>
      </c>
      <c r="N825">
        <v>470.62043530614358</v>
      </c>
      <c r="O825">
        <v>476.26788052981732</v>
      </c>
      <c r="P825">
        <v>498.65247091471872</v>
      </c>
      <c r="Q825">
        <v>538.54466858789624</v>
      </c>
      <c r="R825">
        <v>560.625</v>
      </c>
      <c r="S825" t="s">
        <v>8885</v>
      </c>
      <c r="T825" t="s">
        <v>8886</v>
      </c>
      <c r="U825" t="s">
        <v>8887</v>
      </c>
      <c r="V825" t="s">
        <v>49</v>
      </c>
      <c r="W825">
        <v>338996155</v>
      </c>
      <c r="X825">
        <v>339500751</v>
      </c>
      <c r="Y825">
        <v>340560751</v>
      </c>
      <c r="Z825">
        <v>341660751</v>
      </c>
      <c r="AA825">
        <v>343660751</v>
      </c>
      <c r="AB825">
        <v>829600293.77268636</v>
      </c>
      <c r="AC825">
        <v>1762780.0060000001</v>
      </c>
      <c r="AD825">
        <v>840805176.20866656</v>
      </c>
      <c r="AE825">
        <v>1765403.9051999999</v>
      </c>
      <c r="AF825">
        <v>883071591.91015577</v>
      </c>
      <c r="AG825">
        <v>1770915.9051999999</v>
      </c>
      <c r="AH825">
        <v>956797794.76729095</v>
      </c>
      <c r="AI825">
        <v>1776635.9051999999</v>
      </c>
      <c r="AJ825">
        <v>1001857004.3527499</v>
      </c>
      <c r="AK825">
        <v>1787035.9051999999</v>
      </c>
    </row>
    <row r="826" spans="1:37" x14ac:dyDescent="0.35">
      <c r="A826" t="s">
        <v>8888</v>
      </c>
      <c r="B826">
        <v>33.869999999999997</v>
      </c>
      <c r="C826" t="s">
        <v>231</v>
      </c>
      <c r="D826" t="s">
        <v>5287</v>
      </c>
      <c r="E826" t="s">
        <v>8889</v>
      </c>
      <c r="F826">
        <v>0.191</v>
      </c>
      <c r="G826" t="s">
        <v>8890</v>
      </c>
      <c r="H826">
        <v>0.25</v>
      </c>
      <c r="I826">
        <v>0.12</v>
      </c>
      <c r="J826" t="s">
        <v>8891</v>
      </c>
      <c r="K826" t="s">
        <v>8892</v>
      </c>
      <c r="L826" t="s">
        <v>8893</v>
      </c>
      <c r="M826" t="s">
        <v>8894</v>
      </c>
      <c r="N826">
        <v>725.9551939635088</v>
      </c>
      <c r="O826">
        <v>734.66665629107092</v>
      </c>
      <c r="P826">
        <v>769.19598913675122</v>
      </c>
      <c r="Q826">
        <v>830.73166826769136</v>
      </c>
      <c r="R826">
        <v>864.79166666666663</v>
      </c>
      <c r="S826" t="s">
        <v>8895</v>
      </c>
      <c r="T826" t="s">
        <v>8896</v>
      </c>
      <c r="U826" t="s">
        <v>8897</v>
      </c>
      <c r="V826" t="s">
        <v>94</v>
      </c>
      <c r="W826">
        <v>265472419.80000001</v>
      </c>
      <c r="X826">
        <v>266439117.80000001</v>
      </c>
      <c r="Y826">
        <v>267499117.80000001</v>
      </c>
      <c r="Z826">
        <v>268599117.80000001</v>
      </c>
      <c r="AA826">
        <v>270179117.80000001</v>
      </c>
      <c r="AB826">
        <v>36809726663.503357</v>
      </c>
      <c r="AC826">
        <v>50705232.1818</v>
      </c>
      <c r="AD826">
        <v>37387091733.840332</v>
      </c>
      <c r="AE826">
        <v>50889871.499799997</v>
      </c>
      <c r="AF826">
        <v>39300016465.291458</v>
      </c>
      <c r="AG826">
        <v>51092331.499799997</v>
      </c>
      <c r="AH826">
        <v>42618554506.017807</v>
      </c>
      <c r="AI826">
        <v>51302431.499799997</v>
      </c>
      <c r="AJ826">
        <v>44626892069.931213</v>
      </c>
      <c r="AK826">
        <v>51604211.499799997</v>
      </c>
    </row>
    <row r="827" spans="1:37" x14ac:dyDescent="0.35">
      <c r="A827" t="s">
        <v>8898</v>
      </c>
      <c r="B827">
        <v>45.23</v>
      </c>
      <c r="C827" t="s">
        <v>1356</v>
      </c>
      <c r="D827" t="s">
        <v>8899</v>
      </c>
      <c r="E827" t="s">
        <v>8900</v>
      </c>
      <c r="F827">
        <v>1.5E-3</v>
      </c>
      <c r="G827" t="s">
        <v>8901</v>
      </c>
      <c r="H827">
        <v>30.5</v>
      </c>
      <c r="I827">
        <v>25.5</v>
      </c>
      <c r="J827" t="s">
        <v>8902</v>
      </c>
      <c r="K827" t="s">
        <v>8903</v>
      </c>
      <c r="L827" t="s">
        <v>8904</v>
      </c>
      <c r="M827" t="s">
        <v>8905</v>
      </c>
      <c r="N827">
        <v>49587.908902459727</v>
      </c>
      <c r="O827">
        <v>50182.963809289249</v>
      </c>
      <c r="P827">
        <v>52541.563108325841</v>
      </c>
      <c r="Q827">
        <v>56744.88815699191</v>
      </c>
      <c r="R827">
        <v>59071.428571428572</v>
      </c>
      <c r="S827" t="s">
        <v>8906</v>
      </c>
      <c r="T827" t="s">
        <v>8907</v>
      </c>
      <c r="U827" t="s">
        <v>8908</v>
      </c>
      <c r="V827" t="s">
        <v>49</v>
      </c>
      <c r="W827">
        <v>338996155</v>
      </c>
      <c r="X827">
        <v>339500751</v>
      </c>
      <c r="Y827">
        <v>340560751</v>
      </c>
      <c r="Z827">
        <v>341660751</v>
      </c>
      <c r="AA827">
        <v>343660751</v>
      </c>
      <c r="AB827">
        <v>25215165678.636181</v>
      </c>
      <c r="AC827">
        <v>508494.23249999998</v>
      </c>
      <c r="AD827">
        <v>25555730850.989281</v>
      </c>
      <c r="AE827">
        <v>509251.12650000001</v>
      </c>
      <c r="AF827">
        <v>26840391286.328018</v>
      </c>
      <c r="AG827">
        <v>510841.12650000001</v>
      </c>
      <c r="AH827">
        <v>29081251654.693291</v>
      </c>
      <c r="AI827">
        <v>512491.12650000001</v>
      </c>
      <c r="AJ827">
        <v>30450797258.25</v>
      </c>
      <c r="AK827">
        <v>515491.12650000001</v>
      </c>
    </row>
    <row r="828" spans="1:37" x14ac:dyDescent="0.35">
      <c r="A828" t="s">
        <v>8909</v>
      </c>
      <c r="B828">
        <v>49.75</v>
      </c>
      <c r="C828" t="s">
        <v>2939</v>
      </c>
      <c r="D828" t="s">
        <v>8910</v>
      </c>
      <c r="E828" t="s">
        <v>8911</v>
      </c>
      <c r="F828">
        <v>1.4999999999999999E-2</v>
      </c>
      <c r="G828" t="s">
        <v>8912</v>
      </c>
      <c r="H828">
        <v>0.3</v>
      </c>
      <c r="I828">
        <v>10.4</v>
      </c>
      <c r="J828" t="s">
        <v>8913</v>
      </c>
      <c r="K828" t="s">
        <v>8914</v>
      </c>
      <c r="L828" t="s">
        <v>8915</v>
      </c>
      <c r="M828" t="s">
        <v>8916</v>
      </c>
      <c r="N828">
        <v>4775.5761253907194</v>
      </c>
      <c r="O828">
        <v>4832.8830388954084</v>
      </c>
      <c r="P828">
        <v>5060.0285417234927</v>
      </c>
      <c r="Q828">
        <v>5464.8308250613727</v>
      </c>
      <c r="R828">
        <v>5688.8888888888887</v>
      </c>
      <c r="S828" t="s">
        <v>8917</v>
      </c>
      <c r="T828" t="s">
        <v>5923</v>
      </c>
      <c r="U828" t="s">
        <v>8918</v>
      </c>
      <c r="V828" t="s">
        <v>49</v>
      </c>
      <c r="W828">
        <v>338996155</v>
      </c>
      <c r="X828">
        <v>339500751</v>
      </c>
      <c r="Y828">
        <v>340560751</v>
      </c>
      <c r="Z828">
        <v>341660751</v>
      </c>
      <c r="AA828">
        <v>343660751</v>
      </c>
      <c r="AB828">
        <v>24283529166.258781</v>
      </c>
      <c r="AC828">
        <v>5084942.3250000002</v>
      </c>
      <c r="AD828">
        <v>24611511318.0023</v>
      </c>
      <c r="AE828">
        <v>5092511.2649999997</v>
      </c>
      <c r="AF828">
        <v>25848706803.76181</v>
      </c>
      <c r="AG828">
        <v>5108411.2649999997</v>
      </c>
      <c r="AH828">
        <v>28006773056.67627</v>
      </c>
      <c r="AI828">
        <v>5124911.2649999997</v>
      </c>
      <c r="AJ828">
        <v>29325717418.66666</v>
      </c>
      <c r="AK828">
        <v>5154911.2649999997</v>
      </c>
    </row>
    <row r="829" spans="1:37" x14ac:dyDescent="0.35">
      <c r="A829" t="s">
        <v>8919</v>
      </c>
      <c r="B829">
        <v>119.85</v>
      </c>
      <c r="C829" t="s">
        <v>1915</v>
      </c>
      <c r="D829" t="s">
        <v>8920</v>
      </c>
      <c r="E829" t="s">
        <v>8921</v>
      </c>
      <c r="F829">
        <v>3.3332999999999999E-6</v>
      </c>
      <c r="G829" t="s">
        <v>8922</v>
      </c>
      <c r="H829">
        <v>70.8</v>
      </c>
      <c r="I829">
        <v>5.15</v>
      </c>
      <c r="J829" t="s">
        <v>8923</v>
      </c>
      <c r="K829" t="s">
        <v>8924</v>
      </c>
      <c r="L829" t="s">
        <v>8925</v>
      </c>
      <c r="M829" t="s">
        <v>8926</v>
      </c>
      <c r="N829">
        <v>3927.4583229880441</v>
      </c>
      <c r="O829">
        <v>3974.5878228638999</v>
      </c>
      <c r="P829">
        <v>4161.3934505385032</v>
      </c>
      <c r="Q829">
        <v>4494.3049265815825</v>
      </c>
      <c r="R829">
        <v>4678.5714285714284</v>
      </c>
      <c r="S829" t="s">
        <v>8927</v>
      </c>
      <c r="T829" t="s">
        <v>8928</v>
      </c>
      <c r="U829" t="s">
        <v>8929</v>
      </c>
      <c r="V829" t="s">
        <v>49</v>
      </c>
      <c r="W829">
        <v>338996155</v>
      </c>
      <c r="X829">
        <v>339500751</v>
      </c>
      <c r="Y829">
        <v>340560751</v>
      </c>
      <c r="Z829">
        <v>341660751</v>
      </c>
      <c r="AA829">
        <v>343660751</v>
      </c>
      <c r="AB829">
        <v>4437933.1882766364</v>
      </c>
      <c r="AC829">
        <v>1129.9758834615</v>
      </c>
      <c r="AD829">
        <v>4497873.5234074714</v>
      </c>
      <c r="AE829">
        <v>1131.6578533083</v>
      </c>
      <c r="AF829">
        <v>4723977.0221636221</v>
      </c>
      <c r="AG829">
        <v>1135.1911513083001</v>
      </c>
      <c r="AH829">
        <v>5118374.1372096641</v>
      </c>
      <c r="AI829">
        <v>1138.8577813083</v>
      </c>
      <c r="AJ829">
        <v>5359417.6411209749</v>
      </c>
      <c r="AK829">
        <v>1145.5243813083</v>
      </c>
    </row>
    <row r="830" spans="1:37" x14ac:dyDescent="0.35">
      <c r="A830" t="s">
        <v>8930</v>
      </c>
      <c r="B830">
        <v>62.95</v>
      </c>
      <c r="C830" t="s">
        <v>2939</v>
      </c>
      <c r="D830" t="s">
        <v>8931</v>
      </c>
      <c r="E830" t="s">
        <v>8932</v>
      </c>
      <c r="F830">
        <v>1.4999999999999999E-2</v>
      </c>
      <c r="G830" t="s">
        <v>8933</v>
      </c>
      <c r="H830">
        <v>0.1</v>
      </c>
      <c r="I830">
        <v>20.3</v>
      </c>
      <c r="J830" t="s">
        <v>8934</v>
      </c>
      <c r="K830" t="s">
        <v>8935</v>
      </c>
      <c r="L830" t="s">
        <v>8936</v>
      </c>
      <c r="M830" t="s">
        <v>8937</v>
      </c>
      <c r="N830">
        <v>4775.5761253907194</v>
      </c>
      <c r="O830">
        <v>4832.8830388954084</v>
      </c>
      <c r="P830">
        <v>5060.0285417234927</v>
      </c>
      <c r="Q830">
        <v>5464.8308250613727</v>
      </c>
      <c r="R830">
        <v>5688.8888888888887</v>
      </c>
      <c r="S830" t="s">
        <v>8938</v>
      </c>
      <c r="T830" t="s">
        <v>8939</v>
      </c>
      <c r="U830" t="s">
        <v>8940</v>
      </c>
      <c r="V830" t="s">
        <v>49</v>
      </c>
      <c r="W830">
        <v>338996155</v>
      </c>
      <c r="X830">
        <v>339500751</v>
      </c>
      <c r="Y830">
        <v>340560751</v>
      </c>
      <c r="Z830">
        <v>341660751</v>
      </c>
      <c r="AA830">
        <v>343660751</v>
      </c>
      <c r="AB830">
        <v>24283529166.258781</v>
      </c>
      <c r="AC830">
        <v>5084942.3250000002</v>
      </c>
      <c r="AD830">
        <v>24611511318.0023</v>
      </c>
      <c r="AE830">
        <v>5092511.2649999997</v>
      </c>
      <c r="AF830">
        <v>25848706803.76181</v>
      </c>
      <c r="AG830">
        <v>5108411.2649999997</v>
      </c>
      <c r="AH830">
        <v>28006773056.67627</v>
      </c>
      <c r="AI830">
        <v>5124911.2649999997</v>
      </c>
      <c r="AJ830">
        <v>29325717418.66666</v>
      </c>
      <c r="AK830">
        <v>5154911.2649999997</v>
      </c>
    </row>
    <row r="831" spans="1:37" x14ac:dyDescent="0.35">
      <c r="A831" t="s">
        <v>8941</v>
      </c>
      <c r="B831">
        <v>83.92</v>
      </c>
      <c r="C831" t="s">
        <v>4081</v>
      </c>
      <c r="D831" t="s">
        <v>8942</v>
      </c>
      <c r="E831" t="s">
        <v>8943</v>
      </c>
      <c r="F831">
        <v>0.06</v>
      </c>
      <c r="G831" t="s">
        <v>8944</v>
      </c>
      <c r="H831">
        <v>0.25</v>
      </c>
      <c r="I831">
        <v>0.02</v>
      </c>
      <c r="J831" t="s">
        <v>8945</v>
      </c>
      <c r="K831" t="s">
        <v>8946</v>
      </c>
      <c r="L831" t="s">
        <v>8947</v>
      </c>
      <c r="M831" t="s">
        <v>8948</v>
      </c>
      <c r="N831">
        <v>447.71026175538009</v>
      </c>
      <c r="O831">
        <v>453.08278489644471</v>
      </c>
      <c r="P831">
        <v>474.37767578657753</v>
      </c>
      <c r="Q831">
        <v>512.32788984950378</v>
      </c>
      <c r="R831">
        <v>533.33333333333337</v>
      </c>
      <c r="S831" t="s">
        <v>8949</v>
      </c>
      <c r="T831" t="s">
        <v>8950</v>
      </c>
      <c r="U831" t="s">
        <v>8951</v>
      </c>
      <c r="V831" t="s">
        <v>49</v>
      </c>
      <c r="W831">
        <v>338996155</v>
      </c>
      <c r="X831">
        <v>339500751</v>
      </c>
      <c r="Y831">
        <v>340560751</v>
      </c>
      <c r="Z831">
        <v>341660751</v>
      </c>
      <c r="AA831">
        <v>343660751</v>
      </c>
      <c r="AB831">
        <v>9106323437.347044</v>
      </c>
      <c r="AC831">
        <v>20339769.300000001</v>
      </c>
      <c r="AD831">
        <v>9229316744.250864</v>
      </c>
      <c r="AE831">
        <v>20370045.059999999</v>
      </c>
      <c r="AF831">
        <v>9693265051.4106808</v>
      </c>
      <c r="AG831">
        <v>20433645.059999999</v>
      </c>
      <c r="AH831">
        <v>10502539896.253599</v>
      </c>
      <c r="AI831">
        <v>20499645.059999999</v>
      </c>
      <c r="AJ831">
        <v>10997144032</v>
      </c>
      <c r="AK831">
        <v>20619645.059999999</v>
      </c>
    </row>
    <row r="832" spans="1:37" x14ac:dyDescent="0.35">
      <c r="A832" t="s">
        <v>8952</v>
      </c>
      <c r="B832">
        <v>37.880000000000003</v>
      </c>
      <c r="C832" t="s">
        <v>83</v>
      </c>
      <c r="D832" t="s">
        <v>8953</v>
      </c>
      <c r="E832" t="s">
        <v>8954</v>
      </c>
      <c r="F832">
        <v>4.5999999999999999E-2</v>
      </c>
      <c r="G832" t="s">
        <v>8955</v>
      </c>
      <c r="H832">
        <v>0.1</v>
      </c>
      <c r="I832">
        <v>0.02</v>
      </c>
      <c r="J832" t="s">
        <v>8956</v>
      </c>
      <c r="K832" t="s">
        <v>8957</v>
      </c>
      <c r="L832" t="s">
        <v>8958</v>
      </c>
      <c r="M832" t="s">
        <v>8959</v>
      </c>
      <c r="N832">
        <v>963.93530786561541</v>
      </c>
      <c r="O832">
        <v>975.50253156000281</v>
      </c>
      <c r="P832">
        <v>1021.351150543323</v>
      </c>
      <c r="Q832">
        <v>1103.059242586789</v>
      </c>
      <c r="R832">
        <v>1148.2846715328469</v>
      </c>
      <c r="S832" t="s">
        <v>795</v>
      </c>
      <c r="T832" t="s">
        <v>8960</v>
      </c>
      <c r="U832" t="s">
        <v>8961</v>
      </c>
      <c r="V832" t="s">
        <v>94</v>
      </c>
      <c r="W832">
        <v>265472419.80000001</v>
      </c>
      <c r="X832">
        <v>266439117.80000001</v>
      </c>
      <c r="Y832">
        <v>267499117.80000001</v>
      </c>
      <c r="Z832">
        <v>268599117.80000001</v>
      </c>
      <c r="AA832">
        <v>270179117.80000001</v>
      </c>
      <c r="AB832">
        <v>11771318980.64817</v>
      </c>
      <c r="AC832">
        <v>12211731.310799999</v>
      </c>
      <c r="AD832">
        <v>11955953560.343639</v>
      </c>
      <c r="AE832">
        <v>12256199.4188</v>
      </c>
      <c r="AF832">
        <v>12567684459.780279</v>
      </c>
      <c r="AG832">
        <v>12304959.4188</v>
      </c>
      <c r="AH832">
        <v>13628914014.237591</v>
      </c>
      <c r="AI832">
        <v>12355559.4188</v>
      </c>
      <c r="AJ832">
        <v>14271156818.748341</v>
      </c>
      <c r="AK832">
        <v>12428239.4188</v>
      </c>
    </row>
    <row r="833" spans="1:37" x14ac:dyDescent="0.35">
      <c r="A833" t="s">
        <v>8962</v>
      </c>
      <c r="B833">
        <v>52.37</v>
      </c>
      <c r="C833" t="s">
        <v>83</v>
      </c>
      <c r="D833" t="s">
        <v>788</v>
      </c>
      <c r="E833" t="s">
        <v>8963</v>
      </c>
      <c r="F833">
        <v>4.5999999999999999E-2</v>
      </c>
      <c r="G833" t="s">
        <v>8964</v>
      </c>
      <c r="H833">
        <v>0.2</v>
      </c>
      <c r="I833">
        <v>0.05</v>
      </c>
      <c r="J833" t="s">
        <v>8965</v>
      </c>
      <c r="K833" t="s">
        <v>8966</v>
      </c>
      <c r="L833" t="s">
        <v>8967</v>
      </c>
      <c r="M833" t="s">
        <v>8968</v>
      </c>
      <c r="N833">
        <v>963.93530786561541</v>
      </c>
      <c r="O833">
        <v>975.50253156000281</v>
      </c>
      <c r="P833">
        <v>1021.351150543323</v>
      </c>
      <c r="Q833">
        <v>1103.059242586789</v>
      </c>
      <c r="R833">
        <v>1148.2846715328469</v>
      </c>
      <c r="S833" t="s">
        <v>8969</v>
      </c>
      <c r="T833" t="s">
        <v>8970</v>
      </c>
      <c r="U833" t="s">
        <v>126</v>
      </c>
      <c r="V833" t="s">
        <v>94</v>
      </c>
      <c r="W833">
        <v>265472419.80000001</v>
      </c>
      <c r="X833">
        <v>266439117.80000001</v>
      </c>
      <c r="Y833">
        <v>267499117.80000001</v>
      </c>
      <c r="Z833">
        <v>268599117.80000001</v>
      </c>
      <c r="AA833">
        <v>270179117.80000001</v>
      </c>
      <c r="AB833">
        <v>11771318980.64817</v>
      </c>
      <c r="AC833">
        <v>12211731.310799999</v>
      </c>
      <c r="AD833">
        <v>11955953560.343639</v>
      </c>
      <c r="AE833">
        <v>12256199.4188</v>
      </c>
      <c r="AF833">
        <v>12567684459.780279</v>
      </c>
      <c r="AG833">
        <v>12304959.4188</v>
      </c>
      <c r="AH833">
        <v>13628914014.237591</v>
      </c>
      <c r="AI833">
        <v>12355559.4188</v>
      </c>
      <c r="AJ833">
        <v>14271156818.748341</v>
      </c>
      <c r="AK833">
        <v>12428239.4188</v>
      </c>
    </row>
    <row r="834" spans="1:37" x14ac:dyDescent="0.35">
      <c r="A834" t="s">
        <v>8971</v>
      </c>
      <c r="B834">
        <v>88.01</v>
      </c>
      <c r="C834" t="s">
        <v>83</v>
      </c>
      <c r="D834" t="s">
        <v>8972</v>
      </c>
      <c r="E834" t="s">
        <v>8973</v>
      </c>
      <c r="F834">
        <v>4.5999999999999999E-2</v>
      </c>
      <c r="G834" t="s">
        <v>8974</v>
      </c>
      <c r="H834">
        <v>0.2</v>
      </c>
      <c r="I834">
        <v>0.02</v>
      </c>
      <c r="J834" t="s">
        <v>8975</v>
      </c>
      <c r="K834" t="s">
        <v>8976</v>
      </c>
      <c r="L834" t="s">
        <v>8977</v>
      </c>
      <c r="M834" t="s">
        <v>8978</v>
      </c>
      <c r="N834">
        <v>963.93530786561541</v>
      </c>
      <c r="O834">
        <v>975.50253156000281</v>
      </c>
      <c r="P834">
        <v>1021.351150543323</v>
      </c>
      <c r="Q834">
        <v>1103.059242586789</v>
      </c>
      <c r="R834">
        <v>1148.2846715328469</v>
      </c>
      <c r="S834" t="s">
        <v>8979</v>
      </c>
      <c r="T834" t="s">
        <v>8980</v>
      </c>
      <c r="U834" t="s">
        <v>93</v>
      </c>
      <c r="V834" t="s">
        <v>94</v>
      </c>
      <c r="W834">
        <v>265472419.80000001</v>
      </c>
      <c r="X834">
        <v>266439117.80000001</v>
      </c>
      <c r="Y834">
        <v>267499117.80000001</v>
      </c>
      <c r="Z834">
        <v>268599117.80000001</v>
      </c>
      <c r="AA834">
        <v>270179117.80000001</v>
      </c>
      <c r="AB834">
        <v>11771318980.64817</v>
      </c>
      <c r="AC834">
        <v>12211731.310799999</v>
      </c>
      <c r="AD834">
        <v>11955953560.343639</v>
      </c>
      <c r="AE834">
        <v>12256199.4188</v>
      </c>
      <c r="AF834">
        <v>12567684459.780279</v>
      </c>
      <c r="AG834">
        <v>12304959.4188</v>
      </c>
      <c r="AH834">
        <v>13628914014.237591</v>
      </c>
      <c r="AI834">
        <v>12355559.4188</v>
      </c>
      <c r="AJ834">
        <v>14271156818.748341</v>
      </c>
      <c r="AK834">
        <v>12428239.4188</v>
      </c>
    </row>
    <row r="835" spans="1:37" x14ac:dyDescent="0.35">
      <c r="A835" t="s">
        <v>8981</v>
      </c>
      <c r="B835">
        <v>2210.15</v>
      </c>
      <c r="C835" t="s">
        <v>8757</v>
      </c>
      <c r="D835" t="s">
        <v>8982</v>
      </c>
      <c r="E835" t="s">
        <v>8983</v>
      </c>
      <c r="F835">
        <v>1E-3</v>
      </c>
      <c r="G835" t="s">
        <v>8984</v>
      </c>
      <c r="H835">
        <v>1.05</v>
      </c>
      <c r="I835">
        <v>0.11</v>
      </c>
      <c r="J835" t="s">
        <v>8985</v>
      </c>
      <c r="K835" t="s">
        <v>8986</v>
      </c>
      <c r="L835" t="s">
        <v>8987</v>
      </c>
      <c r="M835" t="s">
        <v>8988</v>
      </c>
      <c r="N835">
        <v>304.30306853685988</v>
      </c>
      <c r="O835">
        <v>307.95470535930218</v>
      </c>
      <c r="P835">
        <v>322.42857651118942</v>
      </c>
      <c r="Q835">
        <v>348.22286263208463</v>
      </c>
      <c r="R835">
        <v>362.5</v>
      </c>
      <c r="S835" t="s">
        <v>8989</v>
      </c>
      <c r="T835" t="s">
        <v>8990</v>
      </c>
      <c r="U835" t="s">
        <v>8991</v>
      </c>
      <c r="V835" t="s">
        <v>49</v>
      </c>
      <c r="W835">
        <v>338996155</v>
      </c>
      <c r="X835">
        <v>339500751</v>
      </c>
      <c r="Y835">
        <v>340560751</v>
      </c>
      <c r="Z835">
        <v>341660751</v>
      </c>
      <c r="AA835">
        <v>343660751</v>
      </c>
      <c r="AB835">
        <v>103157570.188697</v>
      </c>
      <c r="AC835">
        <v>338996.15500000003</v>
      </c>
      <c r="AD835">
        <v>104550853.74346679</v>
      </c>
      <c r="AE835">
        <v>339500.75099999999</v>
      </c>
      <c r="AF835">
        <v>109806518.1605116</v>
      </c>
      <c r="AG835">
        <v>340560.75099999999</v>
      </c>
      <c r="AH835">
        <v>118974084.7622478</v>
      </c>
      <c r="AI835">
        <v>341660.75099999999</v>
      </c>
      <c r="AJ835">
        <v>124577022.2375</v>
      </c>
      <c r="AK835">
        <v>343660.75099999999</v>
      </c>
    </row>
    <row r="836" spans="1:37" x14ac:dyDescent="0.35">
      <c r="A836" t="s">
        <v>8992</v>
      </c>
      <c r="B836">
        <v>2210.15</v>
      </c>
      <c r="C836" t="s">
        <v>8757</v>
      </c>
      <c r="D836" t="s">
        <v>8993</v>
      </c>
      <c r="E836" t="s">
        <v>8994</v>
      </c>
      <c r="F836">
        <v>1E-3</v>
      </c>
      <c r="G836" t="s">
        <v>8995</v>
      </c>
      <c r="H836">
        <v>0.2</v>
      </c>
      <c r="I836">
        <v>0.02</v>
      </c>
      <c r="J836" t="s">
        <v>8996</v>
      </c>
      <c r="K836" t="s">
        <v>8997</v>
      </c>
      <c r="L836" t="s">
        <v>8998</v>
      </c>
      <c r="M836" t="s">
        <v>8999</v>
      </c>
      <c r="N836">
        <v>304.30306853685988</v>
      </c>
      <c r="O836">
        <v>307.95470535930218</v>
      </c>
      <c r="P836">
        <v>322.42857651118942</v>
      </c>
      <c r="Q836">
        <v>348.22286263208463</v>
      </c>
      <c r="R836">
        <v>362.5</v>
      </c>
      <c r="S836" t="s">
        <v>9000</v>
      </c>
      <c r="T836" t="s">
        <v>9001</v>
      </c>
      <c r="U836" t="s">
        <v>9002</v>
      </c>
      <c r="V836" t="s">
        <v>49</v>
      </c>
      <c r="W836">
        <v>338996155</v>
      </c>
      <c r="X836">
        <v>339500751</v>
      </c>
      <c r="Y836">
        <v>340560751</v>
      </c>
      <c r="Z836">
        <v>341660751</v>
      </c>
      <c r="AA836">
        <v>343660751</v>
      </c>
      <c r="AB836">
        <v>103157570.188697</v>
      </c>
      <c r="AC836">
        <v>338996.15500000003</v>
      </c>
      <c r="AD836">
        <v>104550853.74346679</v>
      </c>
      <c r="AE836">
        <v>339500.75099999999</v>
      </c>
      <c r="AF836">
        <v>109806518.1605116</v>
      </c>
      <c r="AG836">
        <v>340560.75099999999</v>
      </c>
      <c r="AH836">
        <v>118974084.7622478</v>
      </c>
      <c r="AI836">
        <v>341660.75099999999</v>
      </c>
      <c r="AJ836">
        <v>124577022.2375</v>
      </c>
      <c r="AK836">
        <v>343660.75099999999</v>
      </c>
    </row>
    <row r="837" spans="1:37" x14ac:dyDescent="0.35">
      <c r="A837" t="s">
        <v>9003</v>
      </c>
      <c r="B837">
        <v>2210.15</v>
      </c>
      <c r="C837" t="s">
        <v>8757</v>
      </c>
      <c r="D837" t="s">
        <v>9004</v>
      </c>
      <c r="E837" t="s">
        <v>9005</v>
      </c>
      <c r="F837">
        <v>1E-3</v>
      </c>
      <c r="G837" t="s">
        <v>9006</v>
      </c>
      <c r="H837">
        <v>0.2</v>
      </c>
      <c r="I837">
        <v>0.03</v>
      </c>
      <c r="J837" t="s">
        <v>9007</v>
      </c>
      <c r="K837" t="s">
        <v>9008</v>
      </c>
      <c r="L837" t="s">
        <v>9009</v>
      </c>
      <c r="M837" t="s">
        <v>9010</v>
      </c>
      <c r="N837">
        <v>304.30306853685988</v>
      </c>
      <c r="O837">
        <v>307.95470535930218</v>
      </c>
      <c r="P837">
        <v>322.42857651118942</v>
      </c>
      <c r="Q837">
        <v>348.22286263208463</v>
      </c>
      <c r="R837">
        <v>362.5</v>
      </c>
      <c r="S837" t="s">
        <v>9011</v>
      </c>
      <c r="T837" t="s">
        <v>9012</v>
      </c>
      <c r="U837" t="s">
        <v>9013</v>
      </c>
      <c r="V837" t="s">
        <v>49</v>
      </c>
      <c r="W837">
        <v>338996155</v>
      </c>
      <c r="X837">
        <v>339500751</v>
      </c>
      <c r="Y837">
        <v>340560751</v>
      </c>
      <c r="Z837">
        <v>341660751</v>
      </c>
      <c r="AA837">
        <v>343660751</v>
      </c>
      <c r="AB837">
        <v>103157570.188697</v>
      </c>
      <c r="AC837">
        <v>338996.15500000003</v>
      </c>
      <c r="AD837">
        <v>104550853.74346679</v>
      </c>
      <c r="AE837">
        <v>339500.75099999999</v>
      </c>
      <c r="AF837">
        <v>109806518.1605116</v>
      </c>
      <c r="AG837">
        <v>340560.75099999999</v>
      </c>
      <c r="AH837">
        <v>118974084.7622478</v>
      </c>
      <c r="AI837">
        <v>341660.75099999999</v>
      </c>
      <c r="AJ837">
        <v>124577022.2375</v>
      </c>
      <c r="AK837">
        <v>343660.75099999999</v>
      </c>
    </row>
    <row r="838" spans="1:37" x14ac:dyDescent="0.35">
      <c r="A838" t="s">
        <v>9014</v>
      </c>
      <c r="B838">
        <v>2772.61</v>
      </c>
      <c r="C838" t="s">
        <v>8757</v>
      </c>
      <c r="D838" t="s">
        <v>9015</v>
      </c>
      <c r="E838" t="s">
        <v>9016</v>
      </c>
      <c r="F838">
        <v>1E-3</v>
      </c>
      <c r="G838" t="s">
        <v>9017</v>
      </c>
      <c r="H838">
        <v>0.2</v>
      </c>
      <c r="I838">
        <v>0.1</v>
      </c>
      <c r="J838" t="s">
        <v>9018</v>
      </c>
      <c r="K838" t="s">
        <v>9019</v>
      </c>
      <c r="L838" t="s">
        <v>9020</v>
      </c>
      <c r="M838" t="s">
        <v>9021</v>
      </c>
      <c r="N838">
        <v>304.30306853685988</v>
      </c>
      <c r="O838">
        <v>307.95470535930218</v>
      </c>
      <c r="P838">
        <v>322.42857651118942</v>
      </c>
      <c r="Q838">
        <v>348.22286263208463</v>
      </c>
      <c r="R838">
        <v>362.5</v>
      </c>
      <c r="S838" t="s">
        <v>9022</v>
      </c>
      <c r="T838" t="s">
        <v>9023</v>
      </c>
      <c r="U838" t="s">
        <v>9024</v>
      </c>
      <c r="V838" t="s">
        <v>49</v>
      </c>
      <c r="W838">
        <v>338996155</v>
      </c>
      <c r="X838">
        <v>339500751</v>
      </c>
      <c r="Y838">
        <v>340560751</v>
      </c>
      <c r="Z838">
        <v>341660751</v>
      </c>
      <c r="AA838">
        <v>343660751</v>
      </c>
      <c r="AB838">
        <v>103157570.188697</v>
      </c>
      <c r="AC838">
        <v>338996.15500000003</v>
      </c>
      <c r="AD838">
        <v>104550853.74346679</v>
      </c>
      <c r="AE838">
        <v>339500.75099999999</v>
      </c>
      <c r="AF838">
        <v>109806518.1605116</v>
      </c>
      <c r="AG838">
        <v>340560.75099999999</v>
      </c>
      <c r="AH838">
        <v>118974084.7622478</v>
      </c>
      <c r="AI838">
        <v>341660.75099999999</v>
      </c>
      <c r="AJ838">
        <v>124577022.2375</v>
      </c>
      <c r="AK838">
        <v>343660.75099999999</v>
      </c>
    </row>
    <row r="839" spans="1:37" x14ac:dyDescent="0.35">
      <c r="A839" t="s">
        <v>9025</v>
      </c>
      <c r="B839">
        <v>5681.55</v>
      </c>
      <c r="C839" t="s">
        <v>8757</v>
      </c>
      <c r="D839" t="s">
        <v>9026</v>
      </c>
      <c r="E839" t="s">
        <v>9027</v>
      </c>
      <c r="F839">
        <v>1E-3</v>
      </c>
      <c r="G839" t="s">
        <v>9028</v>
      </c>
      <c r="H839">
        <v>0.3</v>
      </c>
      <c r="I839">
        <v>0.01</v>
      </c>
      <c r="J839" t="s">
        <v>9029</v>
      </c>
      <c r="K839" t="s">
        <v>9030</v>
      </c>
      <c r="L839" t="s">
        <v>9031</v>
      </c>
      <c r="M839" t="s">
        <v>9032</v>
      </c>
      <c r="N839">
        <v>304.30306853685988</v>
      </c>
      <c r="O839">
        <v>307.95470535930218</v>
      </c>
      <c r="P839">
        <v>322.42857651118942</v>
      </c>
      <c r="Q839">
        <v>348.22286263208463</v>
      </c>
      <c r="R839">
        <v>362.5</v>
      </c>
      <c r="S839" t="s">
        <v>9033</v>
      </c>
      <c r="T839" t="s">
        <v>9034</v>
      </c>
      <c r="U839" t="s">
        <v>9035</v>
      </c>
      <c r="V839" t="s">
        <v>49</v>
      </c>
      <c r="W839">
        <v>338996155</v>
      </c>
      <c r="X839">
        <v>339500751</v>
      </c>
      <c r="Y839">
        <v>340560751</v>
      </c>
      <c r="Z839">
        <v>341660751</v>
      </c>
      <c r="AA839">
        <v>343660751</v>
      </c>
      <c r="AB839">
        <v>103157570.188697</v>
      </c>
      <c r="AC839">
        <v>338996.15500000003</v>
      </c>
      <c r="AD839">
        <v>104550853.74346679</v>
      </c>
      <c r="AE839">
        <v>339500.75099999999</v>
      </c>
      <c r="AF839">
        <v>109806518.1605116</v>
      </c>
      <c r="AG839">
        <v>340560.75099999999</v>
      </c>
      <c r="AH839">
        <v>118974084.7622478</v>
      </c>
      <c r="AI839">
        <v>341660.75099999999</v>
      </c>
      <c r="AJ839">
        <v>124577022.2375</v>
      </c>
      <c r="AK839">
        <v>343660.75099999999</v>
      </c>
    </row>
    <row r="840" spans="1:37" x14ac:dyDescent="0.35">
      <c r="A840" t="s">
        <v>9036</v>
      </c>
      <c r="B840">
        <v>59.69</v>
      </c>
      <c r="C840" t="s">
        <v>83</v>
      </c>
      <c r="D840" t="s">
        <v>9037</v>
      </c>
      <c r="E840" t="s">
        <v>9038</v>
      </c>
      <c r="F840">
        <v>4.5999999999999999E-2</v>
      </c>
      <c r="G840" t="s">
        <v>9039</v>
      </c>
      <c r="H840">
        <v>0.2</v>
      </c>
      <c r="I840">
        <v>0.1</v>
      </c>
      <c r="J840" t="s">
        <v>9040</v>
      </c>
      <c r="K840" t="s">
        <v>9041</v>
      </c>
      <c r="L840" t="s">
        <v>9042</v>
      </c>
      <c r="M840" t="s">
        <v>9043</v>
      </c>
      <c r="N840">
        <v>963.93530786561541</v>
      </c>
      <c r="O840">
        <v>975.50253156000281</v>
      </c>
      <c r="P840">
        <v>1021.351150543323</v>
      </c>
      <c r="Q840">
        <v>1103.059242586789</v>
      </c>
      <c r="R840">
        <v>1148.2846715328469</v>
      </c>
      <c r="S840" t="s">
        <v>9044</v>
      </c>
      <c r="T840" t="s">
        <v>9045</v>
      </c>
      <c r="U840" t="s">
        <v>9046</v>
      </c>
      <c r="V840" t="s">
        <v>94</v>
      </c>
      <c r="W840">
        <v>265472419.80000001</v>
      </c>
      <c r="X840">
        <v>266439117.80000001</v>
      </c>
      <c r="Y840">
        <v>267499117.80000001</v>
      </c>
      <c r="Z840">
        <v>268599117.80000001</v>
      </c>
      <c r="AA840">
        <v>270179117.80000001</v>
      </c>
      <c r="AB840">
        <v>11771318980.64817</v>
      </c>
      <c r="AC840">
        <v>12211731.310799999</v>
      </c>
      <c r="AD840">
        <v>11955953560.343639</v>
      </c>
      <c r="AE840">
        <v>12256199.4188</v>
      </c>
      <c r="AF840">
        <v>12567684459.780279</v>
      </c>
      <c r="AG840">
        <v>12304959.4188</v>
      </c>
      <c r="AH840">
        <v>13628914014.237591</v>
      </c>
      <c r="AI840">
        <v>12355559.4188</v>
      </c>
      <c r="AJ840">
        <v>14271156818.748341</v>
      </c>
      <c r="AK840">
        <v>12428239.4188</v>
      </c>
    </row>
    <row r="841" spans="1:37" x14ac:dyDescent="0.35">
      <c r="A841" t="s">
        <v>9047</v>
      </c>
      <c r="B841">
        <v>67.760000000000005</v>
      </c>
      <c r="C841" t="s">
        <v>83</v>
      </c>
      <c r="D841" t="s">
        <v>9048</v>
      </c>
      <c r="E841" t="s">
        <v>118</v>
      </c>
      <c r="F841">
        <v>4.5999999999999999E-2</v>
      </c>
      <c r="G841" t="s">
        <v>9049</v>
      </c>
      <c r="H841">
        <v>0.3</v>
      </c>
      <c r="I841">
        <v>0.05</v>
      </c>
      <c r="J841" t="s">
        <v>9050</v>
      </c>
      <c r="K841" t="s">
        <v>9051</v>
      </c>
      <c r="L841" t="s">
        <v>9052</v>
      </c>
      <c r="M841" t="s">
        <v>9053</v>
      </c>
      <c r="N841">
        <v>963.93530786561541</v>
      </c>
      <c r="O841">
        <v>975.50253156000281</v>
      </c>
      <c r="P841">
        <v>1021.351150543323</v>
      </c>
      <c r="Q841">
        <v>1103.059242586789</v>
      </c>
      <c r="R841">
        <v>1148.2846715328469</v>
      </c>
      <c r="S841" t="s">
        <v>9054</v>
      </c>
      <c r="T841" t="s">
        <v>9055</v>
      </c>
      <c r="U841" t="s">
        <v>9056</v>
      </c>
      <c r="V841" t="s">
        <v>94</v>
      </c>
      <c r="W841">
        <v>265472419.80000001</v>
      </c>
      <c r="X841">
        <v>266439117.80000001</v>
      </c>
      <c r="Y841">
        <v>267499117.80000001</v>
      </c>
      <c r="Z841">
        <v>268599117.80000001</v>
      </c>
      <c r="AA841">
        <v>270179117.80000001</v>
      </c>
      <c r="AB841">
        <v>11771318980.64817</v>
      </c>
      <c r="AC841">
        <v>12211731.310799999</v>
      </c>
      <c r="AD841">
        <v>11955953560.343639</v>
      </c>
      <c r="AE841">
        <v>12256199.4188</v>
      </c>
      <c r="AF841">
        <v>12567684459.780279</v>
      </c>
      <c r="AG841">
        <v>12304959.4188</v>
      </c>
      <c r="AH841">
        <v>13628914014.237591</v>
      </c>
      <c r="AI841">
        <v>12355559.4188</v>
      </c>
      <c r="AJ841">
        <v>14271156818.748341</v>
      </c>
      <c r="AK841">
        <v>12428239.4188</v>
      </c>
    </row>
    <row r="842" spans="1:37" x14ac:dyDescent="0.35">
      <c r="A842" t="s">
        <v>9057</v>
      </c>
      <c r="B842">
        <v>74.87</v>
      </c>
      <c r="C842" t="s">
        <v>83</v>
      </c>
      <c r="D842" t="s">
        <v>9058</v>
      </c>
      <c r="E842" t="s">
        <v>9059</v>
      </c>
      <c r="F842">
        <v>4.5999999999999999E-2</v>
      </c>
      <c r="G842" t="s">
        <v>9060</v>
      </c>
      <c r="H842">
        <v>0.1</v>
      </c>
      <c r="I842">
        <v>0.34</v>
      </c>
      <c r="J842" t="s">
        <v>9061</v>
      </c>
      <c r="K842" t="s">
        <v>9062</v>
      </c>
      <c r="L842" t="s">
        <v>9063</v>
      </c>
      <c r="M842" t="s">
        <v>9064</v>
      </c>
      <c r="N842">
        <v>963.93530786561541</v>
      </c>
      <c r="O842">
        <v>975.50253156000281</v>
      </c>
      <c r="P842">
        <v>1021.351150543323</v>
      </c>
      <c r="Q842">
        <v>1103.059242586789</v>
      </c>
      <c r="R842">
        <v>1148.2846715328469</v>
      </c>
      <c r="S842" t="s">
        <v>9065</v>
      </c>
      <c r="T842" t="s">
        <v>9066</v>
      </c>
      <c r="U842" t="s">
        <v>4374</v>
      </c>
      <c r="V842" t="s">
        <v>94</v>
      </c>
      <c r="W842">
        <v>265472419.80000001</v>
      </c>
      <c r="X842">
        <v>266439117.80000001</v>
      </c>
      <c r="Y842">
        <v>267499117.80000001</v>
      </c>
      <c r="Z842">
        <v>268599117.80000001</v>
      </c>
      <c r="AA842">
        <v>270179117.80000001</v>
      </c>
      <c r="AB842">
        <v>11771318980.64817</v>
      </c>
      <c r="AC842">
        <v>12211731.310799999</v>
      </c>
      <c r="AD842">
        <v>11955953560.343639</v>
      </c>
      <c r="AE842">
        <v>12256199.4188</v>
      </c>
      <c r="AF842">
        <v>12567684459.780279</v>
      </c>
      <c r="AG842">
        <v>12304959.4188</v>
      </c>
      <c r="AH842">
        <v>13628914014.237591</v>
      </c>
      <c r="AI842">
        <v>12355559.4188</v>
      </c>
      <c r="AJ842">
        <v>14271156818.748341</v>
      </c>
      <c r="AK842">
        <v>12428239.4188</v>
      </c>
    </row>
    <row r="843" spans="1:37" x14ac:dyDescent="0.35">
      <c r="A843" t="s">
        <v>9067</v>
      </c>
      <c r="B843">
        <v>76.16</v>
      </c>
      <c r="C843" t="s">
        <v>83</v>
      </c>
      <c r="D843" t="s">
        <v>9068</v>
      </c>
      <c r="E843" t="s">
        <v>6154</v>
      </c>
      <c r="F843">
        <v>4.5999999999999999E-2</v>
      </c>
      <c r="G843" t="s">
        <v>9069</v>
      </c>
      <c r="H843">
        <v>0.2</v>
      </c>
      <c r="I843">
        <v>0.01</v>
      </c>
      <c r="J843" t="s">
        <v>9070</v>
      </c>
      <c r="K843" t="s">
        <v>9071</v>
      </c>
      <c r="L843" t="s">
        <v>9072</v>
      </c>
      <c r="M843" t="s">
        <v>9073</v>
      </c>
      <c r="N843">
        <v>963.93530786561541</v>
      </c>
      <c r="O843">
        <v>975.50253156000281</v>
      </c>
      <c r="P843">
        <v>1021.351150543323</v>
      </c>
      <c r="Q843">
        <v>1103.059242586789</v>
      </c>
      <c r="R843">
        <v>1148.2846715328469</v>
      </c>
      <c r="S843" t="s">
        <v>9074</v>
      </c>
      <c r="T843" t="s">
        <v>9075</v>
      </c>
      <c r="U843" t="s">
        <v>126</v>
      </c>
      <c r="V843" t="s">
        <v>94</v>
      </c>
      <c r="W843">
        <v>265472419.80000001</v>
      </c>
      <c r="X843">
        <v>266439117.80000001</v>
      </c>
      <c r="Y843">
        <v>267499117.80000001</v>
      </c>
      <c r="Z843">
        <v>268599117.80000001</v>
      </c>
      <c r="AA843">
        <v>270179117.80000001</v>
      </c>
      <c r="AB843">
        <v>11771318980.64817</v>
      </c>
      <c r="AC843">
        <v>12211731.310799999</v>
      </c>
      <c r="AD843">
        <v>11955953560.343639</v>
      </c>
      <c r="AE843">
        <v>12256199.4188</v>
      </c>
      <c r="AF843">
        <v>12567684459.780279</v>
      </c>
      <c r="AG843">
        <v>12304959.4188</v>
      </c>
      <c r="AH843">
        <v>13628914014.237591</v>
      </c>
      <c r="AI843">
        <v>12355559.4188</v>
      </c>
      <c r="AJ843">
        <v>14271156818.748341</v>
      </c>
      <c r="AK843">
        <v>12428239.4188</v>
      </c>
    </row>
    <row r="844" spans="1:37" x14ac:dyDescent="0.35">
      <c r="A844" t="s">
        <v>9076</v>
      </c>
      <c r="B844">
        <v>76.760000000000005</v>
      </c>
      <c r="C844" t="s">
        <v>83</v>
      </c>
      <c r="D844" t="s">
        <v>9077</v>
      </c>
      <c r="E844" t="s">
        <v>9078</v>
      </c>
      <c r="F844">
        <v>4.5999999999999999E-2</v>
      </c>
      <c r="G844" t="s">
        <v>9079</v>
      </c>
      <c r="H844">
        <v>0.2</v>
      </c>
      <c r="I844">
        <v>0.05</v>
      </c>
      <c r="J844" t="s">
        <v>9080</v>
      </c>
      <c r="K844" t="s">
        <v>9081</v>
      </c>
      <c r="L844" t="s">
        <v>9082</v>
      </c>
      <c r="M844" t="s">
        <v>9083</v>
      </c>
      <c r="N844">
        <v>963.93530786561541</v>
      </c>
      <c r="O844">
        <v>975.50253156000281</v>
      </c>
      <c r="P844">
        <v>1021.351150543323</v>
      </c>
      <c r="Q844">
        <v>1103.059242586789</v>
      </c>
      <c r="R844">
        <v>1148.2846715328469</v>
      </c>
      <c r="S844" t="s">
        <v>9084</v>
      </c>
      <c r="T844" t="s">
        <v>9085</v>
      </c>
      <c r="U844" t="s">
        <v>797</v>
      </c>
      <c r="V844" t="s">
        <v>94</v>
      </c>
      <c r="W844">
        <v>265472419.80000001</v>
      </c>
      <c r="X844">
        <v>266439117.80000001</v>
      </c>
      <c r="Y844">
        <v>267499117.80000001</v>
      </c>
      <c r="Z844">
        <v>268599117.80000001</v>
      </c>
      <c r="AA844">
        <v>270179117.80000001</v>
      </c>
      <c r="AB844">
        <v>11771318980.64817</v>
      </c>
      <c r="AC844">
        <v>12211731.310799999</v>
      </c>
      <c r="AD844">
        <v>11955953560.343639</v>
      </c>
      <c r="AE844">
        <v>12256199.4188</v>
      </c>
      <c r="AF844">
        <v>12567684459.780279</v>
      </c>
      <c r="AG844">
        <v>12304959.4188</v>
      </c>
      <c r="AH844">
        <v>13628914014.237591</v>
      </c>
      <c r="AI844">
        <v>12355559.4188</v>
      </c>
      <c r="AJ844">
        <v>14271156818.748341</v>
      </c>
      <c r="AK844">
        <v>12428239.4188</v>
      </c>
    </row>
    <row r="845" spans="1:37" x14ac:dyDescent="0.35">
      <c r="A845" t="s">
        <v>9086</v>
      </c>
      <c r="B845">
        <v>767.54</v>
      </c>
      <c r="C845" t="s">
        <v>83</v>
      </c>
      <c r="D845" t="s">
        <v>9087</v>
      </c>
      <c r="E845" t="s">
        <v>9088</v>
      </c>
      <c r="F845">
        <v>4.5999999999999999E-2</v>
      </c>
      <c r="G845" t="s">
        <v>9089</v>
      </c>
      <c r="H845">
        <v>0.3</v>
      </c>
      <c r="I845">
        <v>5.0999999999999996</v>
      </c>
      <c r="J845" t="s">
        <v>9090</v>
      </c>
      <c r="K845" t="s">
        <v>9091</v>
      </c>
      <c r="L845" t="s">
        <v>9092</v>
      </c>
      <c r="M845" t="s">
        <v>9093</v>
      </c>
      <c r="N845">
        <v>963.93530786561541</v>
      </c>
      <c r="O845">
        <v>975.50253156000281</v>
      </c>
      <c r="P845">
        <v>1021.351150543323</v>
      </c>
      <c r="Q845">
        <v>1103.059242586789</v>
      </c>
      <c r="R845">
        <v>1148.2846715328469</v>
      </c>
      <c r="S845" t="s">
        <v>9094</v>
      </c>
      <c r="T845" t="s">
        <v>9095</v>
      </c>
      <c r="U845" t="s">
        <v>126</v>
      </c>
      <c r="V845" t="s">
        <v>94</v>
      </c>
      <c r="W845">
        <v>265472419.80000001</v>
      </c>
      <c r="X845">
        <v>266439117.80000001</v>
      </c>
      <c r="Y845">
        <v>267499117.80000001</v>
      </c>
      <c r="Z845">
        <v>268599117.80000001</v>
      </c>
      <c r="AA845">
        <v>270179117.80000001</v>
      </c>
      <c r="AB845">
        <v>11771318980.64817</v>
      </c>
      <c r="AC845">
        <v>12211731.310799999</v>
      </c>
      <c r="AD845">
        <v>11955953560.343639</v>
      </c>
      <c r="AE845">
        <v>12256199.4188</v>
      </c>
      <c r="AF845">
        <v>12567684459.780279</v>
      </c>
      <c r="AG845">
        <v>12304959.4188</v>
      </c>
      <c r="AH845">
        <v>13628914014.237591</v>
      </c>
      <c r="AI845">
        <v>12355559.4188</v>
      </c>
      <c r="AJ845">
        <v>14271156818.748341</v>
      </c>
      <c r="AK845">
        <v>12428239.4188</v>
      </c>
    </row>
    <row r="846" spans="1:37" x14ac:dyDescent="0.35">
      <c r="A846" t="s">
        <v>9096</v>
      </c>
      <c r="B846">
        <v>88.75</v>
      </c>
      <c r="C846" t="s">
        <v>83</v>
      </c>
      <c r="D846" t="s">
        <v>9097</v>
      </c>
      <c r="E846" t="s">
        <v>9098</v>
      </c>
      <c r="F846">
        <v>4.5999999999999999E-2</v>
      </c>
      <c r="G846" t="s">
        <v>9099</v>
      </c>
      <c r="H846">
        <v>0.2</v>
      </c>
      <c r="I846">
        <v>0.05</v>
      </c>
      <c r="J846" t="s">
        <v>9100</v>
      </c>
      <c r="K846" t="s">
        <v>9101</v>
      </c>
      <c r="L846" t="s">
        <v>9102</v>
      </c>
      <c r="M846" t="s">
        <v>9103</v>
      </c>
      <c r="N846">
        <v>963.93530786561541</v>
      </c>
      <c r="O846">
        <v>975.50253156000281</v>
      </c>
      <c r="P846">
        <v>1021.351150543323</v>
      </c>
      <c r="Q846">
        <v>1103.059242586789</v>
      </c>
      <c r="R846">
        <v>1148.2846715328469</v>
      </c>
      <c r="S846" t="s">
        <v>9104</v>
      </c>
      <c r="T846" t="s">
        <v>9105</v>
      </c>
      <c r="U846" t="s">
        <v>9106</v>
      </c>
      <c r="V846" t="s">
        <v>94</v>
      </c>
      <c r="W846">
        <v>265472419.80000001</v>
      </c>
      <c r="X846">
        <v>266439117.80000001</v>
      </c>
      <c r="Y846">
        <v>267499117.80000001</v>
      </c>
      <c r="Z846">
        <v>268599117.80000001</v>
      </c>
      <c r="AA846">
        <v>270179117.80000001</v>
      </c>
      <c r="AB846">
        <v>11771318980.64817</v>
      </c>
      <c r="AC846">
        <v>12211731.310799999</v>
      </c>
      <c r="AD846">
        <v>11955953560.343639</v>
      </c>
      <c r="AE846">
        <v>12256199.4188</v>
      </c>
      <c r="AF846">
        <v>12567684459.780279</v>
      </c>
      <c r="AG846">
        <v>12304959.4188</v>
      </c>
      <c r="AH846">
        <v>13628914014.237591</v>
      </c>
      <c r="AI846">
        <v>12355559.4188</v>
      </c>
      <c r="AJ846">
        <v>14271156818.748341</v>
      </c>
      <c r="AK846">
        <v>12428239.4188</v>
      </c>
    </row>
    <row r="847" spans="1:37" x14ac:dyDescent="0.35">
      <c r="A847" t="s">
        <v>9107</v>
      </c>
      <c r="B847">
        <v>89.98</v>
      </c>
      <c r="C847" t="s">
        <v>83</v>
      </c>
      <c r="D847" t="s">
        <v>9108</v>
      </c>
      <c r="E847" t="s">
        <v>2095</v>
      </c>
      <c r="F847">
        <v>4.5999999999999999E-2</v>
      </c>
      <c r="G847" t="s">
        <v>9109</v>
      </c>
      <c r="H847">
        <v>0.2</v>
      </c>
      <c r="I847">
        <v>0.05</v>
      </c>
      <c r="J847" t="s">
        <v>9110</v>
      </c>
      <c r="K847" t="s">
        <v>9111</v>
      </c>
      <c r="L847" t="s">
        <v>9112</v>
      </c>
      <c r="M847" t="s">
        <v>9113</v>
      </c>
      <c r="N847">
        <v>963.93530786561541</v>
      </c>
      <c r="O847">
        <v>975.50253156000281</v>
      </c>
      <c r="P847">
        <v>1021.351150543323</v>
      </c>
      <c r="Q847">
        <v>1103.059242586789</v>
      </c>
      <c r="R847">
        <v>1148.2846715328469</v>
      </c>
      <c r="S847" t="s">
        <v>9114</v>
      </c>
      <c r="T847" t="s">
        <v>9115</v>
      </c>
      <c r="U847" t="s">
        <v>126</v>
      </c>
      <c r="V847" t="s">
        <v>94</v>
      </c>
      <c r="W847">
        <v>265472419.80000001</v>
      </c>
      <c r="X847">
        <v>266439117.80000001</v>
      </c>
      <c r="Y847">
        <v>267499117.80000001</v>
      </c>
      <c r="Z847">
        <v>268599117.80000001</v>
      </c>
      <c r="AA847">
        <v>270179117.80000001</v>
      </c>
      <c r="AB847">
        <v>11771318980.64817</v>
      </c>
      <c r="AC847">
        <v>12211731.310799999</v>
      </c>
      <c r="AD847">
        <v>11955953560.343639</v>
      </c>
      <c r="AE847">
        <v>12256199.4188</v>
      </c>
      <c r="AF847">
        <v>12567684459.780279</v>
      </c>
      <c r="AG847">
        <v>12304959.4188</v>
      </c>
      <c r="AH847">
        <v>13628914014.237591</v>
      </c>
      <c r="AI847">
        <v>12355559.4188</v>
      </c>
      <c r="AJ847">
        <v>14271156818.748341</v>
      </c>
      <c r="AK847">
        <v>12428239.4188</v>
      </c>
    </row>
    <row r="848" spans="1:37" x14ac:dyDescent="0.35">
      <c r="A848" t="s">
        <v>9116</v>
      </c>
      <c r="B848">
        <v>91.23</v>
      </c>
      <c r="C848" t="s">
        <v>83</v>
      </c>
      <c r="D848" t="s">
        <v>9117</v>
      </c>
      <c r="E848" t="s">
        <v>9118</v>
      </c>
      <c r="F848">
        <v>4.5999999999999999E-2</v>
      </c>
      <c r="G848" t="s">
        <v>9119</v>
      </c>
      <c r="H848">
        <v>10.199999999999999</v>
      </c>
      <c r="J848" t="s">
        <v>9120</v>
      </c>
      <c r="K848" t="s">
        <v>9121</v>
      </c>
      <c r="L848" t="s">
        <v>9122</v>
      </c>
      <c r="M848" t="s">
        <v>9123</v>
      </c>
      <c r="N848">
        <v>963.93530786561541</v>
      </c>
      <c r="O848">
        <v>975.50253156000281</v>
      </c>
      <c r="P848">
        <v>1021.351150543323</v>
      </c>
      <c r="Q848">
        <v>1103.059242586789</v>
      </c>
      <c r="R848">
        <v>1148.2846715328469</v>
      </c>
      <c r="S848" t="s">
        <v>9124</v>
      </c>
      <c r="T848" t="s">
        <v>5054</v>
      </c>
      <c r="U848" t="s">
        <v>6131</v>
      </c>
      <c r="V848" t="s">
        <v>94</v>
      </c>
      <c r="W848">
        <v>265472419.80000001</v>
      </c>
      <c r="X848">
        <v>266439117.80000001</v>
      </c>
      <c r="Y848">
        <v>267499117.80000001</v>
      </c>
      <c r="Z848">
        <v>268599117.80000001</v>
      </c>
      <c r="AA848">
        <v>270179117.80000001</v>
      </c>
      <c r="AB848">
        <v>11771318980.64817</v>
      </c>
      <c r="AC848">
        <v>12211731.310799999</v>
      </c>
      <c r="AD848">
        <v>11955953560.343639</v>
      </c>
      <c r="AE848">
        <v>12256199.4188</v>
      </c>
      <c r="AF848">
        <v>12567684459.780279</v>
      </c>
      <c r="AG848">
        <v>12304959.4188</v>
      </c>
      <c r="AH848">
        <v>13628914014.237591</v>
      </c>
      <c r="AI848">
        <v>12355559.4188</v>
      </c>
      <c r="AJ848">
        <v>14271156818.748341</v>
      </c>
      <c r="AK848">
        <v>12428239.4188</v>
      </c>
    </row>
    <row r="849" spans="1:37" x14ac:dyDescent="0.35">
      <c r="A849" t="s">
        <v>9125</v>
      </c>
      <c r="B849">
        <v>92.62</v>
      </c>
      <c r="C849" t="s">
        <v>83</v>
      </c>
      <c r="D849" t="s">
        <v>188</v>
      </c>
      <c r="E849" t="s">
        <v>2095</v>
      </c>
      <c r="F849">
        <v>4.5999999999999999E-2</v>
      </c>
      <c r="G849" t="s">
        <v>9126</v>
      </c>
      <c r="H849">
        <v>0.3</v>
      </c>
      <c r="I849">
        <v>6.1</v>
      </c>
      <c r="J849" t="s">
        <v>9127</v>
      </c>
      <c r="K849" t="s">
        <v>9128</v>
      </c>
      <c r="L849" t="s">
        <v>9129</v>
      </c>
      <c r="M849" t="s">
        <v>9130</v>
      </c>
      <c r="N849">
        <v>963.93530786561541</v>
      </c>
      <c r="O849">
        <v>975.50253156000281</v>
      </c>
      <c r="P849">
        <v>1021.351150543323</v>
      </c>
      <c r="Q849">
        <v>1103.059242586789</v>
      </c>
      <c r="R849">
        <v>1148.2846715328469</v>
      </c>
      <c r="S849" t="s">
        <v>9131</v>
      </c>
      <c r="T849" t="s">
        <v>9132</v>
      </c>
      <c r="U849" t="s">
        <v>9056</v>
      </c>
      <c r="V849" t="s">
        <v>94</v>
      </c>
      <c r="W849">
        <v>265472419.80000001</v>
      </c>
      <c r="X849">
        <v>266439117.80000001</v>
      </c>
      <c r="Y849">
        <v>267499117.80000001</v>
      </c>
      <c r="Z849">
        <v>268599117.80000001</v>
      </c>
      <c r="AA849">
        <v>270179117.80000001</v>
      </c>
      <c r="AB849">
        <v>11771318980.64817</v>
      </c>
      <c r="AC849">
        <v>12211731.310799999</v>
      </c>
      <c r="AD849">
        <v>11955953560.343639</v>
      </c>
      <c r="AE849">
        <v>12256199.4188</v>
      </c>
      <c r="AF849">
        <v>12567684459.780279</v>
      </c>
      <c r="AG849">
        <v>12304959.4188</v>
      </c>
      <c r="AH849">
        <v>13628914014.237591</v>
      </c>
      <c r="AI849">
        <v>12355559.4188</v>
      </c>
      <c r="AJ849">
        <v>14271156818.748341</v>
      </c>
      <c r="AK849">
        <v>12428239.4188</v>
      </c>
    </row>
    <row r="850" spans="1:37" x14ac:dyDescent="0.35">
      <c r="A850" t="s">
        <v>9133</v>
      </c>
      <c r="B850">
        <v>110.09</v>
      </c>
      <c r="C850" t="s">
        <v>83</v>
      </c>
      <c r="D850" t="s">
        <v>9134</v>
      </c>
      <c r="E850" t="s">
        <v>6092</v>
      </c>
      <c r="F850">
        <v>4.5999999999999999E-2</v>
      </c>
      <c r="G850" t="s">
        <v>9135</v>
      </c>
      <c r="H850">
        <v>10.199999999999999</v>
      </c>
      <c r="I850">
        <v>0.05</v>
      </c>
      <c r="J850" t="s">
        <v>9136</v>
      </c>
      <c r="K850" t="s">
        <v>9137</v>
      </c>
      <c r="L850" t="s">
        <v>9138</v>
      </c>
      <c r="M850" t="s">
        <v>9139</v>
      </c>
      <c r="N850">
        <v>963.93530786561541</v>
      </c>
      <c r="O850">
        <v>975.50253156000281</v>
      </c>
      <c r="P850">
        <v>1021.351150543323</v>
      </c>
      <c r="Q850">
        <v>1103.059242586789</v>
      </c>
      <c r="R850">
        <v>1148.2846715328469</v>
      </c>
      <c r="S850" t="s">
        <v>9140</v>
      </c>
      <c r="T850" t="s">
        <v>9141</v>
      </c>
      <c r="U850" t="s">
        <v>6131</v>
      </c>
      <c r="V850" t="s">
        <v>94</v>
      </c>
      <c r="W850">
        <v>265472419.80000001</v>
      </c>
      <c r="X850">
        <v>266439117.80000001</v>
      </c>
      <c r="Y850">
        <v>267499117.80000001</v>
      </c>
      <c r="Z850">
        <v>268599117.80000001</v>
      </c>
      <c r="AA850">
        <v>270179117.80000001</v>
      </c>
      <c r="AB850">
        <v>11771318980.64817</v>
      </c>
      <c r="AC850">
        <v>12211731.310799999</v>
      </c>
      <c r="AD850">
        <v>11955953560.343639</v>
      </c>
      <c r="AE850">
        <v>12256199.4188</v>
      </c>
      <c r="AF850">
        <v>12567684459.780279</v>
      </c>
      <c r="AG850">
        <v>12304959.4188</v>
      </c>
      <c r="AH850">
        <v>13628914014.237591</v>
      </c>
      <c r="AI850">
        <v>12355559.4188</v>
      </c>
      <c r="AJ850">
        <v>14271156818.748341</v>
      </c>
      <c r="AK850">
        <v>12428239.4188</v>
      </c>
    </row>
    <row r="851" spans="1:37" x14ac:dyDescent="0.35">
      <c r="A851" t="s">
        <v>9142</v>
      </c>
      <c r="B851">
        <v>106.99</v>
      </c>
      <c r="C851" t="s">
        <v>83</v>
      </c>
      <c r="D851" t="s">
        <v>9143</v>
      </c>
      <c r="E851" t="s">
        <v>9144</v>
      </c>
      <c r="F851">
        <v>4.5999999999999999E-2</v>
      </c>
      <c r="G851" t="s">
        <v>9145</v>
      </c>
      <c r="H851">
        <v>0.1</v>
      </c>
      <c r="I851">
        <v>0.02</v>
      </c>
      <c r="J851" t="s">
        <v>9146</v>
      </c>
      <c r="K851" t="s">
        <v>9147</v>
      </c>
      <c r="L851" t="s">
        <v>9148</v>
      </c>
      <c r="M851" t="s">
        <v>9149</v>
      </c>
      <c r="N851">
        <v>963.93530786561541</v>
      </c>
      <c r="O851">
        <v>975.50253156000281</v>
      </c>
      <c r="P851">
        <v>1021.351150543323</v>
      </c>
      <c r="Q851">
        <v>1103.059242586789</v>
      </c>
      <c r="R851">
        <v>1148.2846715328469</v>
      </c>
      <c r="S851" t="s">
        <v>9150</v>
      </c>
      <c r="T851" t="s">
        <v>9151</v>
      </c>
      <c r="U851" t="s">
        <v>1846</v>
      </c>
      <c r="V851" t="s">
        <v>94</v>
      </c>
      <c r="W851">
        <v>265472419.80000001</v>
      </c>
      <c r="X851">
        <v>266439117.80000001</v>
      </c>
      <c r="Y851">
        <v>267499117.80000001</v>
      </c>
      <c r="Z851">
        <v>268599117.80000001</v>
      </c>
      <c r="AA851">
        <v>270179117.80000001</v>
      </c>
      <c r="AB851">
        <v>11771318980.64817</v>
      </c>
      <c r="AC851">
        <v>12211731.310799999</v>
      </c>
      <c r="AD851">
        <v>11955953560.343639</v>
      </c>
      <c r="AE851">
        <v>12256199.4188</v>
      </c>
      <c r="AF851">
        <v>12567684459.780279</v>
      </c>
      <c r="AG851">
        <v>12304959.4188</v>
      </c>
      <c r="AH851">
        <v>13628914014.237591</v>
      </c>
      <c r="AI851">
        <v>12355559.4188</v>
      </c>
      <c r="AJ851">
        <v>14271156818.748341</v>
      </c>
      <c r="AK851">
        <v>12428239.4188</v>
      </c>
    </row>
    <row r="852" spans="1:37" x14ac:dyDescent="0.35">
      <c r="A852" t="s">
        <v>9152</v>
      </c>
      <c r="B852">
        <v>1560.12</v>
      </c>
      <c r="C852" t="s">
        <v>1006</v>
      </c>
      <c r="D852" t="s">
        <v>9153</v>
      </c>
      <c r="E852" t="s">
        <v>9154</v>
      </c>
      <c r="F852">
        <v>2.5000000000000001E-5</v>
      </c>
      <c r="G852" t="s">
        <v>9155</v>
      </c>
      <c r="H852">
        <v>0.5</v>
      </c>
      <c r="I852">
        <v>0.05</v>
      </c>
      <c r="J852" t="s">
        <v>9156</v>
      </c>
      <c r="K852" t="s">
        <v>9157</v>
      </c>
      <c r="L852" t="s">
        <v>9158</v>
      </c>
      <c r="M852" t="s">
        <v>9159</v>
      </c>
      <c r="N852">
        <v>16395.639468580812</v>
      </c>
      <c r="O852">
        <v>16592.387142203781</v>
      </c>
      <c r="P852">
        <v>17372.229337887358</v>
      </c>
      <c r="Q852">
        <v>18762.00768491835</v>
      </c>
      <c r="R852">
        <v>19531.25</v>
      </c>
      <c r="S852" t="s">
        <v>9160</v>
      </c>
      <c r="T852" t="s">
        <v>9161</v>
      </c>
      <c r="U852" t="s">
        <v>9162</v>
      </c>
      <c r="V852" t="s">
        <v>1017</v>
      </c>
      <c r="W852">
        <v>331357816</v>
      </c>
      <c r="X852">
        <v>331968553.60000002</v>
      </c>
      <c r="Y852">
        <v>333028553.60000002</v>
      </c>
      <c r="Z852">
        <v>334128553.60000002</v>
      </c>
      <c r="AA852">
        <v>336128553.60000002</v>
      </c>
      <c r="AB852">
        <v>135820582.15580839</v>
      </c>
      <c r="AC852">
        <v>8283.9454000000005</v>
      </c>
      <c r="AD852">
        <v>137703769.00921571</v>
      </c>
      <c r="AE852">
        <v>8299.2138400000003</v>
      </c>
      <c r="AF852">
        <v>144636210.23010281</v>
      </c>
      <c r="AG852">
        <v>8325.7138400000003</v>
      </c>
      <c r="AH852">
        <v>156723062.2598463</v>
      </c>
      <c r="AI852">
        <v>8353.2138400000003</v>
      </c>
      <c r="AJ852">
        <v>164125270.3125</v>
      </c>
      <c r="AK852">
        <v>8403.2138400000003</v>
      </c>
    </row>
    <row r="853" spans="1:37" x14ac:dyDescent="0.35">
      <c r="A853" t="s">
        <v>9163</v>
      </c>
      <c r="B853">
        <v>3120.24</v>
      </c>
      <c r="C853" t="s">
        <v>1006</v>
      </c>
      <c r="D853" t="s">
        <v>9164</v>
      </c>
      <c r="E853" t="s">
        <v>9165</v>
      </c>
      <c r="F853">
        <v>2.5000000000000001E-5</v>
      </c>
      <c r="G853" t="s">
        <v>9166</v>
      </c>
      <c r="H853">
        <v>0.6</v>
      </c>
      <c r="I853">
        <v>0.1</v>
      </c>
      <c r="J853" t="s">
        <v>9167</v>
      </c>
      <c r="K853" t="s">
        <v>9168</v>
      </c>
      <c r="L853" t="s">
        <v>9169</v>
      </c>
      <c r="M853" t="s">
        <v>9170</v>
      </c>
      <c r="N853">
        <v>16395.639468580812</v>
      </c>
      <c r="O853">
        <v>16592.387142203781</v>
      </c>
      <c r="P853">
        <v>17372.229337887358</v>
      </c>
      <c r="Q853">
        <v>18762.00768491835</v>
      </c>
      <c r="R853">
        <v>19531.25</v>
      </c>
      <c r="S853" t="s">
        <v>9171</v>
      </c>
      <c r="T853" t="s">
        <v>9172</v>
      </c>
      <c r="U853" t="s">
        <v>9173</v>
      </c>
      <c r="V853" t="s">
        <v>1017</v>
      </c>
      <c r="W853">
        <v>331357816</v>
      </c>
      <c r="X853">
        <v>331968553.60000002</v>
      </c>
      <c r="Y853">
        <v>333028553.60000002</v>
      </c>
      <c r="Z853">
        <v>334128553.60000002</v>
      </c>
      <c r="AA853">
        <v>336128553.60000002</v>
      </c>
      <c r="AB853">
        <v>135820582.15580839</v>
      </c>
      <c r="AC853">
        <v>8283.9454000000005</v>
      </c>
      <c r="AD853">
        <v>137703769.00921571</v>
      </c>
      <c r="AE853">
        <v>8299.2138400000003</v>
      </c>
      <c r="AF853">
        <v>144636210.23010281</v>
      </c>
      <c r="AG853">
        <v>8325.7138400000003</v>
      </c>
      <c r="AH853">
        <v>156723062.2598463</v>
      </c>
      <c r="AI853">
        <v>8353.2138400000003</v>
      </c>
      <c r="AJ853">
        <v>164125270.3125</v>
      </c>
      <c r="AK853">
        <v>8403.2138400000003</v>
      </c>
    </row>
    <row r="854" spans="1:37" x14ac:dyDescent="0.35">
      <c r="A854" t="s">
        <v>9174</v>
      </c>
      <c r="B854">
        <v>1732.48</v>
      </c>
      <c r="C854" t="s">
        <v>1006</v>
      </c>
      <c r="D854" t="s">
        <v>9175</v>
      </c>
      <c r="E854" t="s">
        <v>9176</v>
      </c>
      <c r="F854">
        <v>2.5000000000000001E-5</v>
      </c>
      <c r="G854" t="s">
        <v>9177</v>
      </c>
      <c r="H854">
        <v>0.3</v>
      </c>
      <c r="I854">
        <v>0.05</v>
      </c>
      <c r="J854" t="s">
        <v>9178</v>
      </c>
      <c r="K854" t="s">
        <v>9179</v>
      </c>
      <c r="L854" t="s">
        <v>9180</v>
      </c>
      <c r="M854" t="s">
        <v>9181</v>
      </c>
      <c r="N854">
        <v>16395.639468580812</v>
      </c>
      <c r="O854">
        <v>16592.387142203781</v>
      </c>
      <c r="P854">
        <v>17372.229337887358</v>
      </c>
      <c r="Q854">
        <v>18762.00768491835</v>
      </c>
      <c r="R854">
        <v>19531.25</v>
      </c>
      <c r="S854" t="s">
        <v>9182</v>
      </c>
      <c r="T854" t="s">
        <v>9183</v>
      </c>
      <c r="U854" t="s">
        <v>6901</v>
      </c>
      <c r="V854" t="s">
        <v>1017</v>
      </c>
      <c r="W854">
        <v>331357816</v>
      </c>
      <c r="X854">
        <v>331968553.60000002</v>
      </c>
      <c r="Y854">
        <v>333028553.60000002</v>
      </c>
      <c r="Z854">
        <v>334128553.60000002</v>
      </c>
      <c r="AA854">
        <v>336128553.60000002</v>
      </c>
      <c r="AB854">
        <v>135820582.15580839</v>
      </c>
      <c r="AC854">
        <v>8283.9454000000005</v>
      </c>
      <c r="AD854">
        <v>137703769.00921571</v>
      </c>
      <c r="AE854">
        <v>8299.2138400000003</v>
      </c>
      <c r="AF854">
        <v>144636210.23010281</v>
      </c>
      <c r="AG854">
        <v>8325.7138400000003</v>
      </c>
      <c r="AH854">
        <v>156723062.2598463</v>
      </c>
      <c r="AI854">
        <v>8353.2138400000003</v>
      </c>
      <c r="AJ854">
        <v>164125270.3125</v>
      </c>
      <c r="AK854">
        <v>8403.2138400000003</v>
      </c>
    </row>
    <row r="855" spans="1:37" x14ac:dyDescent="0.35">
      <c r="A855" t="s">
        <v>9184</v>
      </c>
      <c r="B855">
        <v>19244.689999999999</v>
      </c>
      <c r="C855" t="s">
        <v>3897</v>
      </c>
      <c r="D855" t="s">
        <v>9185</v>
      </c>
      <c r="E855" t="s">
        <v>9186</v>
      </c>
      <c r="F855">
        <v>4.6E-5</v>
      </c>
      <c r="G855" t="s">
        <v>9187</v>
      </c>
      <c r="H855">
        <v>5985.18</v>
      </c>
      <c r="I855">
        <v>3.82</v>
      </c>
      <c r="J855" t="s">
        <v>9188</v>
      </c>
      <c r="K855" t="s">
        <v>9189</v>
      </c>
      <c r="L855" t="s">
        <v>9190</v>
      </c>
      <c r="M855" t="s">
        <v>9191</v>
      </c>
      <c r="N855">
        <v>83246.126795140968</v>
      </c>
      <c r="O855">
        <v>84245.080316682666</v>
      </c>
      <c r="P855">
        <v>88204.59909156675</v>
      </c>
      <c r="Q855">
        <v>95260.967018892101</v>
      </c>
      <c r="R855">
        <v>99166.666666666672</v>
      </c>
      <c r="S855" t="s">
        <v>9192</v>
      </c>
      <c r="T855" t="s">
        <v>9193</v>
      </c>
      <c r="U855" t="s">
        <v>8778</v>
      </c>
      <c r="V855" t="s">
        <v>49</v>
      </c>
      <c r="W855">
        <v>338996155</v>
      </c>
      <c r="X855">
        <v>339500751</v>
      </c>
      <c r="Y855">
        <v>340560751</v>
      </c>
      <c r="Z855">
        <v>341660751</v>
      </c>
      <c r="AA855">
        <v>343660751</v>
      </c>
      <c r="AB855">
        <v>1298125377.500982</v>
      </c>
      <c r="AC855">
        <v>15593.823130000001</v>
      </c>
      <c r="AD855">
        <v>1315658329.636178</v>
      </c>
      <c r="AE855">
        <v>15617.034546000001</v>
      </c>
      <c r="AF855">
        <v>1381795127.3807831</v>
      </c>
      <c r="AG855">
        <v>15665.794545999999</v>
      </c>
      <c r="AH855">
        <v>1497158942.5024021</v>
      </c>
      <c r="AI855">
        <v>15716.394546</v>
      </c>
      <c r="AJ855">
        <v>1567665792.478333</v>
      </c>
      <c r="AK855">
        <v>15808.394546</v>
      </c>
    </row>
    <row r="856" spans="1:37" x14ac:dyDescent="0.35">
      <c r="A856" t="s">
        <v>9194</v>
      </c>
      <c r="B856">
        <v>19244.689999999999</v>
      </c>
      <c r="C856" t="s">
        <v>3897</v>
      </c>
      <c r="D856" t="s">
        <v>9195</v>
      </c>
      <c r="E856" t="s">
        <v>9196</v>
      </c>
      <c r="F856">
        <v>4.6E-5</v>
      </c>
      <c r="G856" t="s">
        <v>9197</v>
      </c>
      <c r="H856">
        <v>30.5</v>
      </c>
      <c r="I856">
        <v>27.55</v>
      </c>
      <c r="J856" t="s">
        <v>9198</v>
      </c>
      <c r="K856" t="s">
        <v>9199</v>
      </c>
      <c r="L856" t="s">
        <v>9200</v>
      </c>
      <c r="M856" t="s">
        <v>9201</v>
      </c>
      <c r="N856">
        <v>83246.126795140968</v>
      </c>
      <c r="O856">
        <v>84245.080316682666</v>
      </c>
      <c r="P856">
        <v>88204.59909156675</v>
      </c>
      <c r="Q856">
        <v>95260.967018892101</v>
      </c>
      <c r="R856">
        <v>99166.666666666672</v>
      </c>
      <c r="S856" t="s">
        <v>9202</v>
      </c>
      <c r="T856" t="s">
        <v>9203</v>
      </c>
      <c r="U856" t="s">
        <v>9204</v>
      </c>
      <c r="V856" t="s">
        <v>49</v>
      </c>
      <c r="W856">
        <v>338996155</v>
      </c>
      <c r="X856">
        <v>339500751</v>
      </c>
      <c r="Y856">
        <v>340560751</v>
      </c>
      <c r="Z856">
        <v>341660751</v>
      </c>
      <c r="AA856">
        <v>343660751</v>
      </c>
      <c r="AB856">
        <v>1298125377.500982</v>
      </c>
      <c r="AC856">
        <v>15593.823130000001</v>
      </c>
      <c r="AD856">
        <v>1315658329.636178</v>
      </c>
      <c r="AE856">
        <v>15617.034546000001</v>
      </c>
      <c r="AF856">
        <v>1381795127.3807831</v>
      </c>
      <c r="AG856">
        <v>15665.794545999999</v>
      </c>
      <c r="AH856">
        <v>1497158942.5024021</v>
      </c>
      <c r="AI856">
        <v>15716.394546</v>
      </c>
      <c r="AJ856">
        <v>1567665792.478333</v>
      </c>
      <c r="AK856">
        <v>15808.394546</v>
      </c>
    </row>
    <row r="857" spans="1:37" x14ac:dyDescent="0.35">
      <c r="A857" t="s">
        <v>9205</v>
      </c>
      <c r="B857">
        <v>152.69999999999999</v>
      </c>
      <c r="C857" t="s">
        <v>1356</v>
      </c>
      <c r="D857" t="s">
        <v>9206</v>
      </c>
      <c r="E857" t="s">
        <v>9207</v>
      </c>
      <c r="F857">
        <v>1.5E-3</v>
      </c>
      <c r="G857" t="s">
        <v>9208</v>
      </c>
      <c r="H857">
        <v>40.6</v>
      </c>
      <c r="I857">
        <v>3050.4</v>
      </c>
      <c r="J857" t="s">
        <v>9209</v>
      </c>
      <c r="K857" t="s">
        <v>9210</v>
      </c>
      <c r="L857" t="s">
        <v>9211</v>
      </c>
      <c r="M857" t="s">
        <v>9212</v>
      </c>
      <c r="N857">
        <v>49587.908902459727</v>
      </c>
      <c r="O857">
        <v>50182.963809289249</v>
      </c>
      <c r="P857">
        <v>52541.563108325841</v>
      </c>
      <c r="Q857">
        <v>56744.88815699191</v>
      </c>
      <c r="R857">
        <v>59071.428571428572</v>
      </c>
      <c r="S857" t="s">
        <v>9213</v>
      </c>
      <c r="T857" t="s">
        <v>9214</v>
      </c>
      <c r="U857" t="s">
        <v>9215</v>
      </c>
      <c r="V857" t="s">
        <v>49</v>
      </c>
      <c r="W857">
        <v>338996155</v>
      </c>
      <c r="X857">
        <v>339500751</v>
      </c>
      <c r="Y857">
        <v>340560751</v>
      </c>
      <c r="Z857">
        <v>341660751</v>
      </c>
      <c r="AA857">
        <v>343660751</v>
      </c>
      <c r="AB857">
        <v>25215165678.636181</v>
      </c>
      <c r="AC857">
        <v>508494.23249999998</v>
      </c>
      <c r="AD857">
        <v>25555730850.989281</v>
      </c>
      <c r="AE857">
        <v>509251.12650000001</v>
      </c>
      <c r="AF857">
        <v>26840391286.328018</v>
      </c>
      <c r="AG857">
        <v>510841.12650000001</v>
      </c>
      <c r="AH857">
        <v>29081251654.693291</v>
      </c>
      <c r="AI857">
        <v>512491.12650000001</v>
      </c>
      <c r="AJ857">
        <v>30450797258.25</v>
      </c>
      <c r="AK857">
        <v>515491.12650000001</v>
      </c>
    </row>
    <row r="858" spans="1:37" x14ac:dyDescent="0.35">
      <c r="A858" t="s">
        <v>9216</v>
      </c>
      <c r="B858">
        <v>204.91</v>
      </c>
      <c r="C858" t="s">
        <v>1356</v>
      </c>
      <c r="D858" t="s">
        <v>9217</v>
      </c>
      <c r="E858" t="s">
        <v>9218</v>
      </c>
      <c r="F858">
        <v>1.5E-3</v>
      </c>
      <c r="G858" t="s">
        <v>9219</v>
      </c>
      <c r="H858">
        <v>30.5</v>
      </c>
      <c r="I858">
        <v>20.6</v>
      </c>
      <c r="J858" t="s">
        <v>9220</v>
      </c>
      <c r="K858" t="s">
        <v>9221</v>
      </c>
      <c r="L858" t="s">
        <v>9222</v>
      </c>
      <c r="M858" t="s">
        <v>9223</v>
      </c>
      <c r="N858">
        <v>49587.908902459727</v>
      </c>
      <c r="O858">
        <v>50182.963809289249</v>
      </c>
      <c r="P858">
        <v>52541.563108325841</v>
      </c>
      <c r="Q858">
        <v>56744.88815699191</v>
      </c>
      <c r="R858">
        <v>59071.428571428572</v>
      </c>
      <c r="S858" t="s">
        <v>9224</v>
      </c>
      <c r="T858" t="s">
        <v>9225</v>
      </c>
      <c r="U858" t="s">
        <v>9226</v>
      </c>
      <c r="V858" t="s">
        <v>49</v>
      </c>
      <c r="W858">
        <v>338996155</v>
      </c>
      <c r="X858">
        <v>339500751</v>
      </c>
      <c r="Y858">
        <v>340560751</v>
      </c>
      <c r="Z858">
        <v>341660751</v>
      </c>
      <c r="AA858">
        <v>343660751</v>
      </c>
      <c r="AB858">
        <v>25215165678.636181</v>
      </c>
      <c r="AC858">
        <v>508494.23249999998</v>
      </c>
      <c r="AD858">
        <v>25555730850.989281</v>
      </c>
      <c r="AE858">
        <v>509251.12650000001</v>
      </c>
      <c r="AF858">
        <v>26840391286.328018</v>
      </c>
      <c r="AG858">
        <v>510841.12650000001</v>
      </c>
      <c r="AH858">
        <v>29081251654.693291</v>
      </c>
      <c r="AI858">
        <v>512491.12650000001</v>
      </c>
      <c r="AJ858">
        <v>30450797258.25</v>
      </c>
      <c r="AK858">
        <v>515491.12650000001</v>
      </c>
    </row>
    <row r="859" spans="1:37" x14ac:dyDescent="0.35">
      <c r="A859" t="s">
        <v>9227</v>
      </c>
      <c r="B859">
        <v>747.67</v>
      </c>
      <c r="C859" t="s">
        <v>4483</v>
      </c>
      <c r="D859" t="s">
        <v>9228</v>
      </c>
      <c r="E859" t="s">
        <v>9229</v>
      </c>
      <c r="F859">
        <v>2.2499999999999999E-2</v>
      </c>
      <c r="G859" t="s">
        <v>9230</v>
      </c>
      <c r="H859">
        <v>10.199999999999999</v>
      </c>
      <c r="I859">
        <v>0.01</v>
      </c>
      <c r="J859" t="s">
        <v>9231</v>
      </c>
      <c r="K859" t="s">
        <v>9232</v>
      </c>
      <c r="L859" t="s">
        <v>9233</v>
      </c>
      <c r="M859" t="s">
        <v>9234</v>
      </c>
      <c r="N859">
        <v>3277.3790255061808</v>
      </c>
      <c r="O859">
        <v>3316.7075738122549</v>
      </c>
      <c r="P859">
        <v>3472.5928297814312</v>
      </c>
      <c r="Q859">
        <v>3750.400256163945</v>
      </c>
      <c r="R859">
        <v>3904.166666666667</v>
      </c>
      <c r="S859" t="s">
        <v>9235</v>
      </c>
      <c r="T859" t="s">
        <v>9236</v>
      </c>
      <c r="U859" t="s">
        <v>9237</v>
      </c>
      <c r="V859" t="s">
        <v>49</v>
      </c>
      <c r="W859">
        <v>338996155</v>
      </c>
      <c r="X859">
        <v>339500751</v>
      </c>
      <c r="Y859">
        <v>340560751</v>
      </c>
      <c r="Z859">
        <v>341660751</v>
      </c>
      <c r="AA859">
        <v>343660751</v>
      </c>
      <c r="AB859">
        <v>24997924982.795448</v>
      </c>
      <c r="AC859">
        <v>7627413.4874999998</v>
      </c>
      <c r="AD859">
        <v>25335556023.52459</v>
      </c>
      <c r="AE859">
        <v>7638766.8975</v>
      </c>
      <c r="AF859">
        <v>26609148495.620529</v>
      </c>
      <c r="AG859">
        <v>7662616.8975</v>
      </c>
      <c r="AH859">
        <v>28830702781.610229</v>
      </c>
      <c r="AI859">
        <v>7687366.8975</v>
      </c>
      <c r="AJ859">
        <v>30188449095.65625</v>
      </c>
      <c r="AK859">
        <v>7732366.8975</v>
      </c>
    </row>
    <row r="860" spans="1:37" x14ac:dyDescent="0.35">
      <c r="A860" t="s">
        <v>9238</v>
      </c>
      <c r="B860">
        <v>847.35</v>
      </c>
      <c r="C860" t="s">
        <v>4483</v>
      </c>
      <c r="D860" t="s">
        <v>9239</v>
      </c>
      <c r="E860" t="s">
        <v>9240</v>
      </c>
      <c r="F860">
        <v>2.2499999999999999E-2</v>
      </c>
      <c r="G860" t="s">
        <v>9241</v>
      </c>
      <c r="H860">
        <v>5.0999999999999996</v>
      </c>
      <c r="I860">
        <v>0.01</v>
      </c>
      <c r="J860" t="s">
        <v>9242</v>
      </c>
      <c r="K860" t="s">
        <v>9243</v>
      </c>
      <c r="L860" t="s">
        <v>9244</v>
      </c>
      <c r="M860" t="s">
        <v>9245</v>
      </c>
      <c r="N860">
        <v>3277.3790255061808</v>
      </c>
      <c r="O860">
        <v>3316.7075738122549</v>
      </c>
      <c r="P860">
        <v>3472.5928297814312</v>
      </c>
      <c r="Q860">
        <v>3750.400256163945</v>
      </c>
      <c r="R860">
        <v>3904.166666666667</v>
      </c>
      <c r="S860" t="s">
        <v>9246</v>
      </c>
      <c r="T860" t="s">
        <v>9247</v>
      </c>
      <c r="U860" t="s">
        <v>9248</v>
      </c>
      <c r="V860" t="s">
        <v>49</v>
      </c>
      <c r="W860">
        <v>338996155</v>
      </c>
      <c r="X860">
        <v>339500751</v>
      </c>
      <c r="Y860">
        <v>340560751</v>
      </c>
      <c r="Z860">
        <v>341660751</v>
      </c>
      <c r="AA860">
        <v>343660751</v>
      </c>
      <c r="AB860">
        <v>24997924982.795448</v>
      </c>
      <c r="AC860">
        <v>7627413.4874999998</v>
      </c>
      <c r="AD860">
        <v>25335556023.52459</v>
      </c>
      <c r="AE860">
        <v>7638766.8975</v>
      </c>
      <c r="AF860">
        <v>26609148495.620529</v>
      </c>
      <c r="AG860">
        <v>7662616.8975</v>
      </c>
      <c r="AH860">
        <v>28830702781.610229</v>
      </c>
      <c r="AI860">
        <v>7687366.8975</v>
      </c>
      <c r="AJ860">
        <v>30188449095.65625</v>
      </c>
      <c r="AK860">
        <v>7732366.8975</v>
      </c>
    </row>
    <row r="861" spans="1:37" x14ac:dyDescent="0.35">
      <c r="A861" t="s">
        <v>9249</v>
      </c>
      <c r="B861">
        <v>340.78</v>
      </c>
      <c r="C861" t="s">
        <v>1042</v>
      </c>
      <c r="D861" t="s">
        <v>9250</v>
      </c>
      <c r="E861" t="s">
        <v>9251</v>
      </c>
      <c r="F861">
        <v>0.187</v>
      </c>
      <c r="G861" t="s">
        <v>9252</v>
      </c>
      <c r="H861">
        <v>0.3</v>
      </c>
      <c r="I861">
        <v>0.01</v>
      </c>
      <c r="J861" t="s">
        <v>9253</v>
      </c>
      <c r="K861" t="s">
        <v>9254</v>
      </c>
      <c r="L861" t="s">
        <v>9255</v>
      </c>
      <c r="M861" t="s">
        <v>9256</v>
      </c>
      <c r="N861">
        <v>1770.7290626067279</v>
      </c>
      <c r="O861">
        <v>1791.9778113580089</v>
      </c>
      <c r="P861">
        <v>1876.2007684918351</v>
      </c>
      <c r="Q861">
        <v>2026.296829971182</v>
      </c>
      <c r="R861">
        <v>2109.375</v>
      </c>
      <c r="S861" t="s">
        <v>2421</v>
      </c>
      <c r="T861" t="s">
        <v>9257</v>
      </c>
      <c r="U861" t="s">
        <v>9258</v>
      </c>
      <c r="V861" t="s">
        <v>1053</v>
      </c>
      <c r="W861">
        <v>158713600</v>
      </c>
      <c r="X861">
        <v>160457415</v>
      </c>
      <c r="Y861">
        <v>160457415</v>
      </c>
      <c r="Z861">
        <v>160557415</v>
      </c>
      <c r="AA861">
        <v>160557415</v>
      </c>
      <c r="AB861">
        <v>52554252636.225616</v>
      </c>
      <c r="AC861">
        <v>29679443.199999999</v>
      </c>
      <c r="AD861">
        <v>53769255814.050507</v>
      </c>
      <c r="AE861">
        <v>30005536.605</v>
      </c>
      <c r="AF861">
        <v>56296410837.310883</v>
      </c>
      <c r="AG861">
        <v>30005536.605</v>
      </c>
      <c r="AH861">
        <v>60838015455.01622</v>
      </c>
      <c r="AI861">
        <v>30024236.605</v>
      </c>
      <c r="AJ861">
        <v>63332374088.671883</v>
      </c>
      <c r="AK861">
        <v>30024236.605</v>
      </c>
    </row>
    <row r="862" spans="1:37" x14ac:dyDescent="0.35">
      <c r="A862" t="s">
        <v>9259</v>
      </c>
      <c r="B862">
        <v>20230.73</v>
      </c>
      <c r="C862" t="s">
        <v>590</v>
      </c>
      <c r="D862" t="s">
        <v>9260</v>
      </c>
      <c r="E862" t="s">
        <v>9261</v>
      </c>
      <c r="F862">
        <v>2.0000000000000001E-4</v>
      </c>
      <c r="G862" t="s">
        <v>9262</v>
      </c>
      <c r="H862">
        <v>0.2</v>
      </c>
      <c r="I862">
        <v>175.77</v>
      </c>
      <c r="J862" t="s">
        <v>9263</v>
      </c>
      <c r="K862" t="s">
        <v>9264</v>
      </c>
      <c r="L862" t="s">
        <v>9265</v>
      </c>
      <c r="M862" t="s">
        <v>9266</v>
      </c>
      <c r="N862">
        <v>57083.058373810964</v>
      </c>
      <c r="O862">
        <v>57768.055074296688</v>
      </c>
      <c r="P862">
        <v>60483.153662788631</v>
      </c>
      <c r="Q862">
        <v>65321.805955811717</v>
      </c>
      <c r="R862">
        <v>68000</v>
      </c>
      <c r="S862" t="s">
        <v>2731</v>
      </c>
      <c r="T862" t="s">
        <v>9267</v>
      </c>
      <c r="U862" t="s">
        <v>9268</v>
      </c>
      <c r="V862" t="s">
        <v>49</v>
      </c>
      <c r="W862">
        <v>338996155</v>
      </c>
      <c r="X862">
        <v>339500751</v>
      </c>
      <c r="Y862">
        <v>340560751</v>
      </c>
      <c r="Z862">
        <v>341660751</v>
      </c>
      <c r="AA862">
        <v>343660751</v>
      </c>
      <c r="AB862">
        <v>3870187460.8724942</v>
      </c>
      <c r="AC862">
        <v>67799.231</v>
      </c>
      <c r="AD862">
        <v>3922459616.3066182</v>
      </c>
      <c r="AE862">
        <v>67900.150200000004</v>
      </c>
      <c r="AF862">
        <v>4119637646.8495402</v>
      </c>
      <c r="AG862">
        <v>68112.150200000004</v>
      </c>
      <c r="AH862">
        <v>4463579455.9077816</v>
      </c>
      <c r="AI862">
        <v>68332.150200000004</v>
      </c>
      <c r="AJ862">
        <v>4673786213.6000004</v>
      </c>
      <c r="AK862">
        <v>68732.150200000004</v>
      </c>
    </row>
    <row r="863" spans="1:37" x14ac:dyDescent="0.35">
      <c r="A863" t="s">
        <v>9269</v>
      </c>
      <c r="B863">
        <v>13487.16</v>
      </c>
      <c r="C863" t="s">
        <v>590</v>
      </c>
      <c r="D863" t="s">
        <v>9270</v>
      </c>
      <c r="E863" t="s">
        <v>9271</v>
      </c>
      <c r="F863">
        <v>2.0000000000000001E-4</v>
      </c>
      <c r="G863" t="s">
        <v>9272</v>
      </c>
      <c r="H863">
        <v>30.3</v>
      </c>
      <c r="I863">
        <v>1.65</v>
      </c>
      <c r="J863" t="s">
        <v>9273</v>
      </c>
      <c r="K863" t="s">
        <v>9274</v>
      </c>
      <c r="L863" t="s">
        <v>9275</v>
      </c>
      <c r="M863" t="s">
        <v>9276</v>
      </c>
      <c r="N863">
        <v>57083.058373810964</v>
      </c>
      <c r="O863">
        <v>57768.055074296688</v>
      </c>
      <c r="P863">
        <v>60483.153662788631</v>
      </c>
      <c r="Q863">
        <v>65321.805955811717</v>
      </c>
      <c r="R863">
        <v>68000</v>
      </c>
      <c r="S863" t="s">
        <v>9277</v>
      </c>
      <c r="T863" t="s">
        <v>9278</v>
      </c>
      <c r="U863" t="s">
        <v>9279</v>
      </c>
      <c r="V863" t="s">
        <v>49</v>
      </c>
      <c r="W863">
        <v>338996155</v>
      </c>
      <c r="X863">
        <v>339500751</v>
      </c>
      <c r="Y863">
        <v>340560751</v>
      </c>
      <c r="Z863">
        <v>341660751</v>
      </c>
      <c r="AA863">
        <v>343660751</v>
      </c>
      <c r="AB863">
        <v>3870187460.8724942</v>
      </c>
      <c r="AC863">
        <v>67799.231</v>
      </c>
      <c r="AD863">
        <v>3922459616.3066182</v>
      </c>
      <c r="AE863">
        <v>67900.150200000004</v>
      </c>
      <c r="AF863">
        <v>4119637646.8495402</v>
      </c>
      <c r="AG863">
        <v>68112.150200000004</v>
      </c>
      <c r="AH863">
        <v>4463579455.9077816</v>
      </c>
      <c r="AI863">
        <v>68332.150200000004</v>
      </c>
      <c r="AJ863">
        <v>4673786213.6000004</v>
      </c>
      <c r="AK863">
        <v>68732.150200000004</v>
      </c>
    </row>
    <row r="864" spans="1:37" x14ac:dyDescent="0.35">
      <c r="A864" t="s">
        <v>9280</v>
      </c>
      <c r="B864">
        <v>16858.95</v>
      </c>
      <c r="C864" t="s">
        <v>590</v>
      </c>
      <c r="D864" t="s">
        <v>9281</v>
      </c>
      <c r="E864" t="s">
        <v>9282</v>
      </c>
      <c r="F864">
        <v>2.0000000000000001E-4</v>
      </c>
      <c r="G864" t="s">
        <v>9283</v>
      </c>
      <c r="H864">
        <v>0.6</v>
      </c>
      <c r="I864">
        <v>1.55</v>
      </c>
      <c r="J864" t="s">
        <v>9284</v>
      </c>
      <c r="K864" t="s">
        <v>9285</v>
      </c>
      <c r="L864" t="s">
        <v>9286</v>
      </c>
      <c r="M864" t="s">
        <v>9287</v>
      </c>
      <c r="N864">
        <v>57083.058373810964</v>
      </c>
      <c r="O864">
        <v>57768.055074296688</v>
      </c>
      <c r="P864">
        <v>60483.153662788631</v>
      </c>
      <c r="Q864">
        <v>65321.805955811717</v>
      </c>
      <c r="R864">
        <v>68000</v>
      </c>
      <c r="S864" t="s">
        <v>9288</v>
      </c>
      <c r="T864" t="s">
        <v>9289</v>
      </c>
      <c r="U864" t="s">
        <v>9290</v>
      </c>
      <c r="V864" t="s">
        <v>49</v>
      </c>
      <c r="W864">
        <v>338996155</v>
      </c>
      <c r="X864">
        <v>339500751</v>
      </c>
      <c r="Y864">
        <v>340560751</v>
      </c>
      <c r="Z864">
        <v>341660751</v>
      </c>
      <c r="AA864">
        <v>343660751</v>
      </c>
      <c r="AB864">
        <v>3870187460.8724942</v>
      </c>
      <c r="AC864">
        <v>67799.231</v>
      </c>
      <c r="AD864">
        <v>3922459616.3066182</v>
      </c>
      <c r="AE864">
        <v>67900.150200000004</v>
      </c>
      <c r="AF864">
        <v>4119637646.8495402</v>
      </c>
      <c r="AG864">
        <v>68112.150200000004</v>
      </c>
      <c r="AH864">
        <v>4463579455.9077816</v>
      </c>
      <c r="AI864">
        <v>68332.150200000004</v>
      </c>
      <c r="AJ864">
        <v>4673786213.6000004</v>
      </c>
      <c r="AK864">
        <v>68732.150200000004</v>
      </c>
    </row>
    <row r="865" spans="1:37" x14ac:dyDescent="0.35">
      <c r="A865" t="s">
        <v>9291</v>
      </c>
      <c r="B865">
        <v>473.83</v>
      </c>
      <c r="C865" t="s">
        <v>9292</v>
      </c>
      <c r="D865" t="s">
        <v>9293</v>
      </c>
      <c r="E865" t="s">
        <v>9294</v>
      </c>
      <c r="F865">
        <v>0.125</v>
      </c>
      <c r="G865" t="s">
        <v>9295</v>
      </c>
      <c r="H865">
        <v>0.4</v>
      </c>
      <c r="I865">
        <v>0.2</v>
      </c>
      <c r="J865" t="s">
        <v>9296</v>
      </c>
      <c r="K865" t="s">
        <v>9297</v>
      </c>
      <c r="L865" t="s">
        <v>9298</v>
      </c>
      <c r="M865" t="s">
        <v>9299</v>
      </c>
      <c r="N865">
        <v>8394.5674079133751</v>
      </c>
      <c r="O865">
        <v>8495.3022168083353</v>
      </c>
      <c r="P865">
        <v>8894.5814209983273</v>
      </c>
      <c r="Q865">
        <v>9606.1479346781944</v>
      </c>
      <c r="R865">
        <v>10000</v>
      </c>
      <c r="S865" t="s">
        <v>9300</v>
      </c>
      <c r="T865" t="s">
        <v>9301</v>
      </c>
      <c r="U865" t="s">
        <v>9302</v>
      </c>
      <c r="V865" t="s">
        <v>94</v>
      </c>
      <c r="W865">
        <v>265472419.80000001</v>
      </c>
      <c r="X865">
        <v>266439117.80000001</v>
      </c>
      <c r="Y865">
        <v>267499117.80000001</v>
      </c>
      <c r="Z865">
        <v>268599117.80000001</v>
      </c>
      <c r="AA865">
        <v>270179117.80000001</v>
      </c>
      <c r="AB865">
        <v>278565765369.12219</v>
      </c>
      <c r="AC865">
        <v>33184052.475000001</v>
      </c>
      <c r="AD865">
        <v>282935103511.34967</v>
      </c>
      <c r="AE865">
        <v>33304889.725000001</v>
      </c>
      <c r="AF865">
        <v>297411585414.66541</v>
      </c>
      <c r="AG865">
        <v>33437389.725000001</v>
      </c>
      <c r="AH865">
        <v>322525357588.85687</v>
      </c>
      <c r="AI865">
        <v>33574889.725000001</v>
      </c>
      <c r="AJ865">
        <v>337723897250</v>
      </c>
      <c r="AK865">
        <v>33772389.725000001</v>
      </c>
    </row>
    <row r="866" spans="1:37" x14ac:dyDescent="0.35">
      <c r="A866" t="s">
        <v>9303</v>
      </c>
      <c r="B866">
        <v>1749.13</v>
      </c>
      <c r="C866" t="s">
        <v>8813</v>
      </c>
      <c r="D866" t="s">
        <v>9304</v>
      </c>
      <c r="E866" t="s">
        <v>9305</v>
      </c>
      <c r="F866">
        <v>9.0000000000000002E-6</v>
      </c>
      <c r="G866" t="s">
        <v>9306</v>
      </c>
      <c r="H866">
        <v>0.3</v>
      </c>
      <c r="I866">
        <v>5.05</v>
      </c>
      <c r="J866" t="s">
        <v>9307</v>
      </c>
      <c r="K866" t="s">
        <v>9308</v>
      </c>
      <c r="L866" t="s">
        <v>9309</v>
      </c>
      <c r="M866" t="s">
        <v>9310</v>
      </c>
      <c r="N866">
        <v>115425.3018588089</v>
      </c>
      <c r="O866">
        <v>116810.40548111461</v>
      </c>
      <c r="P866">
        <v>122300.494538727</v>
      </c>
      <c r="Q866">
        <v>132084.53410182521</v>
      </c>
      <c r="R866">
        <v>137500</v>
      </c>
      <c r="S866" t="s">
        <v>9311</v>
      </c>
      <c r="T866" t="s">
        <v>9312</v>
      </c>
      <c r="U866" t="s">
        <v>4167</v>
      </c>
      <c r="V866" t="s">
        <v>49</v>
      </c>
      <c r="W866">
        <v>338996155</v>
      </c>
      <c r="X866">
        <v>339500751</v>
      </c>
      <c r="Y866">
        <v>340560751</v>
      </c>
      <c r="Z866">
        <v>341660751</v>
      </c>
      <c r="AA866">
        <v>343660751</v>
      </c>
      <c r="AB866">
        <v>352158601.67865521</v>
      </c>
      <c r="AC866">
        <v>3050.9653950000002</v>
      </c>
      <c r="AD866">
        <v>356914983.46907651</v>
      </c>
      <c r="AE866">
        <v>3055.5067589999999</v>
      </c>
      <c r="AF866">
        <v>374856734.41002238</v>
      </c>
      <c r="AG866">
        <v>3065.0467589999998</v>
      </c>
      <c r="AH866">
        <v>406152910.05043232</v>
      </c>
      <c r="AI866">
        <v>3074.9467589999999</v>
      </c>
      <c r="AJ866">
        <v>425280179.36250001</v>
      </c>
      <c r="AK866">
        <v>3092.9467589999999</v>
      </c>
    </row>
    <row r="867" spans="1:37" x14ac:dyDescent="0.35">
      <c r="A867" t="s">
        <v>9313</v>
      </c>
      <c r="B867">
        <v>290.45999999999998</v>
      </c>
      <c r="C867" t="s">
        <v>4253</v>
      </c>
      <c r="D867" t="s">
        <v>9314</v>
      </c>
      <c r="E867" t="s">
        <v>9315</v>
      </c>
      <c r="F867">
        <v>0.25</v>
      </c>
      <c r="G867" t="s">
        <v>9316</v>
      </c>
      <c r="H867">
        <v>0.2</v>
      </c>
      <c r="I867">
        <v>0.1</v>
      </c>
      <c r="J867" t="s">
        <v>9317</v>
      </c>
      <c r="K867" t="s">
        <v>9318</v>
      </c>
      <c r="L867" t="s">
        <v>9319</v>
      </c>
      <c r="M867" t="s">
        <v>9320</v>
      </c>
      <c r="N867">
        <v>6104.049729468441</v>
      </c>
      <c r="O867">
        <v>6177.2983262220623</v>
      </c>
      <c r="P867">
        <v>6467.6313475544976</v>
      </c>
      <c r="Q867">
        <v>6985.0418553588588</v>
      </c>
      <c r="R867">
        <v>7271.4285714285716</v>
      </c>
      <c r="S867" t="s">
        <v>9321</v>
      </c>
      <c r="T867" t="s">
        <v>9322</v>
      </c>
      <c r="U867" t="s">
        <v>9323</v>
      </c>
      <c r="V867" t="s">
        <v>4264</v>
      </c>
      <c r="W867">
        <v>256761605</v>
      </c>
      <c r="X867">
        <v>257719695</v>
      </c>
      <c r="Y867">
        <v>258779695</v>
      </c>
      <c r="Z867">
        <v>259879695</v>
      </c>
      <c r="AA867">
        <v>261179695</v>
      </c>
      <c r="AB867">
        <v>391821401384.5332</v>
      </c>
      <c r="AC867">
        <v>64190401.25</v>
      </c>
      <c r="AD867">
        <v>398002860139.49011</v>
      </c>
      <c r="AE867">
        <v>64429923.75</v>
      </c>
      <c r="AF867">
        <v>418422916873.14801</v>
      </c>
      <c r="AG867">
        <v>64694923.75</v>
      </c>
      <c r="AH867">
        <v>453817636733.22357</v>
      </c>
      <c r="AI867">
        <v>64969923.75</v>
      </c>
      <c r="AJ867">
        <v>474787374125</v>
      </c>
      <c r="AK867">
        <v>65294923.75</v>
      </c>
    </row>
    <row r="868" spans="1:37" x14ac:dyDescent="0.35">
      <c r="A868" t="s">
        <v>9324</v>
      </c>
      <c r="B868">
        <v>5467.78</v>
      </c>
      <c r="C868" t="s">
        <v>4958</v>
      </c>
      <c r="D868" t="s">
        <v>9325</v>
      </c>
      <c r="E868" t="s">
        <v>9326</v>
      </c>
      <c r="F868">
        <v>4.5300000000000003E-5</v>
      </c>
      <c r="G868" t="s">
        <v>9327</v>
      </c>
      <c r="H868">
        <v>0.6</v>
      </c>
      <c r="I868">
        <v>20520.7</v>
      </c>
      <c r="J868" t="s">
        <v>9328</v>
      </c>
      <c r="K868" t="s">
        <v>9329</v>
      </c>
      <c r="L868" t="s">
        <v>9330</v>
      </c>
      <c r="M868" t="s">
        <v>9331</v>
      </c>
      <c r="N868">
        <v>109129.3763028739</v>
      </c>
      <c r="O868">
        <v>110438.9288185084</v>
      </c>
      <c r="P868">
        <v>115629.5584729783</v>
      </c>
      <c r="Q868">
        <v>124879.9231508165</v>
      </c>
      <c r="R868">
        <v>130000</v>
      </c>
      <c r="S868" t="s">
        <v>9332</v>
      </c>
      <c r="T868" t="s">
        <v>9333</v>
      </c>
      <c r="U868" t="s">
        <v>9334</v>
      </c>
      <c r="V868" t="s">
        <v>94</v>
      </c>
      <c r="W868">
        <v>265472419.80000001</v>
      </c>
      <c r="X868">
        <v>266439117.80000001</v>
      </c>
      <c r="Y868">
        <v>267499117.80000001</v>
      </c>
      <c r="Z868">
        <v>268599117.80000001</v>
      </c>
      <c r="AA868">
        <v>270179117.80000001</v>
      </c>
      <c r="AB868">
        <v>1312379033.807009</v>
      </c>
      <c r="AC868">
        <v>12025.90061694</v>
      </c>
      <c r="AD868">
        <v>1332963859.6626711</v>
      </c>
      <c r="AE868">
        <v>12069.69203634</v>
      </c>
      <c r="AF868">
        <v>1401165461.2055719</v>
      </c>
      <c r="AG868">
        <v>12117.71003634</v>
      </c>
      <c r="AH868">
        <v>1519481464.6726229</v>
      </c>
      <c r="AI868">
        <v>12167.54003634</v>
      </c>
      <c r="AJ868">
        <v>1591084824.7242</v>
      </c>
      <c r="AK868">
        <v>12239.114036340001</v>
      </c>
    </row>
    <row r="869" spans="1:37" x14ac:dyDescent="0.35">
      <c r="A869" t="s">
        <v>9335</v>
      </c>
      <c r="B869">
        <v>286.56</v>
      </c>
      <c r="C869" t="s">
        <v>208</v>
      </c>
      <c r="D869" t="s">
        <v>9336</v>
      </c>
      <c r="E869" t="s">
        <v>9337</v>
      </c>
      <c r="F869">
        <v>3.1E-2</v>
      </c>
      <c r="G869" t="s">
        <v>9338</v>
      </c>
      <c r="H869">
        <v>28.25</v>
      </c>
      <c r="I869">
        <v>0.15</v>
      </c>
      <c r="J869" t="s">
        <v>9339</v>
      </c>
      <c r="K869" t="s">
        <v>9340</v>
      </c>
      <c r="L869" t="s">
        <v>9341</v>
      </c>
      <c r="M869" t="s">
        <v>9342</v>
      </c>
      <c r="N869">
        <v>1106.1651733936201</v>
      </c>
      <c r="O869">
        <v>1119.4391554743429</v>
      </c>
      <c r="P869">
        <v>1172.0527957816371</v>
      </c>
      <c r="Q869">
        <v>1265.817019444168</v>
      </c>
      <c r="R869">
        <v>1317.7155172413791</v>
      </c>
      <c r="S869" t="s">
        <v>9343</v>
      </c>
      <c r="T869" t="s">
        <v>9344</v>
      </c>
      <c r="U869" t="s">
        <v>9345</v>
      </c>
      <c r="V869" t="s">
        <v>94</v>
      </c>
      <c r="W869">
        <v>265472419.80000001</v>
      </c>
      <c r="X869">
        <v>266439117.80000001</v>
      </c>
      <c r="Y869">
        <v>267499117.80000001</v>
      </c>
      <c r="Z869">
        <v>268599117.80000001</v>
      </c>
      <c r="AA869">
        <v>270179117.80000001</v>
      </c>
      <c r="AB869">
        <v>9103346703.6580143</v>
      </c>
      <c r="AC869">
        <v>8229645.0138000008</v>
      </c>
      <c r="AD869">
        <v>9246133811.4761925</v>
      </c>
      <c r="AE869">
        <v>8259612.6518000001</v>
      </c>
      <c r="AF869">
        <v>9719215755.4849567</v>
      </c>
      <c r="AG869">
        <v>8292472.6518000001</v>
      </c>
      <c r="AH869">
        <v>10539917376.2868</v>
      </c>
      <c r="AI869">
        <v>8326572.6518000001</v>
      </c>
      <c r="AJ869">
        <v>11036595694.749041</v>
      </c>
      <c r="AK869">
        <v>8375552.6518000001</v>
      </c>
    </row>
    <row r="870" spans="1:37" x14ac:dyDescent="0.35">
      <c r="A870" t="s">
        <v>9346</v>
      </c>
      <c r="B870">
        <v>278.18</v>
      </c>
      <c r="C870" t="s">
        <v>208</v>
      </c>
      <c r="D870" t="s">
        <v>9347</v>
      </c>
      <c r="E870" t="s">
        <v>9348</v>
      </c>
      <c r="F870">
        <v>3.1E-2</v>
      </c>
      <c r="G870" t="s">
        <v>9349</v>
      </c>
      <c r="H870">
        <v>406060.5</v>
      </c>
      <c r="I870">
        <v>0.15</v>
      </c>
      <c r="J870" t="s">
        <v>9350</v>
      </c>
      <c r="K870" t="s">
        <v>9351</v>
      </c>
      <c r="L870" t="s">
        <v>9352</v>
      </c>
      <c r="M870" t="s">
        <v>9353</v>
      </c>
      <c r="N870">
        <v>1106.1651733936201</v>
      </c>
      <c r="O870">
        <v>1119.4391554743429</v>
      </c>
      <c r="P870">
        <v>1172.0527957816371</v>
      </c>
      <c r="Q870">
        <v>1265.817019444168</v>
      </c>
      <c r="R870">
        <v>1317.7155172413791</v>
      </c>
      <c r="S870" t="s">
        <v>9354</v>
      </c>
      <c r="T870" t="s">
        <v>9355</v>
      </c>
      <c r="U870" t="s">
        <v>1248</v>
      </c>
      <c r="V870" t="s">
        <v>94</v>
      </c>
      <c r="W870">
        <v>265472419.80000001</v>
      </c>
      <c r="X870">
        <v>266439117.80000001</v>
      </c>
      <c r="Y870">
        <v>267499117.80000001</v>
      </c>
      <c r="Z870">
        <v>268599117.80000001</v>
      </c>
      <c r="AA870">
        <v>270179117.80000001</v>
      </c>
      <c r="AB870">
        <v>9103346703.6580143</v>
      </c>
      <c r="AC870">
        <v>8229645.0138000008</v>
      </c>
      <c r="AD870">
        <v>9246133811.4761925</v>
      </c>
      <c r="AE870">
        <v>8259612.6518000001</v>
      </c>
      <c r="AF870">
        <v>9719215755.4849567</v>
      </c>
      <c r="AG870">
        <v>8292472.6518000001</v>
      </c>
      <c r="AH870">
        <v>10539917376.2868</v>
      </c>
      <c r="AI870">
        <v>8326572.6518000001</v>
      </c>
      <c r="AJ870">
        <v>11036595694.749041</v>
      </c>
      <c r="AK870">
        <v>8375552.6518000001</v>
      </c>
    </row>
    <row r="871" spans="1:37" x14ac:dyDescent="0.35">
      <c r="A871" t="s">
        <v>9356</v>
      </c>
      <c r="B871">
        <v>302.76</v>
      </c>
      <c r="C871" t="s">
        <v>208</v>
      </c>
      <c r="D871" t="s">
        <v>9357</v>
      </c>
      <c r="E871" t="s">
        <v>9358</v>
      </c>
      <c r="F871">
        <v>3.1E-2</v>
      </c>
      <c r="G871" t="s">
        <v>9359</v>
      </c>
      <c r="H871">
        <v>35.130000000000003</v>
      </c>
      <c r="I871">
        <v>0.02</v>
      </c>
      <c r="J871" t="s">
        <v>9360</v>
      </c>
      <c r="K871" t="s">
        <v>9361</v>
      </c>
      <c r="L871" t="s">
        <v>9362</v>
      </c>
      <c r="M871" t="s">
        <v>9363</v>
      </c>
      <c r="N871">
        <v>1106.1651733936201</v>
      </c>
      <c r="O871">
        <v>1119.4391554743429</v>
      </c>
      <c r="P871">
        <v>1172.0527957816371</v>
      </c>
      <c r="Q871">
        <v>1265.817019444168</v>
      </c>
      <c r="R871">
        <v>1317.7155172413791</v>
      </c>
      <c r="S871" t="s">
        <v>9364</v>
      </c>
      <c r="T871" t="s">
        <v>9365</v>
      </c>
      <c r="U871" t="s">
        <v>9366</v>
      </c>
      <c r="V871" t="s">
        <v>94</v>
      </c>
      <c r="W871">
        <v>265472419.80000001</v>
      </c>
      <c r="X871">
        <v>266439117.80000001</v>
      </c>
      <c r="Y871">
        <v>267499117.80000001</v>
      </c>
      <c r="Z871">
        <v>268599117.80000001</v>
      </c>
      <c r="AA871">
        <v>270179117.80000001</v>
      </c>
      <c r="AB871">
        <v>9103346703.6580143</v>
      </c>
      <c r="AC871">
        <v>8229645.0138000008</v>
      </c>
      <c r="AD871">
        <v>9246133811.4761925</v>
      </c>
      <c r="AE871">
        <v>8259612.6518000001</v>
      </c>
      <c r="AF871">
        <v>9719215755.4849567</v>
      </c>
      <c r="AG871">
        <v>8292472.6518000001</v>
      </c>
      <c r="AH871">
        <v>10539917376.2868</v>
      </c>
      <c r="AI871">
        <v>8326572.6518000001</v>
      </c>
      <c r="AJ871">
        <v>11036595694.749041</v>
      </c>
      <c r="AK871">
        <v>8375552.6518000001</v>
      </c>
    </row>
    <row r="872" spans="1:37" x14ac:dyDescent="0.35">
      <c r="A872" t="s">
        <v>9367</v>
      </c>
      <c r="B872">
        <v>304.36</v>
      </c>
      <c r="C872" t="s">
        <v>1172</v>
      </c>
      <c r="D872" t="s">
        <v>9368</v>
      </c>
      <c r="E872" t="s">
        <v>9369</v>
      </c>
      <c r="F872">
        <v>0.02</v>
      </c>
      <c r="G872" t="s">
        <v>9370</v>
      </c>
      <c r="H872">
        <v>50.5</v>
      </c>
      <c r="I872">
        <v>0</v>
      </c>
      <c r="J872" t="s">
        <v>9371</v>
      </c>
      <c r="K872" t="s">
        <v>9372</v>
      </c>
      <c r="L872" t="s">
        <v>9373</v>
      </c>
      <c r="M872" t="s">
        <v>9374</v>
      </c>
      <c r="N872">
        <v>5009.5815501930119</v>
      </c>
      <c r="O872">
        <v>5069.696528795328</v>
      </c>
      <c r="P872">
        <v>5307.9722656487083</v>
      </c>
      <c r="Q872">
        <v>5732.6100469006051</v>
      </c>
      <c r="R872">
        <v>5967.6470588235297</v>
      </c>
      <c r="S872" t="s">
        <v>9375</v>
      </c>
      <c r="T872" t="s">
        <v>9376</v>
      </c>
      <c r="U872" t="s">
        <v>9377</v>
      </c>
      <c r="V872" t="s">
        <v>94</v>
      </c>
      <c r="W872">
        <v>265472419.80000001</v>
      </c>
      <c r="X872">
        <v>266439117.80000001</v>
      </c>
      <c r="Y872">
        <v>267499117.80000001</v>
      </c>
      <c r="Z872">
        <v>268599117.80000001</v>
      </c>
      <c r="AA872">
        <v>270179117.80000001</v>
      </c>
      <c r="AB872">
        <v>26598114726.303478</v>
      </c>
      <c r="AC872">
        <v>5309448.3960000006</v>
      </c>
      <c r="AD872">
        <v>27015309412.918991</v>
      </c>
      <c r="AE872">
        <v>5328782.3560000006</v>
      </c>
      <c r="AF872">
        <v>28397557967.357941</v>
      </c>
      <c r="AG872">
        <v>5349982.3560000006</v>
      </c>
      <c r="AH872">
        <v>30795480025.778389</v>
      </c>
      <c r="AI872">
        <v>5371982.3560000006</v>
      </c>
      <c r="AJ872">
        <v>32246672353.894119</v>
      </c>
      <c r="AK872">
        <v>5403582.3560000006</v>
      </c>
    </row>
    <row r="873" spans="1:37" x14ac:dyDescent="0.35">
      <c r="A873" t="s">
        <v>9378</v>
      </c>
      <c r="B873">
        <v>45.23</v>
      </c>
      <c r="C873" t="s">
        <v>3222</v>
      </c>
      <c r="D873" t="s">
        <v>9379</v>
      </c>
      <c r="E873" t="s">
        <v>9380</v>
      </c>
      <c r="F873">
        <v>1.1599999999999999E-2</v>
      </c>
      <c r="G873" t="s">
        <v>9381</v>
      </c>
      <c r="H873">
        <v>25.14</v>
      </c>
      <c r="I873">
        <v>5.0999999999999996</v>
      </c>
      <c r="J873" t="s">
        <v>9382</v>
      </c>
      <c r="K873" t="s">
        <v>9383</v>
      </c>
      <c r="L873" t="s">
        <v>9384</v>
      </c>
      <c r="M873" t="s">
        <v>9385</v>
      </c>
      <c r="N873">
        <v>4896.8309879494691</v>
      </c>
      <c r="O873">
        <v>4955.5929598048624</v>
      </c>
      <c r="P873">
        <v>5188.5058289156896</v>
      </c>
      <c r="Q873">
        <v>5603.5862952289463</v>
      </c>
      <c r="R873">
        <v>5833.333333333333</v>
      </c>
      <c r="S873" t="s">
        <v>9386</v>
      </c>
      <c r="T873" t="s">
        <v>9387</v>
      </c>
      <c r="U873" t="s">
        <v>9388</v>
      </c>
      <c r="V873" t="s">
        <v>49</v>
      </c>
      <c r="W873">
        <v>338996155</v>
      </c>
      <c r="X873">
        <v>339500751</v>
      </c>
      <c r="Y873">
        <v>340560751</v>
      </c>
      <c r="Z873">
        <v>341660751</v>
      </c>
      <c r="AA873">
        <v>343660751</v>
      </c>
      <c r="AB873">
        <v>19256079768.55677</v>
      </c>
      <c r="AC873">
        <v>3932355.398</v>
      </c>
      <c r="AD873">
        <v>19516159365.44714</v>
      </c>
      <c r="AE873">
        <v>3938208.7116</v>
      </c>
      <c r="AF873">
        <v>20497216723.295502</v>
      </c>
      <c r="AG873">
        <v>3950504.7116</v>
      </c>
      <c r="AH873">
        <v>22208495822.286259</v>
      </c>
      <c r="AI873">
        <v>3963264.7116</v>
      </c>
      <c r="AJ873">
        <v>23254377484.333328</v>
      </c>
      <c r="AK873">
        <v>3986464.7116</v>
      </c>
    </row>
    <row r="874" spans="1:37" x14ac:dyDescent="0.35">
      <c r="A874" t="s">
        <v>9389</v>
      </c>
      <c r="B874">
        <v>918.84</v>
      </c>
      <c r="C874" t="s">
        <v>4561</v>
      </c>
      <c r="D874" t="s">
        <v>9390</v>
      </c>
      <c r="E874" t="s">
        <v>9391</v>
      </c>
      <c r="F874">
        <v>3.9999999999999998E-6</v>
      </c>
      <c r="G874" t="s">
        <v>9392</v>
      </c>
      <c r="H874">
        <v>0.2</v>
      </c>
      <c r="I874">
        <v>0.1</v>
      </c>
      <c r="J874" t="s">
        <v>9393</v>
      </c>
      <c r="K874" t="s">
        <v>9394</v>
      </c>
      <c r="L874" t="s">
        <v>9395</v>
      </c>
      <c r="M874" t="s">
        <v>9396</v>
      </c>
      <c r="N874">
        <v>58761.97185539364</v>
      </c>
      <c r="O874">
        <v>59467.115517658363</v>
      </c>
      <c r="P874">
        <v>62262.069946988297</v>
      </c>
      <c r="Q874">
        <v>67243.03554274737</v>
      </c>
      <c r="R874">
        <v>70000</v>
      </c>
      <c r="S874" t="s">
        <v>9397</v>
      </c>
      <c r="T874" t="s">
        <v>9398</v>
      </c>
      <c r="U874" t="s">
        <v>9399</v>
      </c>
      <c r="V874" t="s">
        <v>49</v>
      </c>
      <c r="W874">
        <v>338996155</v>
      </c>
      <c r="X874">
        <v>339500751</v>
      </c>
      <c r="Y874">
        <v>340560751</v>
      </c>
      <c r="Z874">
        <v>341660751</v>
      </c>
      <c r="AA874">
        <v>343660751</v>
      </c>
      <c r="AB874">
        <v>79680330.076786637</v>
      </c>
      <c r="AC874">
        <v>1355.9846199999999</v>
      </c>
      <c r="AD874">
        <v>80756521.512195066</v>
      </c>
      <c r="AE874">
        <v>1358.0030039999999</v>
      </c>
      <c r="AF874">
        <v>84816069.199843466</v>
      </c>
      <c r="AG874">
        <v>1362.2430039999999</v>
      </c>
      <c r="AH874">
        <v>91897224.09221904</v>
      </c>
      <c r="AI874">
        <v>1366.643004</v>
      </c>
      <c r="AJ874">
        <v>96225010.279999986</v>
      </c>
      <c r="AK874">
        <v>1374.643004</v>
      </c>
    </row>
    <row r="875" spans="1:37" x14ac:dyDescent="0.35">
      <c r="A875" t="s">
        <v>9400</v>
      </c>
      <c r="B875">
        <v>35.18</v>
      </c>
      <c r="C875" t="s">
        <v>3222</v>
      </c>
      <c r="D875" t="s">
        <v>9401</v>
      </c>
      <c r="E875" t="s">
        <v>9402</v>
      </c>
      <c r="F875">
        <v>1.1599999999999999E-2</v>
      </c>
      <c r="G875" t="s">
        <v>9403</v>
      </c>
      <c r="H875">
        <v>0.4</v>
      </c>
      <c r="I875">
        <v>0.15</v>
      </c>
      <c r="J875" t="s">
        <v>9404</v>
      </c>
      <c r="K875" t="s">
        <v>9405</v>
      </c>
      <c r="L875" t="s">
        <v>9406</v>
      </c>
      <c r="M875" t="s">
        <v>9407</v>
      </c>
      <c r="N875">
        <v>4896.8309879494691</v>
      </c>
      <c r="O875">
        <v>4955.5929598048624</v>
      </c>
      <c r="P875">
        <v>5188.5058289156896</v>
      </c>
      <c r="Q875">
        <v>5603.5862952289463</v>
      </c>
      <c r="R875">
        <v>5833.333333333333</v>
      </c>
      <c r="S875" t="s">
        <v>9408</v>
      </c>
      <c r="T875" t="s">
        <v>9409</v>
      </c>
      <c r="U875" t="s">
        <v>9410</v>
      </c>
      <c r="V875" t="s">
        <v>49</v>
      </c>
      <c r="W875">
        <v>338996155</v>
      </c>
      <c r="X875">
        <v>339500751</v>
      </c>
      <c r="Y875">
        <v>340560751</v>
      </c>
      <c r="Z875">
        <v>341660751</v>
      </c>
      <c r="AA875">
        <v>343660751</v>
      </c>
      <c r="AB875">
        <v>19256079768.55677</v>
      </c>
      <c r="AC875">
        <v>3932355.398</v>
      </c>
      <c r="AD875">
        <v>19516159365.44714</v>
      </c>
      <c r="AE875">
        <v>3938208.7116</v>
      </c>
      <c r="AF875">
        <v>20497216723.295502</v>
      </c>
      <c r="AG875">
        <v>3950504.7116</v>
      </c>
      <c r="AH875">
        <v>22208495822.286259</v>
      </c>
      <c r="AI875">
        <v>3963264.7116</v>
      </c>
      <c r="AJ875">
        <v>23254377484.333328</v>
      </c>
      <c r="AK875">
        <v>3986464.7116</v>
      </c>
    </row>
    <row r="876" spans="1:37" x14ac:dyDescent="0.35">
      <c r="A876" t="s">
        <v>9411</v>
      </c>
      <c r="B876">
        <v>49.25</v>
      </c>
      <c r="C876" t="s">
        <v>1055</v>
      </c>
      <c r="D876" t="s">
        <v>9412</v>
      </c>
      <c r="E876" t="s">
        <v>9413</v>
      </c>
      <c r="F876">
        <v>5.1999999999999998E-3</v>
      </c>
      <c r="G876" t="s">
        <v>9414</v>
      </c>
      <c r="H876">
        <v>0.5</v>
      </c>
      <c r="I876">
        <v>0.7</v>
      </c>
      <c r="J876" t="s">
        <v>9415</v>
      </c>
      <c r="K876" t="s">
        <v>9416</v>
      </c>
      <c r="L876" t="s">
        <v>9417</v>
      </c>
      <c r="M876" t="s">
        <v>9418</v>
      </c>
      <c r="N876">
        <v>470.62043530614358</v>
      </c>
      <c r="O876">
        <v>476.26788052981732</v>
      </c>
      <c r="P876">
        <v>498.65247091471872</v>
      </c>
      <c r="Q876">
        <v>538.54466858789624</v>
      </c>
      <c r="R876">
        <v>560.625</v>
      </c>
      <c r="S876" t="s">
        <v>9419</v>
      </c>
      <c r="T876" t="s">
        <v>1589</v>
      </c>
      <c r="U876" t="s">
        <v>9420</v>
      </c>
      <c r="V876" t="s">
        <v>49</v>
      </c>
      <c r="W876">
        <v>338996155</v>
      </c>
      <c r="X876">
        <v>339500751</v>
      </c>
      <c r="Y876">
        <v>340560751</v>
      </c>
      <c r="Z876">
        <v>341660751</v>
      </c>
      <c r="AA876">
        <v>343660751</v>
      </c>
      <c r="AB876">
        <v>829600293.77268636</v>
      </c>
      <c r="AC876">
        <v>1762780.0060000001</v>
      </c>
      <c r="AD876">
        <v>840805176.20866656</v>
      </c>
      <c r="AE876">
        <v>1765403.9051999999</v>
      </c>
      <c r="AF876">
        <v>883071591.91015577</v>
      </c>
      <c r="AG876">
        <v>1770915.9051999999</v>
      </c>
      <c r="AH876">
        <v>956797794.76729095</v>
      </c>
      <c r="AI876">
        <v>1776635.9051999999</v>
      </c>
      <c r="AJ876">
        <v>1001857004.3527499</v>
      </c>
      <c r="AK876">
        <v>1787035.9051999999</v>
      </c>
    </row>
    <row r="877" spans="1:37" x14ac:dyDescent="0.35">
      <c r="A877" t="s">
        <v>9421</v>
      </c>
      <c r="B877">
        <v>163.82</v>
      </c>
      <c r="C877" t="s">
        <v>231</v>
      </c>
      <c r="D877" t="s">
        <v>9422</v>
      </c>
      <c r="E877" t="s">
        <v>9423</v>
      </c>
      <c r="F877">
        <v>0.191</v>
      </c>
      <c r="G877" t="s">
        <v>9424</v>
      </c>
      <c r="H877">
        <v>0.15</v>
      </c>
      <c r="I877">
        <v>0.01</v>
      </c>
      <c r="J877" t="s">
        <v>9425</v>
      </c>
      <c r="K877" t="s">
        <v>9426</v>
      </c>
      <c r="L877" t="s">
        <v>9427</v>
      </c>
      <c r="M877" t="s">
        <v>9428</v>
      </c>
      <c r="N877">
        <v>725.9551939635088</v>
      </c>
      <c r="O877">
        <v>734.66665629107092</v>
      </c>
      <c r="P877">
        <v>769.19598913675122</v>
      </c>
      <c r="Q877">
        <v>830.73166826769136</v>
      </c>
      <c r="R877">
        <v>864.79166666666663</v>
      </c>
      <c r="S877" t="s">
        <v>9429</v>
      </c>
      <c r="T877" t="s">
        <v>9430</v>
      </c>
      <c r="U877" t="s">
        <v>218</v>
      </c>
      <c r="V877" t="s">
        <v>94</v>
      </c>
      <c r="W877">
        <v>265472419.80000001</v>
      </c>
      <c r="X877">
        <v>266439117.80000001</v>
      </c>
      <c r="Y877">
        <v>267499117.80000001</v>
      </c>
      <c r="Z877">
        <v>268599117.80000001</v>
      </c>
      <c r="AA877">
        <v>270179117.80000001</v>
      </c>
      <c r="AB877">
        <v>36809726663.503357</v>
      </c>
      <c r="AC877">
        <v>50705232.1818</v>
      </c>
      <c r="AD877">
        <v>37387091733.840332</v>
      </c>
      <c r="AE877">
        <v>50889871.499799997</v>
      </c>
      <c r="AF877">
        <v>39300016465.291458</v>
      </c>
      <c r="AG877">
        <v>51092331.499799997</v>
      </c>
      <c r="AH877">
        <v>42618554506.017807</v>
      </c>
      <c r="AI877">
        <v>51302431.499799997</v>
      </c>
      <c r="AJ877">
        <v>44626892069.931213</v>
      </c>
      <c r="AK877">
        <v>51604211.499799997</v>
      </c>
    </row>
    <row r="878" spans="1:37" x14ac:dyDescent="0.35">
      <c r="A878" t="s">
        <v>9431</v>
      </c>
      <c r="B878">
        <v>50.25</v>
      </c>
      <c r="C878" t="s">
        <v>290</v>
      </c>
      <c r="D878" t="s">
        <v>9432</v>
      </c>
      <c r="E878" t="s">
        <v>9433</v>
      </c>
      <c r="F878">
        <v>1.6E-2</v>
      </c>
      <c r="G878" t="s">
        <v>9434</v>
      </c>
      <c r="H878">
        <v>0.3</v>
      </c>
      <c r="I878">
        <v>0.01</v>
      </c>
      <c r="J878" t="s">
        <v>9435</v>
      </c>
      <c r="K878" t="s">
        <v>9436</v>
      </c>
      <c r="L878" t="s">
        <v>9437</v>
      </c>
      <c r="M878" t="s">
        <v>9438</v>
      </c>
      <c r="N878">
        <v>582.68173772575199</v>
      </c>
      <c r="O878">
        <v>589.67391857846098</v>
      </c>
      <c r="P878">
        <v>617.38859275164862</v>
      </c>
      <c r="Q878">
        <v>666.77968017178057</v>
      </c>
      <c r="R878">
        <v>694.11764705882354</v>
      </c>
      <c r="S878" t="s">
        <v>9439</v>
      </c>
      <c r="T878" t="s">
        <v>1169</v>
      </c>
      <c r="U878" t="s">
        <v>9440</v>
      </c>
      <c r="V878" t="s">
        <v>49</v>
      </c>
      <c r="W878">
        <v>338996155</v>
      </c>
      <c r="X878">
        <v>339500751</v>
      </c>
      <c r="Y878">
        <v>340560751</v>
      </c>
      <c r="Z878">
        <v>341660751</v>
      </c>
      <c r="AA878">
        <v>343660751</v>
      </c>
      <c r="AB878">
        <v>3160429898.8439741</v>
      </c>
      <c r="AC878">
        <v>5423938.4800000004</v>
      </c>
      <c r="AD878">
        <v>3203115811.240005</v>
      </c>
      <c r="AE878">
        <v>5432012.0159999998</v>
      </c>
      <c r="AF878">
        <v>3364133164.9013538</v>
      </c>
      <c r="AG878">
        <v>5448972.0159999998</v>
      </c>
      <c r="AH878">
        <v>3644999140.4644861</v>
      </c>
      <c r="AI878">
        <v>5466572.0159999998</v>
      </c>
      <c r="AJ878">
        <v>3816655869.9294109</v>
      </c>
      <c r="AK878">
        <v>5498572.0159999998</v>
      </c>
    </row>
    <row r="879" spans="1:37" x14ac:dyDescent="0.35">
      <c r="A879" t="s">
        <v>9441</v>
      </c>
      <c r="B879">
        <v>27344.720000000001</v>
      </c>
      <c r="C879" t="s">
        <v>590</v>
      </c>
      <c r="D879" t="s">
        <v>9442</v>
      </c>
      <c r="E879" t="s">
        <v>9443</v>
      </c>
      <c r="F879">
        <v>2.0000000000000001E-4</v>
      </c>
      <c r="G879" t="s">
        <v>9444</v>
      </c>
      <c r="H879">
        <v>0.5</v>
      </c>
      <c r="I879">
        <v>57.71</v>
      </c>
      <c r="J879" t="s">
        <v>9445</v>
      </c>
      <c r="K879" t="s">
        <v>9446</v>
      </c>
      <c r="L879" t="s">
        <v>9447</v>
      </c>
      <c r="M879" t="s">
        <v>9448</v>
      </c>
      <c r="N879">
        <v>57083.058373810964</v>
      </c>
      <c r="O879">
        <v>57768.055074296688</v>
      </c>
      <c r="P879">
        <v>60483.153662788631</v>
      </c>
      <c r="Q879">
        <v>65321.805955811717</v>
      </c>
      <c r="R879">
        <v>68000</v>
      </c>
      <c r="S879" t="s">
        <v>9449</v>
      </c>
      <c r="T879" t="s">
        <v>9450</v>
      </c>
      <c r="U879" t="s">
        <v>9451</v>
      </c>
      <c r="V879" t="s">
        <v>49</v>
      </c>
      <c r="W879">
        <v>338996155</v>
      </c>
      <c r="X879">
        <v>339500751</v>
      </c>
      <c r="Y879">
        <v>340560751</v>
      </c>
      <c r="Z879">
        <v>341660751</v>
      </c>
      <c r="AA879">
        <v>343660751</v>
      </c>
      <c r="AB879">
        <v>3870187460.8724942</v>
      </c>
      <c r="AC879">
        <v>67799.231</v>
      </c>
      <c r="AD879">
        <v>3922459616.3066182</v>
      </c>
      <c r="AE879">
        <v>67900.150200000004</v>
      </c>
      <c r="AF879">
        <v>4119637646.8495402</v>
      </c>
      <c r="AG879">
        <v>68112.150200000004</v>
      </c>
      <c r="AH879">
        <v>4463579455.9077816</v>
      </c>
      <c r="AI879">
        <v>68332.150200000004</v>
      </c>
      <c r="AJ879">
        <v>4673786213.6000004</v>
      </c>
      <c r="AK879">
        <v>68732.150200000004</v>
      </c>
    </row>
    <row r="880" spans="1:37" x14ac:dyDescent="0.35">
      <c r="A880" t="s">
        <v>9452</v>
      </c>
      <c r="B880">
        <v>4322.83</v>
      </c>
      <c r="C880" t="s">
        <v>9453</v>
      </c>
      <c r="D880" t="s">
        <v>9454</v>
      </c>
      <c r="E880" t="s">
        <v>9455</v>
      </c>
      <c r="F880">
        <v>1.7430000000000001E-6</v>
      </c>
      <c r="G880" t="s">
        <v>9456</v>
      </c>
      <c r="H880">
        <v>0.8</v>
      </c>
      <c r="I880">
        <v>5.15</v>
      </c>
      <c r="J880" t="s">
        <v>9457</v>
      </c>
      <c r="K880" t="s">
        <v>9458</v>
      </c>
      <c r="L880" t="s">
        <v>9459</v>
      </c>
      <c r="M880" t="s">
        <v>9460</v>
      </c>
      <c r="N880">
        <v>62959.25555935032</v>
      </c>
      <c r="O880">
        <v>63714.766626062526</v>
      </c>
      <c r="P880">
        <v>66709.360657487458</v>
      </c>
      <c r="Q880">
        <v>72046.109510086462</v>
      </c>
      <c r="R880">
        <v>75000</v>
      </c>
      <c r="S880" t="s">
        <v>9461</v>
      </c>
      <c r="T880" t="s">
        <v>9462</v>
      </c>
      <c r="U880" t="s">
        <v>9463</v>
      </c>
      <c r="V880" t="s">
        <v>94</v>
      </c>
      <c r="W880">
        <v>265472419.80000001</v>
      </c>
      <c r="X880">
        <v>266439117.80000001</v>
      </c>
      <c r="Y880">
        <v>267499117.80000001</v>
      </c>
      <c r="Z880">
        <v>268599117.80000001</v>
      </c>
      <c r="AA880">
        <v>270179117.80000001</v>
      </c>
      <c r="AB880">
        <v>29132407.742302809</v>
      </c>
      <c r="AC880">
        <v>462.71842771140012</v>
      </c>
      <c r="AD880">
        <v>29589353.12521695</v>
      </c>
      <c r="AE880">
        <v>464.40338232540012</v>
      </c>
      <c r="AF880">
        <v>31103303.602665711</v>
      </c>
      <c r="AG880">
        <v>466.25096232540011</v>
      </c>
      <c r="AH880">
        <v>33729701.896642663</v>
      </c>
      <c r="AI880">
        <v>468.16826232540012</v>
      </c>
      <c r="AJ880">
        <v>35319165.174405001</v>
      </c>
      <c r="AK880">
        <v>470.92220232540012</v>
      </c>
    </row>
    <row r="881" spans="1:37" x14ac:dyDescent="0.35">
      <c r="A881" t="s">
        <v>9464</v>
      </c>
      <c r="B881">
        <v>6346.89</v>
      </c>
      <c r="C881" t="s">
        <v>1092</v>
      </c>
      <c r="D881" t="s">
        <v>9465</v>
      </c>
      <c r="E881" t="s">
        <v>9466</v>
      </c>
      <c r="F881">
        <v>2.9999999999999997E-4</v>
      </c>
      <c r="G881" t="s">
        <v>9467</v>
      </c>
      <c r="H881">
        <v>90.12</v>
      </c>
      <c r="I881">
        <v>602530.4</v>
      </c>
      <c r="J881" t="s">
        <v>9468</v>
      </c>
      <c r="K881" t="s">
        <v>9469</v>
      </c>
      <c r="L881" t="s">
        <v>9470</v>
      </c>
      <c r="M881" t="s">
        <v>9471</v>
      </c>
      <c r="N881">
        <v>213551.79873773921</v>
      </c>
      <c r="O881">
        <v>216114.42032259211</v>
      </c>
      <c r="P881">
        <v>226271.79807775389</v>
      </c>
      <c r="Q881">
        <v>244373.5419239742</v>
      </c>
      <c r="R881">
        <v>254392.8571428571</v>
      </c>
      <c r="S881" t="s">
        <v>3000</v>
      </c>
      <c r="T881" t="s">
        <v>9472</v>
      </c>
      <c r="U881" t="s">
        <v>9473</v>
      </c>
      <c r="V881" t="s">
        <v>49</v>
      </c>
      <c r="W881">
        <v>338996155</v>
      </c>
      <c r="X881">
        <v>339500751</v>
      </c>
      <c r="Y881">
        <v>340560751</v>
      </c>
      <c r="Z881">
        <v>341660751</v>
      </c>
      <c r="AA881">
        <v>343660751</v>
      </c>
      <c r="AB881">
        <v>21717971599.628231</v>
      </c>
      <c r="AC881">
        <v>101698.8465</v>
      </c>
      <c r="AD881">
        <v>22011302400.434898</v>
      </c>
      <c r="AE881">
        <v>101850.22530000001</v>
      </c>
      <c r="AF881">
        <v>23117788045.04406</v>
      </c>
      <c r="AG881">
        <v>102168.22530000001</v>
      </c>
      <c r="AH881">
        <v>25047854357.482498</v>
      </c>
      <c r="AI881">
        <v>102498.22530000001</v>
      </c>
      <c r="AJ881">
        <v>26227452100.424992</v>
      </c>
      <c r="AK881">
        <v>103098.22530000001</v>
      </c>
    </row>
    <row r="882" spans="1:37" x14ac:dyDescent="0.35">
      <c r="A882" t="s">
        <v>9474</v>
      </c>
      <c r="B882">
        <v>3246231.16</v>
      </c>
      <c r="C882" t="s">
        <v>1079</v>
      </c>
      <c r="D882" t="s">
        <v>9475</v>
      </c>
      <c r="E882" t="s">
        <v>9476</v>
      </c>
      <c r="F882">
        <v>5.3999999999999998E-5</v>
      </c>
      <c r="G882" t="s">
        <v>9477</v>
      </c>
      <c r="H882">
        <v>80.900000000000006</v>
      </c>
      <c r="I882">
        <v>50.35</v>
      </c>
      <c r="J882" t="s">
        <v>9478</v>
      </c>
      <c r="K882" t="s">
        <v>9479</v>
      </c>
      <c r="L882" t="s">
        <v>9480</v>
      </c>
      <c r="M882" t="s">
        <v>9481</v>
      </c>
      <c r="N882">
        <v>115616.08748171599</v>
      </c>
      <c r="O882">
        <v>117003.48053149661</v>
      </c>
      <c r="P882">
        <v>122502.64411647691</v>
      </c>
      <c r="Q882">
        <v>132302.85564579509</v>
      </c>
      <c r="R882">
        <v>137727.27272727271</v>
      </c>
      <c r="S882" t="s">
        <v>9482</v>
      </c>
      <c r="T882" t="s">
        <v>9483</v>
      </c>
      <c r="U882" t="s">
        <v>9484</v>
      </c>
      <c r="V882" t="s">
        <v>1090</v>
      </c>
      <c r="W882">
        <v>125425284</v>
      </c>
      <c r="X882">
        <v>126003478.59999999</v>
      </c>
      <c r="Y882">
        <v>126003478.59999999</v>
      </c>
      <c r="Z882">
        <v>126103478.59999999</v>
      </c>
      <c r="AA882">
        <v>126103478.59999999</v>
      </c>
      <c r="AB882">
        <v>783063752.79760611</v>
      </c>
      <c r="AC882">
        <v>6772.9653359999993</v>
      </c>
      <c r="AD882">
        <v>796113659.98490131</v>
      </c>
      <c r="AE882">
        <v>6804.1878443999994</v>
      </c>
      <c r="AF882">
        <v>833531002.00419164</v>
      </c>
      <c r="AG882">
        <v>6804.1878443999994</v>
      </c>
      <c r="AH882">
        <v>900927917.58501434</v>
      </c>
      <c r="AI882">
        <v>6809.5878443999991</v>
      </c>
      <c r="AJ882">
        <v>937865962.20599973</v>
      </c>
      <c r="AK882">
        <v>6809.5878443999991</v>
      </c>
    </row>
    <row r="883" spans="1:37" x14ac:dyDescent="0.35">
      <c r="A883" t="s">
        <v>9485</v>
      </c>
      <c r="B883">
        <v>710.82</v>
      </c>
      <c r="C883" t="s">
        <v>38</v>
      </c>
      <c r="D883" t="s">
        <v>9486</v>
      </c>
      <c r="E883" t="s">
        <v>9487</v>
      </c>
      <c r="F883">
        <v>1.0000000000000001E-5</v>
      </c>
      <c r="G883" t="s">
        <v>9488</v>
      </c>
      <c r="H883">
        <v>0.4</v>
      </c>
      <c r="I883">
        <v>0.23</v>
      </c>
      <c r="J883" t="s">
        <v>9489</v>
      </c>
      <c r="K883" t="s">
        <v>9490</v>
      </c>
      <c r="L883" t="s">
        <v>9491</v>
      </c>
      <c r="M883" t="s">
        <v>9492</v>
      </c>
      <c r="N883">
        <v>105785.82010430199</v>
      </c>
      <c r="O883">
        <v>107055.2499455536</v>
      </c>
      <c r="P883">
        <v>112086.8466929946</v>
      </c>
      <c r="Q883">
        <v>121053.79442843419</v>
      </c>
      <c r="R883">
        <v>126017</v>
      </c>
      <c r="S883" t="s">
        <v>9493</v>
      </c>
      <c r="T883" t="s">
        <v>9494</v>
      </c>
      <c r="U883" t="s">
        <v>9495</v>
      </c>
      <c r="V883" t="s">
        <v>49</v>
      </c>
      <c r="W883">
        <v>338996155</v>
      </c>
      <c r="X883">
        <v>339500751</v>
      </c>
      <c r="Y883">
        <v>340560751</v>
      </c>
      <c r="Z883">
        <v>341660751</v>
      </c>
      <c r="AA883">
        <v>343660751</v>
      </c>
      <c r="AB883">
        <v>358609862.68880081</v>
      </c>
      <c r="AC883">
        <v>3389.96155</v>
      </c>
      <c r="AD883">
        <v>363453377.55008161</v>
      </c>
      <c r="AE883">
        <v>3395.0075099999999</v>
      </c>
      <c r="AF883">
        <v>381723806.86988121</v>
      </c>
      <c r="AG883">
        <v>3405.6075099999998</v>
      </c>
      <c r="AH883">
        <v>413593303.15818453</v>
      </c>
      <c r="AI883">
        <v>3416.6075099999998</v>
      </c>
      <c r="AJ883">
        <v>433070968.58767003</v>
      </c>
      <c r="AK883">
        <v>3436.6075099999998</v>
      </c>
    </row>
    <row r="884" spans="1:37" x14ac:dyDescent="0.35">
      <c r="A884" t="s">
        <v>9496</v>
      </c>
      <c r="B884">
        <v>6156.14</v>
      </c>
      <c r="C884" t="s">
        <v>5253</v>
      </c>
      <c r="D884" t="s">
        <v>9497</v>
      </c>
      <c r="E884" t="s">
        <v>9498</v>
      </c>
      <c r="F884">
        <v>0.65</v>
      </c>
      <c r="G884" t="s">
        <v>9499</v>
      </c>
      <c r="H884">
        <v>0.3</v>
      </c>
      <c r="I884">
        <v>0.3</v>
      </c>
      <c r="J884" t="s">
        <v>9500</v>
      </c>
      <c r="K884" t="s">
        <v>9501</v>
      </c>
      <c r="L884" t="s">
        <v>9502</v>
      </c>
      <c r="M884" t="s">
        <v>9503</v>
      </c>
      <c r="N884">
        <v>30220.442668488151</v>
      </c>
      <c r="O884">
        <v>30583.087980510008</v>
      </c>
      <c r="P884">
        <v>32020.493115593981</v>
      </c>
      <c r="Q884">
        <v>34582.1325648415</v>
      </c>
      <c r="R884">
        <v>36000</v>
      </c>
      <c r="S884" t="s">
        <v>9504</v>
      </c>
      <c r="T884" t="s">
        <v>9505</v>
      </c>
      <c r="U884" t="s">
        <v>9506</v>
      </c>
      <c r="V884" t="s">
        <v>49</v>
      </c>
      <c r="W884">
        <v>338996155</v>
      </c>
      <c r="X884">
        <v>339500751</v>
      </c>
      <c r="Y884">
        <v>340560751</v>
      </c>
      <c r="Z884">
        <v>341660751</v>
      </c>
      <c r="AA884">
        <v>343660751</v>
      </c>
      <c r="AB884">
        <v>6658999013560.0254</v>
      </c>
      <c r="AC884">
        <v>220347500.75</v>
      </c>
      <c r="AD884">
        <v>6748937869233.4453</v>
      </c>
      <c r="AE884">
        <v>220675488.15000001</v>
      </c>
      <c r="AF884">
        <v>7088200068844.0605</v>
      </c>
      <c r="AG884">
        <v>221364488.15000001</v>
      </c>
      <c r="AH884">
        <v>7679982299135.4473</v>
      </c>
      <c r="AI884">
        <v>222079488.15000001</v>
      </c>
      <c r="AJ884">
        <v>8041661573400</v>
      </c>
      <c r="AK884">
        <v>223379488.15000001</v>
      </c>
    </row>
    <row r="885" spans="1:37" x14ac:dyDescent="0.35">
      <c r="A885" t="s">
        <v>9507</v>
      </c>
      <c r="B885">
        <v>10.64</v>
      </c>
      <c r="C885" t="s">
        <v>4915</v>
      </c>
      <c r="D885" t="s">
        <v>9508</v>
      </c>
      <c r="E885" t="s">
        <v>9509</v>
      </c>
      <c r="F885">
        <v>1.4999999999999999E-2</v>
      </c>
      <c r="G885" t="s">
        <v>9510</v>
      </c>
      <c r="H885">
        <v>0.25</v>
      </c>
      <c r="I885">
        <v>0.01</v>
      </c>
      <c r="J885" t="s">
        <v>9511</v>
      </c>
      <c r="K885" t="s">
        <v>9512</v>
      </c>
      <c r="L885" t="s">
        <v>9513</v>
      </c>
      <c r="M885" t="s">
        <v>9514</v>
      </c>
      <c r="N885">
        <v>937.39336055032709</v>
      </c>
      <c r="O885">
        <v>948.642080876931</v>
      </c>
      <c r="P885">
        <v>993.22825867814674</v>
      </c>
      <c r="Q885">
        <v>1072.6865193723991</v>
      </c>
      <c r="R885">
        <v>1116.666666666667</v>
      </c>
      <c r="S885" t="s">
        <v>9515</v>
      </c>
      <c r="T885" t="s">
        <v>587</v>
      </c>
      <c r="U885" t="s">
        <v>9516</v>
      </c>
      <c r="V885" t="s">
        <v>4925</v>
      </c>
      <c r="W885">
        <v>151690027.59999999</v>
      </c>
      <c r="X885">
        <v>150864900.80000001</v>
      </c>
      <c r="Y885">
        <v>151924900.80000001</v>
      </c>
      <c r="Z885">
        <v>153024900.80000001</v>
      </c>
      <c r="AA885">
        <v>154604900.80000001</v>
      </c>
      <c r="AB885">
        <v>2132898371.009038</v>
      </c>
      <c r="AC885">
        <v>2275350.4139999999</v>
      </c>
      <c r="AD885">
        <v>2146751901.3930571</v>
      </c>
      <c r="AE885">
        <v>2262973.5120000001</v>
      </c>
      <c r="AF885">
        <v>2263441570.0715132</v>
      </c>
      <c r="AG885">
        <v>2278873.5120000001</v>
      </c>
      <c r="AH885">
        <v>2462216223.2468791</v>
      </c>
      <c r="AI885">
        <v>2295373.5120000001</v>
      </c>
      <c r="AJ885">
        <v>2589632088.400001</v>
      </c>
      <c r="AK885">
        <v>2319073.5120000001</v>
      </c>
    </row>
    <row r="886" spans="1:37" x14ac:dyDescent="0.35">
      <c r="A886" t="s">
        <v>9517</v>
      </c>
      <c r="B886">
        <v>13.27</v>
      </c>
      <c r="C886" t="s">
        <v>4915</v>
      </c>
      <c r="D886" t="s">
        <v>9518</v>
      </c>
      <c r="E886" t="s">
        <v>9519</v>
      </c>
      <c r="F886">
        <v>1.4999999999999999E-2</v>
      </c>
      <c r="G886" t="s">
        <v>9520</v>
      </c>
      <c r="H886">
        <v>0.2</v>
      </c>
      <c r="I886">
        <v>5.81</v>
      </c>
      <c r="J886" t="s">
        <v>9521</v>
      </c>
      <c r="K886" t="s">
        <v>9522</v>
      </c>
      <c r="L886" t="s">
        <v>9523</v>
      </c>
      <c r="M886" t="s">
        <v>9524</v>
      </c>
      <c r="N886">
        <v>937.39336055032709</v>
      </c>
      <c r="O886">
        <v>948.642080876931</v>
      </c>
      <c r="P886">
        <v>993.22825867814674</v>
      </c>
      <c r="Q886">
        <v>1072.6865193723991</v>
      </c>
      <c r="R886">
        <v>1116.666666666667</v>
      </c>
      <c r="S886" t="s">
        <v>9525</v>
      </c>
      <c r="T886" t="s">
        <v>9526</v>
      </c>
      <c r="U886" t="s">
        <v>9527</v>
      </c>
      <c r="V886" t="s">
        <v>4925</v>
      </c>
      <c r="W886">
        <v>151690027.59999999</v>
      </c>
      <c r="X886">
        <v>150864900.80000001</v>
      </c>
      <c r="Y886">
        <v>151924900.80000001</v>
      </c>
      <c r="Z886">
        <v>153024900.80000001</v>
      </c>
      <c r="AA886">
        <v>154604900.80000001</v>
      </c>
      <c r="AB886">
        <v>2132898371.009038</v>
      </c>
      <c r="AC886">
        <v>2275350.4139999999</v>
      </c>
      <c r="AD886">
        <v>2146751901.3930571</v>
      </c>
      <c r="AE886">
        <v>2262973.5120000001</v>
      </c>
      <c r="AF886">
        <v>2263441570.0715132</v>
      </c>
      <c r="AG886">
        <v>2278873.5120000001</v>
      </c>
      <c r="AH886">
        <v>2462216223.2468791</v>
      </c>
      <c r="AI886">
        <v>2295373.5120000001</v>
      </c>
      <c r="AJ886">
        <v>2589632088.400001</v>
      </c>
      <c r="AK886">
        <v>2319073.5120000001</v>
      </c>
    </row>
    <row r="887" spans="1:37" x14ac:dyDescent="0.35">
      <c r="A887" t="s">
        <v>9528</v>
      </c>
      <c r="B887">
        <v>23.63</v>
      </c>
      <c r="C887" t="s">
        <v>208</v>
      </c>
      <c r="D887" t="s">
        <v>9529</v>
      </c>
      <c r="E887" t="s">
        <v>9530</v>
      </c>
      <c r="F887">
        <v>3.1E-2</v>
      </c>
      <c r="G887" t="s">
        <v>9531</v>
      </c>
      <c r="H887">
        <v>0.3</v>
      </c>
      <c r="I887">
        <v>0.15</v>
      </c>
      <c r="J887" t="s">
        <v>9532</v>
      </c>
      <c r="K887" t="s">
        <v>9533</v>
      </c>
      <c r="L887" t="s">
        <v>9534</v>
      </c>
      <c r="M887" t="s">
        <v>9535</v>
      </c>
      <c r="N887">
        <v>1106.1651733936201</v>
      </c>
      <c r="O887">
        <v>1119.4391554743429</v>
      </c>
      <c r="P887">
        <v>1172.0527957816371</v>
      </c>
      <c r="Q887">
        <v>1265.817019444168</v>
      </c>
      <c r="R887">
        <v>1317.7155172413791</v>
      </c>
      <c r="S887" t="s">
        <v>9536</v>
      </c>
      <c r="T887" t="s">
        <v>9537</v>
      </c>
      <c r="U887" t="s">
        <v>9538</v>
      </c>
      <c r="V887" t="s">
        <v>94</v>
      </c>
      <c r="W887">
        <v>265472419.80000001</v>
      </c>
      <c r="X887">
        <v>266439117.80000001</v>
      </c>
      <c r="Y887">
        <v>267499117.80000001</v>
      </c>
      <c r="Z887">
        <v>268599117.80000001</v>
      </c>
      <c r="AA887">
        <v>270179117.80000001</v>
      </c>
      <c r="AB887">
        <v>9103346703.6580143</v>
      </c>
      <c r="AC887">
        <v>8229645.0138000008</v>
      </c>
      <c r="AD887">
        <v>9246133811.4761925</v>
      </c>
      <c r="AE887">
        <v>8259612.6518000001</v>
      </c>
      <c r="AF887">
        <v>9719215755.4849567</v>
      </c>
      <c r="AG887">
        <v>8292472.6518000001</v>
      </c>
      <c r="AH887">
        <v>10539917376.2868</v>
      </c>
      <c r="AI887">
        <v>8326572.6518000001</v>
      </c>
      <c r="AJ887">
        <v>11036595694.749041</v>
      </c>
      <c r="AK887">
        <v>8375552.6518000001</v>
      </c>
    </row>
    <row r="888" spans="1:37" x14ac:dyDescent="0.35">
      <c r="A888" t="s">
        <v>9539</v>
      </c>
      <c r="B888">
        <v>18.510000000000002</v>
      </c>
      <c r="C888" t="s">
        <v>4915</v>
      </c>
      <c r="D888" t="s">
        <v>9540</v>
      </c>
      <c r="E888" t="s">
        <v>9541</v>
      </c>
      <c r="F888">
        <v>1.4999999999999999E-2</v>
      </c>
      <c r="G888" t="s">
        <v>9542</v>
      </c>
      <c r="H888">
        <v>10.199999999999999</v>
      </c>
      <c r="J888" t="s">
        <v>9543</v>
      </c>
      <c r="K888" t="s">
        <v>9544</v>
      </c>
      <c r="L888" t="s">
        <v>9545</v>
      </c>
      <c r="M888" t="s">
        <v>9546</v>
      </c>
      <c r="N888">
        <v>937.39336055032709</v>
      </c>
      <c r="O888">
        <v>948.642080876931</v>
      </c>
      <c r="P888">
        <v>993.22825867814674</v>
      </c>
      <c r="Q888">
        <v>1072.6865193723991</v>
      </c>
      <c r="R888">
        <v>1116.666666666667</v>
      </c>
      <c r="S888" t="s">
        <v>9547</v>
      </c>
      <c r="T888" t="s">
        <v>587</v>
      </c>
      <c r="U888" t="s">
        <v>9527</v>
      </c>
      <c r="V888" t="s">
        <v>4925</v>
      </c>
      <c r="W888">
        <v>151690027.59999999</v>
      </c>
      <c r="X888">
        <v>150864900.80000001</v>
      </c>
      <c r="Y888">
        <v>151924900.80000001</v>
      </c>
      <c r="Z888">
        <v>153024900.80000001</v>
      </c>
      <c r="AA888">
        <v>154604900.80000001</v>
      </c>
      <c r="AB888">
        <v>2132898371.009038</v>
      </c>
      <c r="AC888">
        <v>2275350.4139999999</v>
      </c>
      <c r="AD888">
        <v>2146751901.3930571</v>
      </c>
      <c r="AE888">
        <v>2262973.5120000001</v>
      </c>
      <c r="AF888">
        <v>2263441570.0715132</v>
      </c>
      <c r="AG888">
        <v>2278873.5120000001</v>
      </c>
      <c r="AH888">
        <v>2462216223.2468791</v>
      </c>
      <c r="AI888">
        <v>2295373.5120000001</v>
      </c>
      <c r="AJ888">
        <v>2589632088.400001</v>
      </c>
      <c r="AK888">
        <v>2319073.5120000001</v>
      </c>
    </row>
    <row r="889" spans="1:37" x14ac:dyDescent="0.35">
      <c r="A889" t="s">
        <v>9548</v>
      </c>
      <c r="B889">
        <v>11.42</v>
      </c>
      <c r="C889" t="s">
        <v>208</v>
      </c>
      <c r="D889" t="s">
        <v>9549</v>
      </c>
      <c r="E889" t="s">
        <v>9550</v>
      </c>
      <c r="F889">
        <v>3.1E-2</v>
      </c>
      <c r="G889" t="s">
        <v>9551</v>
      </c>
      <c r="H889">
        <v>0.5</v>
      </c>
      <c r="I889">
        <v>0.12</v>
      </c>
      <c r="J889" t="s">
        <v>9552</v>
      </c>
      <c r="K889" t="s">
        <v>9553</v>
      </c>
      <c r="L889" t="s">
        <v>9554</v>
      </c>
      <c r="M889" t="s">
        <v>9555</v>
      </c>
      <c r="N889">
        <v>1106.1651733936201</v>
      </c>
      <c r="O889">
        <v>1119.4391554743429</v>
      </c>
      <c r="P889">
        <v>1172.0527957816371</v>
      </c>
      <c r="Q889">
        <v>1265.817019444168</v>
      </c>
      <c r="R889">
        <v>1317.7155172413791</v>
      </c>
      <c r="S889" t="s">
        <v>9556</v>
      </c>
      <c r="T889" t="s">
        <v>9557</v>
      </c>
      <c r="U889" t="s">
        <v>241</v>
      </c>
      <c r="V889" t="s">
        <v>94</v>
      </c>
      <c r="W889">
        <v>265472419.80000001</v>
      </c>
      <c r="X889">
        <v>266439117.80000001</v>
      </c>
      <c r="Y889">
        <v>267499117.80000001</v>
      </c>
      <c r="Z889">
        <v>268599117.80000001</v>
      </c>
      <c r="AA889">
        <v>270179117.80000001</v>
      </c>
      <c r="AB889">
        <v>9103346703.6580143</v>
      </c>
      <c r="AC889">
        <v>8229645.0138000008</v>
      </c>
      <c r="AD889">
        <v>9246133811.4761925</v>
      </c>
      <c r="AE889">
        <v>8259612.6518000001</v>
      </c>
      <c r="AF889">
        <v>9719215755.4849567</v>
      </c>
      <c r="AG889">
        <v>8292472.6518000001</v>
      </c>
      <c r="AH889">
        <v>10539917376.2868</v>
      </c>
      <c r="AI889">
        <v>8326572.6518000001</v>
      </c>
      <c r="AJ889">
        <v>11036595694.749041</v>
      </c>
      <c r="AK889">
        <v>8375552.6518000001</v>
      </c>
    </row>
    <row r="890" spans="1:37" x14ac:dyDescent="0.35">
      <c r="A890" t="s">
        <v>9558</v>
      </c>
      <c r="B890">
        <v>41.36</v>
      </c>
      <c r="C890" t="s">
        <v>208</v>
      </c>
      <c r="D890" t="s">
        <v>3102</v>
      </c>
      <c r="E890" t="s">
        <v>9559</v>
      </c>
      <c r="F890">
        <v>3.1E-2</v>
      </c>
      <c r="G890" t="s">
        <v>9560</v>
      </c>
      <c r="H890">
        <v>0.3</v>
      </c>
      <c r="J890" t="s">
        <v>9561</v>
      </c>
      <c r="K890" t="s">
        <v>9562</v>
      </c>
      <c r="L890" t="s">
        <v>9563</v>
      </c>
      <c r="M890" t="s">
        <v>9564</v>
      </c>
      <c r="N890">
        <v>1106.1651733936201</v>
      </c>
      <c r="O890">
        <v>1119.4391554743429</v>
      </c>
      <c r="P890">
        <v>1172.0527957816371</v>
      </c>
      <c r="Q890">
        <v>1265.817019444168</v>
      </c>
      <c r="R890">
        <v>1317.7155172413791</v>
      </c>
      <c r="S890" t="s">
        <v>9565</v>
      </c>
      <c r="T890" t="s">
        <v>9566</v>
      </c>
      <c r="U890" t="s">
        <v>9538</v>
      </c>
      <c r="V890" t="s">
        <v>94</v>
      </c>
      <c r="W890">
        <v>265472419.80000001</v>
      </c>
      <c r="X890">
        <v>266439117.80000001</v>
      </c>
      <c r="Y890">
        <v>267499117.80000001</v>
      </c>
      <c r="Z890">
        <v>268599117.80000001</v>
      </c>
      <c r="AA890">
        <v>270179117.80000001</v>
      </c>
      <c r="AB890">
        <v>9103346703.6580143</v>
      </c>
      <c r="AC890">
        <v>8229645.0138000008</v>
      </c>
      <c r="AD890">
        <v>9246133811.4761925</v>
      </c>
      <c r="AE890">
        <v>8259612.6518000001</v>
      </c>
      <c r="AF890">
        <v>9719215755.4849567</v>
      </c>
      <c r="AG890">
        <v>8292472.6518000001</v>
      </c>
      <c r="AH890">
        <v>10539917376.2868</v>
      </c>
      <c r="AI890">
        <v>8326572.6518000001</v>
      </c>
      <c r="AJ890">
        <v>11036595694.749041</v>
      </c>
      <c r="AK890">
        <v>8375552.6518000001</v>
      </c>
    </row>
    <row r="891" spans="1:37" x14ac:dyDescent="0.35">
      <c r="A891" t="s">
        <v>9567</v>
      </c>
      <c r="B891">
        <v>69.040000000000006</v>
      </c>
      <c r="C891" t="s">
        <v>208</v>
      </c>
      <c r="D891" t="s">
        <v>3113</v>
      </c>
      <c r="E891" t="s">
        <v>9568</v>
      </c>
      <c r="F891">
        <v>3.1E-2</v>
      </c>
      <c r="G891" t="s">
        <v>9569</v>
      </c>
      <c r="H891">
        <v>0.35</v>
      </c>
      <c r="I891">
        <v>0.2</v>
      </c>
      <c r="J891" t="s">
        <v>9570</v>
      </c>
      <c r="K891" t="s">
        <v>9571</v>
      </c>
      <c r="L891" t="s">
        <v>9572</v>
      </c>
      <c r="M891" t="s">
        <v>9573</v>
      </c>
      <c r="N891">
        <v>1106.1651733936201</v>
      </c>
      <c r="O891">
        <v>1119.4391554743429</v>
      </c>
      <c r="P891">
        <v>1172.0527957816371</v>
      </c>
      <c r="Q891">
        <v>1265.817019444168</v>
      </c>
      <c r="R891">
        <v>1317.7155172413791</v>
      </c>
      <c r="S891" t="s">
        <v>9574</v>
      </c>
      <c r="T891" t="s">
        <v>9575</v>
      </c>
      <c r="U891" t="s">
        <v>9576</v>
      </c>
      <c r="V891" t="s">
        <v>94</v>
      </c>
      <c r="W891">
        <v>265472419.80000001</v>
      </c>
      <c r="X891">
        <v>266439117.80000001</v>
      </c>
      <c r="Y891">
        <v>267499117.80000001</v>
      </c>
      <c r="Z891">
        <v>268599117.80000001</v>
      </c>
      <c r="AA891">
        <v>270179117.80000001</v>
      </c>
      <c r="AB891">
        <v>9103346703.6580143</v>
      </c>
      <c r="AC891">
        <v>8229645.0138000008</v>
      </c>
      <c r="AD891">
        <v>9246133811.4761925</v>
      </c>
      <c r="AE891">
        <v>8259612.6518000001</v>
      </c>
      <c r="AF891">
        <v>9719215755.4849567</v>
      </c>
      <c r="AG891">
        <v>8292472.6518000001</v>
      </c>
      <c r="AH891">
        <v>10539917376.2868</v>
      </c>
      <c r="AI891">
        <v>8326572.6518000001</v>
      </c>
      <c r="AJ891">
        <v>11036595694.749041</v>
      </c>
      <c r="AK891">
        <v>8375552.6518000001</v>
      </c>
    </row>
    <row r="892" spans="1:37" x14ac:dyDescent="0.35">
      <c r="A892" t="s">
        <v>9577</v>
      </c>
      <c r="B892">
        <v>88.84</v>
      </c>
      <c r="C892" t="s">
        <v>83</v>
      </c>
      <c r="D892" t="s">
        <v>9578</v>
      </c>
      <c r="E892" t="s">
        <v>118</v>
      </c>
      <c r="F892">
        <v>4.5999999999999999E-2</v>
      </c>
      <c r="G892" t="s">
        <v>9579</v>
      </c>
      <c r="H892">
        <v>0.3</v>
      </c>
      <c r="I892">
        <v>0.02</v>
      </c>
      <c r="J892" t="s">
        <v>9580</v>
      </c>
      <c r="K892" t="s">
        <v>9581</v>
      </c>
      <c r="L892" t="s">
        <v>9582</v>
      </c>
      <c r="M892" t="s">
        <v>9583</v>
      </c>
      <c r="N892">
        <v>963.93530786561541</v>
      </c>
      <c r="O892">
        <v>975.50253156000281</v>
      </c>
      <c r="P892">
        <v>1021.351150543323</v>
      </c>
      <c r="Q892">
        <v>1103.059242586789</v>
      </c>
      <c r="R892">
        <v>1148.2846715328469</v>
      </c>
      <c r="S892" t="s">
        <v>9584</v>
      </c>
      <c r="T892" t="s">
        <v>9585</v>
      </c>
      <c r="U892" t="s">
        <v>93</v>
      </c>
      <c r="V892" t="s">
        <v>94</v>
      </c>
      <c r="W892">
        <v>265472419.80000001</v>
      </c>
      <c r="X892">
        <v>266439117.80000001</v>
      </c>
      <c r="Y892">
        <v>267499117.80000001</v>
      </c>
      <c r="Z892">
        <v>268599117.80000001</v>
      </c>
      <c r="AA892">
        <v>270179117.80000001</v>
      </c>
      <c r="AB892">
        <v>11771318980.64817</v>
      </c>
      <c r="AC892">
        <v>12211731.310799999</v>
      </c>
      <c r="AD892">
        <v>11955953560.343639</v>
      </c>
      <c r="AE892">
        <v>12256199.4188</v>
      </c>
      <c r="AF892">
        <v>12567684459.780279</v>
      </c>
      <c r="AG892">
        <v>12304959.4188</v>
      </c>
      <c r="AH892">
        <v>13628914014.237591</v>
      </c>
      <c r="AI892">
        <v>12355559.4188</v>
      </c>
      <c r="AJ892">
        <v>14271156818.748341</v>
      </c>
      <c r="AK892">
        <v>12428239.4188</v>
      </c>
    </row>
    <row r="893" spans="1:37" x14ac:dyDescent="0.35">
      <c r="A893" t="s">
        <v>9586</v>
      </c>
      <c r="B893">
        <v>81.41</v>
      </c>
      <c r="C893" t="s">
        <v>5056</v>
      </c>
      <c r="D893" t="s">
        <v>9587</v>
      </c>
      <c r="E893" t="s">
        <v>9588</v>
      </c>
      <c r="F893">
        <v>4.0000000000000003E-5</v>
      </c>
      <c r="G893" t="s">
        <v>9589</v>
      </c>
      <c r="H893">
        <v>25.5</v>
      </c>
      <c r="I893">
        <v>0.01</v>
      </c>
      <c r="J893" t="s">
        <v>9590</v>
      </c>
      <c r="K893" t="s">
        <v>9591</v>
      </c>
      <c r="L893" t="s">
        <v>9592</v>
      </c>
      <c r="M893" t="s">
        <v>9593</v>
      </c>
      <c r="N893">
        <v>2420.4336026150231</v>
      </c>
      <c r="O893">
        <v>2449.4788058464028</v>
      </c>
      <c r="P893">
        <v>2564.6043097211841</v>
      </c>
      <c r="Q893">
        <v>2769.7726544988791</v>
      </c>
      <c r="R893">
        <v>2883.333333333333</v>
      </c>
      <c r="S893" t="s">
        <v>9594</v>
      </c>
      <c r="T893" t="s">
        <v>9595</v>
      </c>
      <c r="U893" t="s">
        <v>2784</v>
      </c>
      <c r="V893" t="s">
        <v>49</v>
      </c>
      <c r="W893">
        <v>338996155</v>
      </c>
      <c r="X893">
        <v>339500751</v>
      </c>
      <c r="Y893">
        <v>340560751</v>
      </c>
      <c r="Z893">
        <v>341660751</v>
      </c>
      <c r="AA893">
        <v>343660751</v>
      </c>
      <c r="AB893">
        <v>32820707.388771631</v>
      </c>
      <c r="AC893">
        <v>13559.8462</v>
      </c>
      <c r="AD893">
        <v>33263995.765737489</v>
      </c>
      <c r="AE893">
        <v>13580.03004</v>
      </c>
      <c r="AF893">
        <v>34936142.789459333</v>
      </c>
      <c r="AG893">
        <v>13622.430039999999</v>
      </c>
      <c r="AH893">
        <v>37852904.209414028</v>
      </c>
      <c r="AI893">
        <v>13666.430039999999</v>
      </c>
      <c r="AJ893">
        <v>39635539.948666662</v>
      </c>
      <c r="AK893">
        <v>13746.430039999999</v>
      </c>
    </row>
    <row r="894" spans="1:37" x14ac:dyDescent="0.35">
      <c r="A894" t="s">
        <v>9596</v>
      </c>
      <c r="B894">
        <v>184.55</v>
      </c>
      <c r="C894" t="s">
        <v>487</v>
      </c>
      <c r="D894" t="s">
        <v>9597</v>
      </c>
      <c r="E894" t="s">
        <v>1659</v>
      </c>
      <c r="F894">
        <v>2.8000000000000001E-2</v>
      </c>
      <c r="G894" t="s">
        <v>9598</v>
      </c>
      <c r="H894">
        <v>6070.5</v>
      </c>
      <c r="I894">
        <v>1020.25</v>
      </c>
      <c r="J894" t="s">
        <v>9599</v>
      </c>
      <c r="K894" t="s">
        <v>9600</v>
      </c>
      <c r="L894" t="s">
        <v>9601</v>
      </c>
      <c r="M894" t="s">
        <v>9602</v>
      </c>
      <c r="N894">
        <v>4761.448013576749</v>
      </c>
      <c r="O894">
        <v>4818.5853897396701</v>
      </c>
      <c r="P894">
        <v>5045.0589030574338</v>
      </c>
      <c r="Q894">
        <v>5448.663615302029</v>
      </c>
      <c r="R894">
        <v>5672.0588235294117</v>
      </c>
      <c r="S894" t="s">
        <v>9603</v>
      </c>
      <c r="T894" t="s">
        <v>9604</v>
      </c>
      <c r="U894" t="s">
        <v>9605</v>
      </c>
      <c r="V894" t="s">
        <v>94</v>
      </c>
      <c r="W894">
        <v>265472419.80000001</v>
      </c>
      <c r="X894">
        <v>266439117.80000001</v>
      </c>
      <c r="Y894">
        <v>267499117.80000001</v>
      </c>
      <c r="Z894">
        <v>268599117.80000001</v>
      </c>
      <c r="AA894">
        <v>270179117.80000001</v>
      </c>
      <c r="AB894">
        <v>35392927525.651443</v>
      </c>
      <c r="AC894">
        <v>7433227.7544000009</v>
      </c>
      <c r="AD894">
        <v>35948069928.013786</v>
      </c>
      <c r="AE894">
        <v>7460295.2984000007</v>
      </c>
      <c r="AF894">
        <v>37787366562.873177</v>
      </c>
      <c r="AG894">
        <v>7489975.2984000007</v>
      </c>
      <c r="AH894">
        <v>40978174727.254341</v>
      </c>
      <c r="AI894">
        <v>7520775.2984000007</v>
      </c>
      <c r="AJ894">
        <v>42909211773.424713</v>
      </c>
      <c r="AK894">
        <v>7565015.2984000007</v>
      </c>
    </row>
    <row r="895" spans="1:37" x14ac:dyDescent="0.35">
      <c r="A895" t="s">
        <v>9606</v>
      </c>
      <c r="B895">
        <v>2.23</v>
      </c>
      <c r="C895" t="s">
        <v>208</v>
      </c>
      <c r="D895" t="s">
        <v>5578</v>
      </c>
      <c r="E895" t="s">
        <v>9607</v>
      </c>
      <c r="F895">
        <v>3.1E-2</v>
      </c>
      <c r="G895" t="s">
        <v>9608</v>
      </c>
      <c r="H895">
        <v>0.3</v>
      </c>
      <c r="I895">
        <v>0.01</v>
      </c>
      <c r="J895" t="s">
        <v>9609</v>
      </c>
      <c r="K895" t="s">
        <v>9610</v>
      </c>
      <c r="L895" t="s">
        <v>9611</v>
      </c>
      <c r="M895" t="s">
        <v>9612</v>
      </c>
      <c r="N895">
        <v>1106.1651733936201</v>
      </c>
      <c r="O895">
        <v>1119.4391554743429</v>
      </c>
      <c r="P895">
        <v>1172.0527957816371</v>
      </c>
      <c r="Q895">
        <v>1265.817019444168</v>
      </c>
      <c r="R895">
        <v>1317.7155172413791</v>
      </c>
      <c r="S895" t="s">
        <v>9613</v>
      </c>
      <c r="T895" t="s">
        <v>6975</v>
      </c>
      <c r="U895" t="s">
        <v>241</v>
      </c>
      <c r="V895" t="s">
        <v>94</v>
      </c>
      <c r="W895">
        <v>265472419.80000001</v>
      </c>
      <c r="X895">
        <v>266439117.80000001</v>
      </c>
      <c r="Y895">
        <v>267499117.80000001</v>
      </c>
      <c r="Z895">
        <v>268599117.80000001</v>
      </c>
      <c r="AA895">
        <v>270179117.80000001</v>
      </c>
      <c r="AB895">
        <v>9103346703.6580143</v>
      </c>
      <c r="AC895">
        <v>8229645.0138000008</v>
      </c>
      <c r="AD895">
        <v>9246133811.4761925</v>
      </c>
      <c r="AE895">
        <v>8259612.6518000001</v>
      </c>
      <c r="AF895">
        <v>9719215755.4849567</v>
      </c>
      <c r="AG895">
        <v>8292472.6518000001</v>
      </c>
      <c r="AH895">
        <v>10539917376.2868</v>
      </c>
      <c r="AI895">
        <v>8326572.6518000001</v>
      </c>
      <c r="AJ895">
        <v>11036595694.749041</v>
      </c>
      <c r="AK895">
        <v>8375552.6518000001</v>
      </c>
    </row>
    <row r="896" spans="1:37" x14ac:dyDescent="0.35">
      <c r="A896" t="s">
        <v>9614</v>
      </c>
      <c r="B896">
        <v>2.69</v>
      </c>
      <c r="C896" t="s">
        <v>208</v>
      </c>
      <c r="D896" t="s">
        <v>9615</v>
      </c>
      <c r="E896" t="s">
        <v>9616</v>
      </c>
      <c r="F896">
        <v>3.1E-2</v>
      </c>
      <c r="G896" t="s">
        <v>9617</v>
      </c>
      <c r="H896">
        <v>0.3</v>
      </c>
      <c r="J896" t="s">
        <v>9618</v>
      </c>
      <c r="K896" t="s">
        <v>9619</v>
      </c>
      <c r="L896" t="s">
        <v>9620</v>
      </c>
      <c r="M896" t="s">
        <v>9621</v>
      </c>
      <c r="N896">
        <v>1106.1651733936201</v>
      </c>
      <c r="O896">
        <v>1119.4391554743429</v>
      </c>
      <c r="P896">
        <v>1172.0527957816371</v>
      </c>
      <c r="Q896">
        <v>1265.817019444168</v>
      </c>
      <c r="R896">
        <v>1317.7155172413791</v>
      </c>
      <c r="S896" t="s">
        <v>9622</v>
      </c>
      <c r="T896" t="s">
        <v>9623</v>
      </c>
      <c r="U896" t="s">
        <v>5326</v>
      </c>
      <c r="V896" t="s">
        <v>94</v>
      </c>
      <c r="W896">
        <v>265472419.80000001</v>
      </c>
      <c r="X896">
        <v>266439117.80000001</v>
      </c>
      <c r="Y896">
        <v>267499117.80000001</v>
      </c>
      <c r="Z896">
        <v>268599117.80000001</v>
      </c>
      <c r="AA896">
        <v>270179117.80000001</v>
      </c>
      <c r="AB896">
        <v>9103346703.6580143</v>
      </c>
      <c r="AC896">
        <v>8229645.0138000008</v>
      </c>
      <c r="AD896">
        <v>9246133811.4761925</v>
      </c>
      <c r="AE896">
        <v>8259612.6518000001</v>
      </c>
      <c r="AF896">
        <v>9719215755.4849567</v>
      </c>
      <c r="AG896">
        <v>8292472.6518000001</v>
      </c>
      <c r="AH896">
        <v>10539917376.2868</v>
      </c>
      <c r="AI896">
        <v>8326572.6518000001</v>
      </c>
      <c r="AJ896">
        <v>11036595694.749041</v>
      </c>
      <c r="AK896">
        <v>8375552.6518000001</v>
      </c>
    </row>
    <row r="897" spans="1:37" x14ac:dyDescent="0.35">
      <c r="A897" t="s">
        <v>9624</v>
      </c>
      <c r="B897">
        <v>2.81</v>
      </c>
      <c r="C897" t="s">
        <v>208</v>
      </c>
      <c r="D897" t="s">
        <v>9625</v>
      </c>
      <c r="E897" t="s">
        <v>9626</v>
      </c>
      <c r="F897">
        <v>3.1E-2</v>
      </c>
      <c r="G897" t="s">
        <v>9627</v>
      </c>
      <c r="H897">
        <v>0.3</v>
      </c>
      <c r="I897">
        <v>0.14000000000000001</v>
      </c>
      <c r="J897" t="s">
        <v>9628</v>
      </c>
      <c r="K897" t="s">
        <v>9629</v>
      </c>
      <c r="L897" t="s">
        <v>9630</v>
      </c>
      <c r="M897" t="s">
        <v>9631</v>
      </c>
      <c r="N897">
        <v>1106.1651733936201</v>
      </c>
      <c r="O897">
        <v>1119.4391554743429</v>
      </c>
      <c r="P897">
        <v>1172.0527957816371</v>
      </c>
      <c r="Q897">
        <v>1265.817019444168</v>
      </c>
      <c r="R897">
        <v>1317.7155172413791</v>
      </c>
      <c r="S897" t="s">
        <v>9632</v>
      </c>
      <c r="T897" t="s">
        <v>9633</v>
      </c>
      <c r="U897" t="s">
        <v>9634</v>
      </c>
      <c r="V897" t="s">
        <v>94</v>
      </c>
      <c r="W897">
        <v>265472419.80000001</v>
      </c>
      <c r="X897">
        <v>266439117.80000001</v>
      </c>
      <c r="Y897">
        <v>267499117.80000001</v>
      </c>
      <c r="Z897">
        <v>268599117.80000001</v>
      </c>
      <c r="AA897">
        <v>270179117.80000001</v>
      </c>
      <c r="AB897">
        <v>9103346703.6580143</v>
      </c>
      <c r="AC897">
        <v>8229645.0138000008</v>
      </c>
      <c r="AD897">
        <v>9246133811.4761925</v>
      </c>
      <c r="AE897">
        <v>8259612.6518000001</v>
      </c>
      <c r="AF897">
        <v>9719215755.4849567</v>
      </c>
      <c r="AG897">
        <v>8292472.6518000001</v>
      </c>
      <c r="AH897">
        <v>10539917376.2868</v>
      </c>
      <c r="AI897">
        <v>8326572.6518000001</v>
      </c>
      <c r="AJ897">
        <v>11036595694.749041</v>
      </c>
      <c r="AK897">
        <v>8375552.6518000001</v>
      </c>
    </row>
    <row r="898" spans="1:37" x14ac:dyDescent="0.35">
      <c r="A898" t="s">
        <v>9635</v>
      </c>
      <c r="B898">
        <v>6.06</v>
      </c>
      <c r="C898" t="s">
        <v>208</v>
      </c>
      <c r="D898" t="s">
        <v>9636</v>
      </c>
      <c r="E898" t="s">
        <v>9637</v>
      </c>
      <c r="F898">
        <v>3.1E-2</v>
      </c>
      <c r="G898" t="s">
        <v>9638</v>
      </c>
      <c r="H898">
        <v>0.3</v>
      </c>
      <c r="J898" t="s">
        <v>9639</v>
      </c>
      <c r="K898" t="s">
        <v>9640</v>
      </c>
      <c r="L898" t="s">
        <v>9641</v>
      </c>
      <c r="M898" t="s">
        <v>9642</v>
      </c>
      <c r="N898">
        <v>1106.1651733936201</v>
      </c>
      <c r="O898">
        <v>1119.4391554743429</v>
      </c>
      <c r="P898">
        <v>1172.0527957816371</v>
      </c>
      <c r="Q898">
        <v>1265.817019444168</v>
      </c>
      <c r="R898">
        <v>1317.7155172413791</v>
      </c>
      <c r="S898" t="s">
        <v>9643</v>
      </c>
      <c r="T898" t="s">
        <v>9644</v>
      </c>
      <c r="U898" t="s">
        <v>2319</v>
      </c>
      <c r="V898" t="s">
        <v>94</v>
      </c>
      <c r="W898">
        <v>265472419.80000001</v>
      </c>
      <c r="X898">
        <v>266439117.80000001</v>
      </c>
      <c r="Y898">
        <v>267499117.80000001</v>
      </c>
      <c r="Z898">
        <v>268599117.80000001</v>
      </c>
      <c r="AA898">
        <v>270179117.80000001</v>
      </c>
      <c r="AB898">
        <v>9103346703.6580143</v>
      </c>
      <c r="AC898">
        <v>8229645.0138000008</v>
      </c>
      <c r="AD898">
        <v>9246133811.4761925</v>
      </c>
      <c r="AE898">
        <v>8259612.6518000001</v>
      </c>
      <c r="AF898">
        <v>9719215755.4849567</v>
      </c>
      <c r="AG898">
        <v>8292472.6518000001</v>
      </c>
      <c r="AH898">
        <v>10539917376.2868</v>
      </c>
      <c r="AI898">
        <v>8326572.6518000001</v>
      </c>
      <c r="AJ898">
        <v>11036595694.749041</v>
      </c>
      <c r="AK898">
        <v>8375552.6518000001</v>
      </c>
    </row>
    <row r="899" spans="1:37" x14ac:dyDescent="0.35">
      <c r="A899" t="s">
        <v>9645</v>
      </c>
      <c r="B899">
        <v>3.46</v>
      </c>
      <c r="C899" t="s">
        <v>2860</v>
      </c>
      <c r="D899" t="s">
        <v>9646</v>
      </c>
      <c r="E899" t="s">
        <v>9647</v>
      </c>
      <c r="F899">
        <v>0.16200000000000001</v>
      </c>
      <c r="G899" t="s">
        <v>9648</v>
      </c>
      <c r="H899">
        <v>0.2</v>
      </c>
      <c r="I899">
        <v>0</v>
      </c>
      <c r="J899" t="s">
        <v>9649</v>
      </c>
      <c r="K899" t="s">
        <v>9650</v>
      </c>
      <c r="L899" t="s">
        <v>9651</v>
      </c>
      <c r="M899" t="s">
        <v>9652</v>
      </c>
      <c r="N899">
        <v>128.01715297067901</v>
      </c>
      <c r="O899">
        <v>129.55335880632711</v>
      </c>
      <c r="P899">
        <v>135.6423666702245</v>
      </c>
      <c r="Q899">
        <v>146.49375600384249</v>
      </c>
      <c r="R899">
        <v>152.5</v>
      </c>
      <c r="S899" t="s">
        <v>9653</v>
      </c>
      <c r="T899" t="s">
        <v>9654</v>
      </c>
      <c r="U899" t="s">
        <v>9655</v>
      </c>
      <c r="V899" t="s">
        <v>49</v>
      </c>
      <c r="W899">
        <v>338996155</v>
      </c>
      <c r="X899">
        <v>339500751</v>
      </c>
      <c r="Y899">
        <v>340560751</v>
      </c>
      <c r="Z899">
        <v>341660751</v>
      </c>
      <c r="AA899">
        <v>343660751</v>
      </c>
      <c r="AB899">
        <v>7030366266.2393341</v>
      </c>
      <c r="AC899">
        <v>54917377.109999999</v>
      </c>
      <c r="AD899">
        <v>7125320942.7099257</v>
      </c>
      <c r="AE899">
        <v>54999121.662</v>
      </c>
      <c r="AF899">
        <v>7483503534.2219019</v>
      </c>
      <c r="AG899">
        <v>55170841.662</v>
      </c>
      <c r="AH899">
        <v>8108289004.2795391</v>
      </c>
      <c r="AI899">
        <v>55349041.662</v>
      </c>
      <c r="AJ899">
        <v>8490138853.4550009</v>
      </c>
      <c r="AK899">
        <v>55673041.662</v>
      </c>
    </row>
    <row r="900" spans="1:37" x14ac:dyDescent="0.35">
      <c r="A900" t="s">
        <v>9656</v>
      </c>
      <c r="B900">
        <v>1.37</v>
      </c>
      <c r="C900" t="s">
        <v>863</v>
      </c>
      <c r="D900" t="s">
        <v>9657</v>
      </c>
      <c r="E900" t="s">
        <v>9658</v>
      </c>
      <c r="F900">
        <v>0.1</v>
      </c>
      <c r="G900" t="s">
        <v>9659</v>
      </c>
      <c r="H900">
        <v>0.15</v>
      </c>
      <c r="I900">
        <v>0</v>
      </c>
      <c r="J900" t="s">
        <v>9660</v>
      </c>
      <c r="K900" t="s">
        <v>9661</v>
      </c>
      <c r="L900" t="s">
        <v>9662</v>
      </c>
      <c r="M900" t="s">
        <v>9663</v>
      </c>
      <c r="N900">
        <v>278.56709214154648</v>
      </c>
      <c r="O900">
        <v>281.90989724724511</v>
      </c>
      <c r="P900">
        <v>295.1596624178656</v>
      </c>
      <c r="Q900">
        <v>318.77243541129491</v>
      </c>
      <c r="R900">
        <v>331.84210526315792</v>
      </c>
      <c r="S900" t="s">
        <v>9664</v>
      </c>
      <c r="T900" t="s">
        <v>9665</v>
      </c>
      <c r="U900" t="s">
        <v>9666</v>
      </c>
      <c r="V900" t="s">
        <v>49</v>
      </c>
      <c r="W900">
        <v>338996155</v>
      </c>
      <c r="X900">
        <v>339500751</v>
      </c>
      <c r="Y900">
        <v>340560751</v>
      </c>
      <c r="Z900">
        <v>341660751</v>
      </c>
      <c r="AA900">
        <v>343660751</v>
      </c>
      <c r="AB900">
        <v>9443317314.5515003</v>
      </c>
      <c r="AC900">
        <v>33899615.5</v>
      </c>
      <c r="AD900">
        <v>9570862182.9772549</v>
      </c>
      <c r="AE900">
        <v>33950075.100000001</v>
      </c>
      <c r="AF900">
        <v>10051979629.79348</v>
      </c>
      <c r="AG900">
        <v>34056075.100000001</v>
      </c>
      <c r="AH900">
        <v>10891202968.072201</v>
      </c>
      <c r="AI900">
        <v>34166075.100000001</v>
      </c>
      <c r="AJ900">
        <v>11404110710.81579</v>
      </c>
      <c r="AK900">
        <v>34366075.100000001</v>
      </c>
    </row>
    <row r="901" spans="1:37" x14ac:dyDescent="0.35">
      <c r="A901" t="s">
        <v>9667</v>
      </c>
      <c r="B901">
        <v>3.66</v>
      </c>
      <c r="C901" t="s">
        <v>5748</v>
      </c>
      <c r="D901" t="s">
        <v>9668</v>
      </c>
      <c r="E901" t="s">
        <v>9669</v>
      </c>
      <c r="F901">
        <v>0.15</v>
      </c>
      <c r="G901" t="s">
        <v>9670</v>
      </c>
      <c r="H901">
        <v>0.25</v>
      </c>
      <c r="I901">
        <v>0</v>
      </c>
      <c r="J901" t="s">
        <v>9671</v>
      </c>
      <c r="K901" t="s">
        <v>9672</v>
      </c>
      <c r="L901" t="s">
        <v>9673</v>
      </c>
      <c r="M901" t="s">
        <v>9674</v>
      </c>
      <c r="N901">
        <v>120.0423139331613</v>
      </c>
      <c r="O901">
        <v>121.4828217003592</v>
      </c>
      <c r="P901">
        <v>127.1925143202761</v>
      </c>
      <c r="Q901">
        <v>137.36791546589819</v>
      </c>
      <c r="R901">
        <v>143</v>
      </c>
      <c r="S901" t="s">
        <v>9675</v>
      </c>
      <c r="T901" t="s">
        <v>5923</v>
      </c>
      <c r="U901" t="s">
        <v>9676</v>
      </c>
      <c r="V901" t="s">
        <v>49</v>
      </c>
      <c r="W901">
        <v>338996155</v>
      </c>
      <c r="X901">
        <v>339500751</v>
      </c>
      <c r="Y901">
        <v>340560751</v>
      </c>
      <c r="Z901">
        <v>341660751</v>
      </c>
      <c r="AA901">
        <v>343660751</v>
      </c>
      <c r="AB901">
        <v>6104082429.0966892</v>
      </c>
      <c r="AC901">
        <v>50849423.25</v>
      </c>
      <c r="AD901">
        <v>6186526380.1306562</v>
      </c>
      <c r="AE901">
        <v>50925112.649999999</v>
      </c>
      <c r="AF901">
        <v>6497516729.7737217</v>
      </c>
      <c r="AG901">
        <v>51084112.649999999</v>
      </c>
      <c r="AH901">
        <v>7039983774.2074928</v>
      </c>
      <c r="AI901">
        <v>51249112.649999999</v>
      </c>
      <c r="AJ901">
        <v>7371523108.9499998</v>
      </c>
      <c r="AK901">
        <v>51549112.649999999</v>
      </c>
    </row>
    <row r="902" spans="1:37" x14ac:dyDescent="0.35">
      <c r="A902" t="s">
        <v>9677</v>
      </c>
      <c r="B902">
        <v>7.02</v>
      </c>
      <c r="C902" t="s">
        <v>8393</v>
      </c>
      <c r="D902" t="s">
        <v>9678</v>
      </c>
      <c r="E902" t="s">
        <v>9679</v>
      </c>
      <c r="F902">
        <v>0.34</v>
      </c>
      <c r="G902" t="s">
        <v>9680</v>
      </c>
      <c r="H902">
        <v>0.1</v>
      </c>
      <c r="I902">
        <v>0.02</v>
      </c>
      <c r="J902" t="s">
        <v>9681</v>
      </c>
      <c r="K902" t="s">
        <v>9682</v>
      </c>
      <c r="L902" t="s">
        <v>9683</v>
      </c>
      <c r="M902" t="s">
        <v>9684</v>
      </c>
      <c r="N902">
        <v>18.887776667805099</v>
      </c>
      <c r="O902">
        <v>19.11442998781876</v>
      </c>
      <c r="P902">
        <v>20.01280819724624</v>
      </c>
      <c r="Q902">
        <v>21.61383285302594</v>
      </c>
      <c r="R902">
        <v>22.5</v>
      </c>
      <c r="S902" t="s">
        <v>9685</v>
      </c>
      <c r="T902" t="s">
        <v>9686</v>
      </c>
      <c r="U902" t="s">
        <v>9687</v>
      </c>
      <c r="V902" t="s">
        <v>49</v>
      </c>
      <c r="W902">
        <v>338996155</v>
      </c>
      <c r="X902">
        <v>339500751</v>
      </c>
      <c r="Y902">
        <v>340560751</v>
      </c>
      <c r="Z902">
        <v>341660751</v>
      </c>
      <c r="AA902">
        <v>343660751</v>
      </c>
      <c r="AB902">
        <v>2176980446.740777</v>
      </c>
      <c r="AC902">
        <v>115258692.7</v>
      </c>
      <c r="AD902">
        <v>2206383534.172472</v>
      </c>
      <c r="AE902">
        <v>115430255.34</v>
      </c>
      <c r="AF902">
        <v>2317296176.3528662</v>
      </c>
      <c r="AG902">
        <v>115790655.34</v>
      </c>
      <c r="AH902">
        <v>2510763443.9481268</v>
      </c>
      <c r="AI902">
        <v>116164655.34</v>
      </c>
      <c r="AJ902">
        <v>2629004745.1500001</v>
      </c>
      <c r="AK902">
        <v>116844655.34</v>
      </c>
    </row>
    <row r="903" spans="1:37" x14ac:dyDescent="0.35">
      <c r="A903" t="s">
        <v>9688</v>
      </c>
      <c r="B903">
        <v>650.67999999999995</v>
      </c>
      <c r="C903" t="s">
        <v>1825</v>
      </c>
      <c r="D903" t="s">
        <v>9689</v>
      </c>
      <c r="E903" t="s">
        <v>9690</v>
      </c>
      <c r="F903">
        <v>0.1</v>
      </c>
      <c r="G903" t="s">
        <v>9691</v>
      </c>
      <c r="H903">
        <v>15.3</v>
      </c>
      <c r="J903" t="s">
        <v>9692</v>
      </c>
      <c r="K903" t="s">
        <v>9693</v>
      </c>
      <c r="L903" t="s">
        <v>9694</v>
      </c>
      <c r="M903" t="s">
        <v>9695</v>
      </c>
      <c r="N903">
        <v>4310.6103639635176</v>
      </c>
      <c r="O903">
        <v>4362.3376883310812</v>
      </c>
      <c r="P903">
        <v>4567.3675596826424</v>
      </c>
      <c r="Q903">
        <v>4932.7569644572532</v>
      </c>
      <c r="R903">
        <v>5135</v>
      </c>
      <c r="S903" t="s">
        <v>9696</v>
      </c>
      <c r="T903" t="s">
        <v>9697</v>
      </c>
      <c r="U903" t="s">
        <v>9698</v>
      </c>
      <c r="V903" t="s">
        <v>49</v>
      </c>
      <c r="W903">
        <v>338996155</v>
      </c>
      <c r="X903">
        <v>339500751</v>
      </c>
      <c r="Y903">
        <v>340560751</v>
      </c>
      <c r="Z903">
        <v>341660751</v>
      </c>
      <c r="AA903">
        <v>343660751</v>
      </c>
      <c r="AB903">
        <v>146128033908.67831</v>
      </c>
      <c r="AC903">
        <v>33899615.5</v>
      </c>
      <c r="AD903">
        <v>148101692130.4006</v>
      </c>
      <c r="AE903">
        <v>33950075.100000001</v>
      </c>
      <c r="AF903">
        <v>155546612621.8558</v>
      </c>
      <c r="AG903">
        <v>34056075.100000001</v>
      </c>
      <c r="AH903">
        <v>168532944897.69449</v>
      </c>
      <c r="AI903">
        <v>34166075.100000001</v>
      </c>
      <c r="AJ903">
        <v>176469795638.5</v>
      </c>
      <c r="AK903">
        <v>34366075.100000001</v>
      </c>
    </row>
    <row r="904" spans="1:37" x14ac:dyDescent="0.35">
      <c r="A904" t="s">
        <v>9699</v>
      </c>
      <c r="B904">
        <v>628.85</v>
      </c>
      <c r="C904" t="s">
        <v>1825</v>
      </c>
      <c r="D904" t="s">
        <v>9700</v>
      </c>
      <c r="E904" t="s">
        <v>3967</v>
      </c>
      <c r="F904">
        <v>0.1</v>
      </c>
      <c r="G904" t="s">
        <v>9701</v>
      </c>
      <c r="H904">
        <v>0.3</v>
      </c>
      <c r="I904">
        <v>0</v>
      </c>
      <c r="J904" t="s">
        <v>9702</v>
      </c>
      <c r="K904" t="s">
        <v>9703</v>
      </c>
      <c r="L904" t="s">
        <v>9704</v>
      </c>
      <c r="M904" t="s">
        <v>9705</v>
      </c>
      <c r="N904">
        <v>4310.6103639635176</v>
      </c>
      <c r="O904">
        <v>4362.3376883310812</v>
      </c>
      <c r="P904">
        <v>4567.3675596826424</v>
      </c>
      <c r="Q904">
        <v>4932.7569644572532</v>
      </c>
      <c r="R904">
        <v>5135</v>
      </c>
      <c r="S904" t="s">
        <v>9706</v>
      </c>
      <c r="T904" t="s">
        <v>9707</v>
      </c>
      <c r="U904" t="s">
        <v>9708</v>
      </c>
      <c r="V904" t="s">
        <v>49</v>
      </c>
      <c r="W904">
        <v>338996155</v>
      </c>
      <c r="X904">
        <v>339500751</v>
      </c>
      <c r="Y904">
        <v>340560751</v>
      </c>
      <c r="Z904">
        <v>341660751</v>
      </c>
      <c r="AA904">
        <v>343660751</v>
      </c>
      <c r="AB904">
        <v>146128033908.67831</v>
      </c>
      <c r="AC904">
        <v>33899615.5</v>
      </c>
      <c r="AD904">
        <v>148101692130.4006</v>
      </c>
      <c r="AE904">
        <v>33950075.100000001</v>
      </c>
      <c r="AF904">
        <v>155546612621.8558</v>
      </c>
      <c r="AG904">
        <v>34056075.100000001</v>
      </c>
      <c r="AH904">
        <v>168532944897.69449</v>
      </c>
      <c r="AI904">
        <v>34166075.100000001</v>
      </c>
      <c r="AJ904">
        <v>176469795638.5</v>
      </c>
      <c r="AK904">
        <v>34366075.100000001</v>
      </c>
    </row>
    <row r="905" spans="1:37" x14ac:dyDescent="0.35">
      <c r="A905" t="s">
        <v>9709</v>
      </c>
      <c r="B905">
        <v>648.29999999999995</v>
      </c>
      <c r="C905" t="s">
        <v>1825</v>
      </c>
      <c r="D905" t="s">
        <v>9710</v>
      </c>
      <c r="E905" t="s">
        <v>9711</v>
      </c>
      <c r="F905">
        <v>0.1</v>
      </c>
      <c r="G905" t="s">
        <v>9712</v>
      </c>
      <c r="H905">
        <v>0.4</v>
      </c>
      <c r="I905">
        <v>0.01</v>
      </c>
      <c r="J905" t="s">
        <v>9713</v>
      </c>
      <c r="K905" t="s">
        <v>9714</v>
      </c>
      <c r="L905" t="s">
        <v>9715</v>
      </c>
      <c r="M905" t="s">
        <v>9716</v>
      </c>
      <c r="N905">
        <v>4310.6103639635176</v>
      </c>
      <c r="O905">
        <v>4362.3376883310812</v>
      </c>
      <c r="P905">
        <v>4567.3675596826424</v>
      </c>
      <c r="Q905">
        <v>4932.7569644572532</v>
      </c>
      <c r="R905">
        <v>5135</v>
      </c>
      <c r="S905" t="s">
        <v>9717</v>
      </c>
      <c r="T905" t="s">
        <v>9718</v>
      </c>
      <c r="U905" t="s">
        <v>9719</v>
      </c>
      <c r="V905" t="s">
        <v>49</v>
      </c>
      <c r="W905">
        <v>338996155</v>
      </c>
      <c r="X905">
        <v>339500751</v>
      </c>
      <c r="Y905">
        <v>340560751</v>
      </c>
      <c r="Z905">
        <v>341660751</v>
      </c>
      <c r="AA905">
        <v>343660751</v>
      </c>
      <c r="AB905">
        <v>146128033908.67831</v>
      </c>
      <c r="AC905">
        <v>33899615.5</v>
      </c>
      <c r="AD905">
        <v>148101692130.4006</v>
      </c>
      <c r="AE905">
        <v>33950075.100000001</v>
      </c>
      <c r="AF905">
        <v>155546612621.8558</v>
      </c>
      <c r="AG905">
        <v>34056075.100000001</v>
      </c>
      <c r="AH905">
        <v>168532944897.69449</v>
      </c>
      <c r="AI905">
        <v>34166075.100000001</v>
      </c>
      <c r="AJ905">
        <v>176469795638.5</v>
      </c>
      <c r="AK905">
        <v>34366075.100000001</v>
      </c>
    </row>
    <row r="906" spans="1:37" x14ac:dyDescent="0.35">
      <c r="A906" t="s">
        <v>9720</v>
      </c>
      <c r="B906">
        <v>914.4</v>
      </c>
      <c r="C906" t="s">
        <v>1825</v>
      </c>
      <c r="D906" t="s">
        <v>9721</v>
      </c>
      <c r="E906" t="s">
        <v>9722</v>
      </c>
      <c r="F906">
        <v>0.1</v>
      </c>
      <c r="G906" t="s">
        <v>9723</v>
      </c>
      <c r="H906">
        <v>10.3</v>
      </c>
      <c r="J906" t="s">
        <v>9724</v>
      </c>
      <c r="K906" t="s">
        <v>9725</v>
      </c>
      <c r="L906" t="s">
        <v>9726</v>
      </c>
      <c r="M906" t="s">
        <v>9727</v>
      </c>
      <c r="N906">
        <v>4310.6103639635176</v>
      </c>
      <c r="O906">
        <v>4362.3376883310812</v>
      </c>
      <c r="P906">
        <v>4567.3675596826424</v>
      </c>
      <c r="Q906">
        <v>4932.7569644572532</v>
      </c>
      <c r="R906">
        <v>5135</v>
      </c>
      <c r="S906" t="s">
        <v>9728</v>
      </c>
      <c r="T906" t="s">
        <v>9729</v>
      </c>
      <c r="U906" t="s">
        <v>9730</v>
      </c>
      <c r="V906" t="s">
        <v>49</v>
      </c>
      <c r="W906">
        <v>338996155</v>
      </c>
      <c r="X906">
        <v>339500751</v>
      </c>
      <c r="Y906">
        <v>340560751</v>
      </c>
      <c r="Z906">
        <v>341660751</v>
      </c>
      <c r="AA906">
        <v>343660751</v>
      </c>
      <c r="AB906">
        <v>146128033908.67831</v>
      </c>
      <c r="AC906">
        <v>33899615.5</v>
      </c>
      <c r="AD906">
        <v>148101692130.4006</v>
      </c>
      <c r="AE906">
        <v>33950075.100000001</v>
      </c>
      <c r="AF906">
        <v>155546612621.8558</v>
      </c>
      <c r="AG906">
        <v>34056075.100000001</v>
      </c>
      <c r="AH906">
        <v>168532944897.69449</v>
      </c>
      <c r="AI906">
        <v>34166075.100000001</v>
      </c>
      <c r="AJ906">
        <v>176469795638.5</v>
      </c>
      <c r="AK906">
        <v>34366075.100000001</v>
      </c>
    </row>
    <row r="907" spans="1:37" x14ac:dyDescent="0.35">
      <c r="A907" t="s">
        <v>9731</v>
      </c>
      <c r="B907">
        <v>914.4</v>
      </c>
      <c r="C907" t="s">
        <v>1825</v>
      </c>
      <c r="D907" t="s">
        <v>9732</v>
      </c>
      <c r="E907" t="s">
        <v>9733</v>
      </c>
      <c r="F907">
        <v>0.1</v>
      </c>
      <c r="G907" t="s">
        <v>9734</v>
      </c>
      <c r="H907">
        <v>0.3</v>
      </c>
      <c r="I907">
        <v>0.01</v>
      </c>
      <c r="J907" t="s">
        <v>9735</v>
      </c>
      <c r="K907" t="s">
        <v>9736</v>
      </c>
      <c r="L907" t="s">
        <v>9737</v>
      </c>
      <c r="M907" t="s">
        <v>9738</v>
      </c>
      <c r="N907">
        <v>4310.6103639635176</v>
      </c>
      <c r="O907">
        <v>4362.3376883310812</v>
      </c>
      <c r="P907">
        <v>4567.3675596826424</v>
      </c>
      <c r="Q907">
        <v>4932.7569644572532</v>
      </c>
      <c r="R907">
        <v>5135</v>
      </c>
      <c r="S907" t="s">
        <v>9739</v>
      </c>
      <c r="T907" t="s">
        <v>9740</v>
      </c>
      <c r="U907" t="s">
        <v>9741</v>
      </c>
      <c r="V907" t="s">
        <v>49</v>
      </c>
      <c r="W907">
        <v>338996155</v>
      </c>
      <c r="X907">
        <v>339500751</v>
      </c>
      <c r="Y907">
        <v>340560751</v>
      </c>
      <c r="Z907">
        <v>341660751</v>
      </c>
      <c r="AA907">
        <v>343660751</v>
      </c>
      <c r="AB907">
        <v>146128033908.67831</v>
      </c>
      <c r="AC907">
        <v>33899615.5</v>
      </c>
      <c r="AD907">
        <v>148101692130.4006</v>
      </c>
      <c r="AE907">
        <v>33950075.100000001</v>
      </c>
      <c r="AF907">
        <v>155546612621.8558</v>
      </c>
      <c r="AG907">
        <v>34056075.100000001</v>
      </c>
      <c r="AH907">
        <v>168532944897.69449</v>
      </c>
      <c r="AI907">
        <v>34166075.100000001</v>
      </c>
      <c r="AJ907">
        <v>176469795638.5</v>
      </c>
      <c r="AK907">
        <v>34366075.100000001</v>
      </c>
    </row>
    <row r="908" spans="1:37" x14ac:dyDescent="0.35">
      <c r="A908" t="s">
        <v>9742</v>
      </c>
      <c r="B908">
        <v>60.56</v>
      </c>
      <c r="C908" t="s">
        <v>1368</v>
      </c>
      <c r="D908" t="s">
        <v>9743</v>
      </c>
      <c r="E908" t="s">
        <v>9744</v>
      </c>
      <c r="F908">
        <v>0.2</v>
      </c>
      <c r="G908" t="s">
        <v>9745</v>
      </c>
      <c r="H908">
        <v>0.1</v>
      </c>
      <c r="I908">
        <v>0.01</v>
      </c>
      <c r="J908" t="s">
        <v>9746</v>
      </c>
      <c r="K908" t="s">
        <v>9747</v>
      </c>
      <c r="L908" t="s">
        <v>9748</v>
      </c>
      <c r="M908" t="s">
        <v>9749</v>
      </c>
      <c r="N908">
        <v>260.23158964531473</v>
      </c>
      <c r="O908">
        <v>263.35436872105839</v>
      </c>
      <c r="P908">
        <v>275.73202405094821</v>
      </c>
      <c r="Q908">
        <v>297.79058597502399</v>
      </c>
      <c r="R908">
        <v>310</v>
      </c>
      <c r="S908" t="s">
        <v>9750</v>
      </c>
      <c r="T908" t="s">
        <v>9751</v>
      </c>
      <c r="U908" t="s">
        <v>9752</v>
      </c>
      <c r="V908" t="s">
        <v>1017</v>
      </c>
      <c r="W908">
        <v>331357816</v>
      </c>
      <c r="X908">
        <v>331968553.60000002</v>
      </c>
      <c r="Y908">
        <v>333028553.60000002</v>
      </c>
      <c r="Z908">
        <v>334128553.60000002</v>
      </c>
      <c r="AA908">
        <v>336128553.60000002</v>
      </c>
      <c r="AB908">
        <v>17245954239.815941</v>
      </c>
      <c r="AC908">
        <v>66271563.200000003</v>
      </c>
      <c r="AD908">
        <v>17485073773.714169</v>
      </c>
      <c r="AE908">
        <v>66393710.720000014</v>
      </c>
      <c r="AF908">
        <v>18365327430.17754</v>
      </c>
      <c r="AG908">
        <v>66605710.720000014</v>
      </c>
      <c r="AH908">
        <v>19900067553.506248</v>
      </c>
      <c r="AI908">
        <v>66825710.720000014</v>
      </c>
      <c r="AJ908">
        <v>20839970323.200001</v>
      </c>
      <c r="AK908">
        <v>67225710.720000014</v>
      </c>
    </row>
    <row r="909" spans="1:37" x14ac:dyDescent="0.35">
      <c r="A909" t="s">
        <v>9753</v>
      </c>
      <c r="B909">
        <v>1023.48</v>
      </c>
      <c r="C909" t="s">
        <v>1172</v>
      </c>
      <c r="D909" t="s">
        <v>9754</v>
      </c>
      <c r="E909" t="s">
        <v>9755</v>
      </c>
      <c r="F909">
        <v>0.02</v>
      </c>
      <c r="G909" t="s">
        <v>9756</v>
      </c>
      <c r="H909">
        <v>30.4</v>
      </c>
      <c r="I909">
        <v>0.1</v>
      </c>
      <c r="J909" t="s">
        <v>9757</v>
      </c>
      <c r="K909" t="s">
        <v>9758</v>
      </c>
      <c r="L909" t="s">
        <v>9759</v>
      </c>
      <c r="M909" t="s">
        <v>9760</v>
      </c>
      <c r="N909">
        <v>5009.5815501930119</v>
      </c>
      <c r="O909">
        <v>5069.696528795328</v>
      </c>
      <c r="P909">
        <v>5307.9722656487083</v>
      </c>
      <c r="Q909">
        <v>5732.6100469006051</v>
      </c>
      <c r="R909">
        <v>5967.6470588235297</v>
      </c>
      <c r="S909" t="s">
        <v>9761</v>
      </c>
      <c r="T909" t="s">
        <v>9762</v>
      </c>
      <c r="U909" t="s">
        <v>9763</v>
      </c>
      <c r="V909" t="s">
        <v>94</v>
      </c>
      <c r="W909">
        <v>265472419.80000001</v>
      </c>
      <c r="X909">
        <v>266439117.80000001</v>
      </c>
      <c r="Y909">
        <v>267499117.80000001</v>
      </c>
      <c r="Z909">
        <v>268599117.80000001</v>
      </c>
      <c r="AA909">
        <v>270179117.80000001</v>
      </c>
      <c r="AB909">
        <v>26598114726.303478</v>
      </c>
      <c r="AC909">
        <v>5309448.3960000006</v>
      </c>
      <c r="AD909">
        <v>27015309412.918991</v>
      </c>
      <c r="AE909">
        <v>5328782.3560000006</v>
      </c>
      <c r="AF909">
        <v>28397557967.357941</v>
      </c>
      <c r="AG909">
        <v>5349982.3560000006</v>
      </c>
      <c r="AH909">
        <v>30795480025.778389</v>
      </c>
      <c r="AI909">
        <v>5371982.3560000006</v>
      </c>
      <c r="AJ909">
        <v>32246672353.894119</v>
      </c>
      <c r="AK909">
        <v>5403582.3560000006</v>
      </c>
    </row>
    <row r="910" spans="1:37" x14ac:dyDescent="0.35">
      <c r="A910" t="s">
        <v>9764</v>
      </c>
      <c r="B910">
        <v>269.99</v>
      </c>
      <c r="C910" t="s">
        <v>636</v>
      </c>
      <c r="D910" t="s">
        <v>9765</v>
      </c>
      <c r="E910" t="s">
        <v>9766</v>
      </c>
      <c r="F910">
        <v>1E-3</v>
      </c>
      <c r="G910" t="s">
        <v>9767</v>
      </c>
      <c r="H910">
        <v>0.2</v>
      </c>
      <c r="I910">
        <v>5.0999999999999996</v>
      </c>
      <c r="J910" t="s">
        <v>9768</v>
      </c>
      <c r="K910" t="s">
        <v>9769</v>
      </c>
      <c r="L910" t="s">
        <v>9770</v>
      </c>
      <c r="M910" t="s">
        <v>9771</v>
      </c>
      <c r="N910">
        <v>4197.2837039566884</v>
      </c>
      <c r="O910">
        <v>4247.6511084041676</v>
      </c>
      <c r="P910">
        <v>4447.2907104991637</v>
      </c>
      <c r="Q910">
        <v>4803.0739673390972</v>
      </c>
      <c r="R910">
        <v>5000</v>
      </c>
      <c r="S910" t="s">
        <v>9772</v>
      </c>
      <c r="T910" t="s">
        <v>9773</v>
      </c>
      <c r="U910" t="s">
        <v>9774</v>
      </c>
      <c r="V910" t="s">
        <v>647</v>
      </c>
      <c r="W910">
        <v>7638338</v>
      </c>
      <c r="X910">
        <v>7532198.4000000004</v>
      </c>
      <c r="Y910">
        <v>7532198.4000000004</v>
      </c>
      <c r="Z910">
        <v>7532198.4000000004</v>
      </c>
      <c r="AA910">
        <v>7532198.4000000004</v>
      </c>
      <c r="AB910">
        <v>32060271.61271311</v>
      </c>
      <c r="AC910">
        <v>7638.3379999999997</v>
      </c>
      <c r="AD910">
        <v>31994150.8824801</v>
      </c>
      <c r="AE910">
        <v>7532.1984000000002</v>
      </c>
      <c r="AF910">
        <v>33497875.973956671</v>
      </c>
      <c r="AG910">
        <v>7532.1984000000002</v>
      </c>
      <c r="AH910">
        <v>36177706.0518732</v>
      </c>
      <c r="AI910">
        <v>7532.1984000000002</v>
      </c>
      <c r="AJ910">
        <v>37660992</v>
      </c>
      <c r="AK910">
        <v>7532.1984000000002</v>
      </c>
    </row>
    <row r="911" spans="1:37" x14ac:dyDescent="0.35">
      <c r="A911" t="s">
        <v>9775</v>
      </c>
      <c r="B911">
        <v>178.27</v>
      </c>
      <c r="C911" t="s">
        <v>1724</v>
      </c>
      <c r="D911" t="s">
        <v>9776</v>
      </c>
      <c r="E911" t="s">
        <v>9777</v>
      </c>
      <c r="F911">
        <v>4.0000000000000003E-5</v>
      </c>
      <c r="G911" t="s">
        <v>9778</v>
      </c>
      <c r="H911">
        <v>20.25</v>
      </c>
      <c r="I911">
        <v>55.1</v>
      </c>
      <c r="J911" t="s">
        <v>9779</v>
      </c>
      <c r="K911" t="s">
        <v>9780</v>
      </c>
      <c r="L911" t="s">
        <v>9781</v>
      </c>
      <c r="M911" t="s">
        <v>9782</v>
      </c>
      <c r="N911">
        <v>3612.8926651750271</v>
      </c>
      <c r="O911">
        <v>3656.2473771571272</v>
      </c>
      <c r="P911">
        <v>3828.0910038835118</v>
      </c>
      <c r="Q911">
        <v>4134.338284194193</v>
      </c>
      <c r="R911">
        <v>4303.8461538461543</v>
      </c>
      <c r="S911" t="s">
        <v>9783</v>
      </c>
      <c r="T911" t="s">
        <v>9784</v>
      </c>
      <c r="U911" t="s">
        <v>9785</v>
      </c>
      <c r="V911" t="s">
        <v>49</v>
      </c>
      <c r="W911">
        <v>338996155</v>
      </c>
      <c r="X911">
        <v>339500751</v>
      </c>
      <c r="Y911">
        <v>340560751</v>
      </c>
      <c r="Z911">
        <v>341660751</v>
      </c>
      <c r="AA911">
        <v>343660751</v>
      </c>
      <c r="AB911">
        <v>48990268.876881473</v>
      </c>
      <c r="AC911">
        <v>13559.8462</v>
      </c>
      <c r="AD911">
        <v>49651949.215465002</v>
      </c>
      <c r="AE911">
        <v>13580.03004</v>
      </c>
      <c r="AF911">
        <v>52147901.887156516</v>
      </c>
      <c r="AG911">
        <v>13622.430039999999</v>
      </c>
      <c r="AH911">
        <v>56501644.922633581</v>
      </c>
      <c r="AI911">
        <v>13666.430039999999</v>
      </c>
      <c r="AJ911">
        <v>59162520.056769237</v>
      </c>
      <c r="AK911">
        <v>13746.430039999999</v>
      </c>
    </row>
    <row r="912" spans="1:37" x14ac:dyDescent="0.35">
      <c r="A912" t="s">
        <v>9786</v>
      </c>
      <c r="B912">
        <v>1591.96</v>
      </c>
      <c r="C912" t="s">
        <v>1092</v>
      </c>
      <c r="D912" t="s">
        <v>9787</v>
      </c>
      <c r="E912" t="s">
        <v>9788</v>
      </c>
      <c r="F912">
        <v>2.9999999999999997E-4</v>
      </c>
      <c r="G912" t="s">
        <v>9789</v>
      </c>
      <c r="H912">
        <v>0.3</v>
      </c>
      <c r="I912">
        <v>0.7</v>
      </c>
      <c r="J912" t="s">
        <v>9790</v>
      </c>
      <c r="K912" t="s">
        <v>9791</v>
      </c>
      <c r="L912" t="s">
        <v>9792</v>
      </c>
      <c r="M912" t="s">
        <v>9793</v>
      </c>
      <c r="N912">
        <v>213551.79873773921</v>
      </c>
      <c r="O912">
        <v>216114.42032259211</v>
      </c>
      <c r="P912">
        <v>226271.79807775389</v>
      </c>
      <c r="Q912">
        <v>244373.5419239742</v>
      </c>
      <c r="R912">
        <v>254392.8571428571</v>
      </c>
      <c r="S912" t="s">
        <v>9794</v>
      </c>
      <c r="T912" t="s">
        <v>9795</v>
      </c>
      <c r="U912" t="s">
        <v>9796</v>
      </c>
      <c r="V912" t="s">
        <v>49</v>
      </c>
      <c r="W912">
        <v>338996155</v>
      </c>
      <c r="X912">
        <v>339500751</v>
      </c>
      <c r="Y912">
        <v>340560751</v>
      </c>
      <c r="Z912">
        <v>341660751</v>
      </c>
      <c r="AA912">
        <v>343660751</v>
      </c>
      <c r="AB912">
        <v>21717971599.628231</v>
      </c>
      <c r="AC912">
        <v>101698.8465</v>
      </c>
      <c r="AD912">
        <v>22011302400.434898</v>
      </c>
      <c r="AE912">
        <v>101850.22530000001</v>
      </c>
      <c r="AF912">
        <v>23117788045.04406</v>
      </c>
      <c r="AG912">
        <v>102168.22530000001</v>
      </c>
      <c r="AH912">
        <v>25047854357.482498</v>
      </c>
      <c r="AI912">
        <v>102498.22530000001</v>
      </c>
      <c r="AJ912">
        <v>26227452100.424992</v>
      </c>
      <c r="AK912">
        <v>103098.22530000001</v>
      </c>
    </row>
    <row r="913" spans="1:37" x14ac:dyDescent="0.35">
      <c r="A913" t="s">
        <v>9797</v>
      </c>
      <c r="B913">
        <v>7959.8</v>
      </c>
      <c r="C913" t="s">
        <v>1092</v>
      </c>
      <c r="D913" t="s">
        <v>9798</v>
      </c>
      <c r="E913" t="s">
        <v>9799</v>
      </c>
      <c r="F913">
        <v>2.9999999999999997E-4</v>
      </c>
      <c r="G913" t="s">
        <v>9800</v>
      </c>
      <c r="H913">
        <v>0.8</v>
      </c>
      <c r="I913">
        <v>20.25</v>
      </c>
      <c r="J913" t="s">
        <v>9801</v>
      </c>
      <c r="K913" t="s">
        <v>9802</v>
      </c>
      <c r="L913" t="s">
        <v>9803</v>
      </c>
      <c r="M913" t="s">
        <v>9804</v>
      </c>
      <c r="N913">
        <v>213551.79873773921</v>
      </c>
      <c r="O913">
        <v>216114.42032259211</v>
      </c>
      <c r="P913">
        <v>226271.79807775389</v>
      </c>
      <c r="Q913">
        <v>244373.5419239742</v>
      </c>
      <c r="R913">
        <v>254392.8571428571</v>
      </c>
      <c r="S913" t="s">
        <v>9805</v>
      </c>
      <c r="T913" t="s">
        <v>9806</v>
      </c>
      <c r="U913" t="s">
        <v>9796</v>
      </c>
      <c r="V913" t="s">
        <v>49</v>
      </c>
      <c r="W913">
        <v>338996155</v>
      </c>
      <c r="X913">
        <v>339500751</v>
      </c>
      <c r="Y913">
        <v>340560751</v>
      </c>
      <c r="Z913">
        <v>341660751</v>
      </c>
      <c r="AA913">
        <v>343660751</v>
      </c>
      <c r="AB913">
        <v>21717971599.628231</v>
      </c>
      <c r="AC913">
        <v>101698.8465</v>
      </c>
      <c r="AD913">
        <v>22011302400.434898</v>
      </c>
      <c r="AE913">
        <v>101850.22530000001</v>
      </c>
      <c r="AF913">
        <v>23117788045.04406</v>
      </c>
      <c r="AG913">
        <v>102168.22530000001</v>
      </c>
      <c r="AH913">
        <v>25047854357.482498</v>
      </c>
      <c r="AI913">
        <v>102498.22530000001</v>
      </c>
      <c r="AJ913">
        <v>26227452100.424992</v>
      </c>
      <c r="AK913">
        <v>103098.22530000001</v>
      </c>
    </row>
    <row r="914" spans="1:37" x14ac:dyDescent="0.35">
      <c r="A914" t="s">
        <v>9807</v>
      </c>
      <c r="B914">
        <v>1591.96</v>
      </c>
      <c r="C914" t="s">
        <v>1092</v>
      </c>
      <c r="D914" t="s">
        <v>9808</v>
      </c>
      <c r="E914" t="s">
        <v>4551</v>
      </c>
      <c r="F914">
        <v>2.9999999999999997E-4</v>
      </c>
      <c r="G914" t="s">
        <v>9809</v>
      </c>
      <c r="H914">
        <v>0.8</v>
      </c>
      <c r="I914">
        <v>2530.1999999999998</v>
      </c>
      <c r="J914" t="s">
        <v>9810</v>
      </c>
      <c r="K914" t="s">
        <v>9811</v>
      </c>
      <c r="L914" t="s">
        <v>9812</v>
      </c>
      <c r="M914" t="s">
        <v>9813</v>
      </c>
      <c r="N914">
        <v>213551.79873773921</v>
      </c>
      <c r="O914">
        <v>216114.42032259211</v>
      </c>
      <c r="P914">
        <v>226271.79807775389</v>
      </c>
      <c r="Q914">
        <v>244373.5419239742</v>
      </c>
      <c r="R914">
        <v>254392.8571428571</v>
      </c>
      <c r="S914" t="s">
        <v>9814</v>
      </c>
      <c r="T914" t="s">
        <v>9815</v>
      </c>
      <c r="U914" t="s">
        <v>9816</v>
      </c>
      <c r="V914" t="s">
        <v>49</v>
      </c>
      <c r="W914">
        <v>338996155</v>
      </c>
      <c r="X914">
        <v>339500751</v>
      </c>
      <c r="Y914">
        <v>340560751</v>
      </c>
      <c r="Z914">
        <v>341660751</v>
      </c>
      <c r="AA914">
        <v>343660751</v>
      </c>
      <c r="AB914">
        <v>21717971599.628231</v>
      </c>
      <c r="AC914">
        <v>101698.8465</v>
      </c>
      <c r="AD914">
        <v>22011302400.434898</v>
      </c>
      <c r="AE914">
        <v>101850.22530000001</v>
      </c>
      <c r="AF914">
        <v>23117788045.04406</v>
      </c>
      <c r="AG914">
        <v>102168.22530000001</v>
      </c>
      <c r="AH914">
        <v>25047854357.482498</v>
      </c>
      <c r="AI914">
        <v>102498.22530000001</v>
      </c>
      <c r="AJ914">
        <v>26227452100.424992</v>
      </c>
      <c r="AK914">
        <v>103098.22530000001</v>
      </c>
    </row>
    <row r="915" spans="1:37" x14ac:dyDescent="0.35">
      <c r="A915" t="s">
        <v>9817</v>
      </c>
      <c r="B915">
        <v>1591.96</v>
      </c>
      <c r="C915" t="s">
        <v>1092</v>
      </c>
      <c r="D915" t="s">
        <v>9818</v>
      </c>
      <c r="E915" t="s">
        <v>4551</v>
      </c>
      <c r="F915">
        <v>2.9999999999999997E-4</v>
      </c>
      <c r="G915" t="s">
        <v>9819</v>
      </c>
      <c r="H915">
        <v>70.12</v>
      </c>
      <c r="I915">
        <v>2680.3</v>
      </c>
      <c r="J915" t="s">
        <v>9820</v>
      </c>
      <c r="K915" t="s">
        <v>9821</v>
      </c>
      <c r="L915" t="s">
        <v>9822</v>
      </c>
      <c r="M915" t="s">
        <v>9823</v>
      </c>
      <c r="N915">
        <v>213551.79873773921</v>
      </c>
      <c r="O915">
        <v>216114.42032259211</v>
      </c>
      <c r="P915">
        <v>226271.79807775389</v>
      </c>
      <c r="Q915">
        <v>244373.5419239742</v>
      </c>
      <c r="R915">
        <v>254392.8571428571</v>
      </c>
      <c r="S915" t="s">
        <v>9824</v>
      </c>
      <c r="T915" t="s">
        <v>9825</v>
      </c>
      <c r="U915" t="s">
        <v>9826</v>
      </c>
      <c r="V915" t="s">
        <v>49</v>
      </c>
      <c r="W915">
        <v>338996155</v>
      </c>
      <c r="X915">
        <v>339500751</v>
      </c>
      <c r="Y915">
        <v>340560751</v>
      </c>
      <c r="Z915">
        <v>341660751</v>
      </c>
      <c r="AA915">
        <v>343660751</v>
      </c>
      <c r="AB915">
        <v>21717971599.628231</v>
      </c>
      <c r="AC915">
        <v>101698.8465</v>
      </c>
      <c r="AD915">
        <v>22011302400.434898</v>
      </c>
      <c r="AE915">
        <v>101850.22530000001</v>
      </c>
      <c r="AF915">
        <v>23117788045.04406</v>
      </c>
      <c r="AG915">
        <v>102168.22530000001</v>
      </c>
      <c r="AH915">
        <v>25047854357.482498</v>
      </c>
      <c r="AI915">
        <v>102498.22530000001</v>
      </c>
      <c r="AJ915">
        <v>26227452100.424992</v>
      </c>
      <c r="AK915">
        <v>103098.22530000001</v>
      </c>
    </row>
    <row r="916" spans="1:37" x14ac:dyDescent="0.35">
      <c r="A916" t="s">
        <v>9827</v>
      </c>
      <c r="B916">
        <v>3183919.6</v>
      </c>
      <c r="C916" t="s">
        <v>1092</v>
      </c>
      <c r="D916" t="s">
        <v>9828</v>
      </c>
      <c r="E916" t="s">
        <v>9829</v>
      </c>
      <c r="F916">
        <v>2.9999999999999997E-4</v>
      </c>
      <c r="G916" t="s">
        <v>9830</v>
      </c>
      <c r="H916">
        <v>1</v>
      </c>
      <c r="I916">
        <v>25.2</v>
      </c>
      <c r="J916" t="s">
        <v>9831</v>
      </c>
      <c r="K916" t="s">
        <v>9832</v>
      </c>
      <c r="L916" t="s">
        <v>9833</v>
      </c>
      <c r="M916" t="s">
        <v>9834</v>
      </c>
      <c r="N916">
        <v>213551.79873773921</v>
      </c>
      <c r="O916">
        <v>216114.42032259211</v>
      </c>
      <c r="P916">
        <v>226271.79807775389</v>
      </c>
      <c r="Q916">
        <v>244373.5419239742</v>
      </c>
      <c r="R916">
        <v>254392.8571428571</v>
      </c>
      <c r="S916" t="s">
        <v>9835</v>
      </c>
      <c r="T916" t="s">
        <v>9836</v>
      </c>
      <c r="U916" t="s">
        <v>9837</v>
      </c>
      <c r="V916" t="s">
        <v>49</v>
      </c>
      <c r="W916">
        <v>338996155</v>
      </c>
      <c r="X916">
        <v>339500751</v>
      </c>
      <c r="Y916">
        <v>340560751</v>
      </c>
      <c r="Z916">
        <v>341660751</v>
      </c>
      <c r="AA916">
        <v>343660751</v>
      </c>
      <c r="AB916">
        <v>21717971599.628231</v>
      </c>
      <c r="AC916">
        <v>101698.8465</v>
      </c>
      <c r="AD916">
        <v>22011302400.434898</v>
      </c>
      <c r="AE916">
        <v>101850.22530000001</v>
      </c>
      <c r="AF916">
        <v>23117788045.04406</v>
      </c>
      <c r="AG916">
        <v>102168.22530000001</v>
      </c>
      <c r="AH916">
        <v>25047854357.482498</v>
      </c>
      <c r="AI916">
        <v>102498.22530000001</v>
      </c>
      <c r="AJ916">
        <v>26227452100.424992</v>
      </c>
      <c r="AK916">
        <v>103098.22530000001</v>
      </c>
    </row>
    <row r="917" spans="1:37" x14ac:dyDescent="0.35">
      <c r="A917" t="s">
        <v>9838</v>
      </c>
      <c r="B917">
        <v>2890.95</v>
      </c>
      <c r="C917" t="s">
        <v>1079</v>
      </c>
      <c r="D917" t="s">
        <v>9839</v>
      </c>
      <c r="E917" t="s">
        <v>9840</v>
      </c>
      <c r="F917">
        <v>5.3999999999999998E-5</v>
      </c>
      <c r="G917" t="s">
        <v>9841</v>
      </c>
      <c r="H917">
        <v>0.9</v>
      </c>
      <c r="I917">
        <v>50.35</v>
      </c>
      <c r="J917" t="s">
        <v>9842</v>
      </c>
      <c r="K917" t="s">
        <v>9843</v>
      </c>
      <c r="L917" t="s">
        <v>9844</v>
      </c>
      <c r="M917" t="s">
        <v>9845</v>
      </c>
      <c r="N917">
        <v>115616.08748171599</v>
      </c>
      <c r="O917">
        <v>117003.48053149661</v>
      </c>
      <c r="P917">
        <v>122502.64411647691</v>
      </c>
      <c r="Q917">
        <v>132302.85564579509</v>
      </c>
      <c r="R917">
        <v>137727.27272727271</v>
      </c>
      <c r="S917" t="s">
        <v>9846</v>
      </c>
      <c r="T917" t="s">
        <v>9847</v>
      </c>
      <c r="U917" t="s">
        <v>9848</v>
      </c>
      <c r="V917" t="s">
        <v>1090</v>
      </c>
      <c r="W917">
        <v>125425284</v>
      </c>
      <c r="X917">
        <v>126003478.59999999</v>
      </c>
      <c r="Y917">
        <v>126003478.59999999</v>
      </c>
      <c r="Z917">
        <v>126103478.59999999</v>
      </c>
      <c r="AA917">
        <v>126103478.59999999</v>
      </c>
      <c r="AB917">
        <v>783063752.79760611</v>
      </c>
      <c r="AC917">
        <v>6772.9653359999993</v>
      </c>
      <c r="AD917">
        <v>796113659.98490131</v>
      </c>
      <c r="AE917">
        <v>6804.1878443999994</v>
      </c>
      <c r="AF917">
        <v>833531002.00419164</v>
      </c>
      <c r="AG917">
        <v>6804.1878443999994</v>
      </c>
      <c r="AH917">
        <v>900927917.58501434</v>
      </c>
      <c r="AI917">
        <v>6809.5878443999991</v>
      </c>
      <c r="AJ917">
        <v>937865962.20599973</v>
      </c>
      <c r="AK917">
        <v>6809.5878443999991</v>
      </c>
    </row>
    <row r="918" spans="1:37" x14ac:dyDescent="0.35">
      <c r="A918" t="s">
        <v>9849</v>
      </c>
      <c r="B918">
        <v>2149.92</v>
      </c>
      <c r="C918" t="s">
        <v>231</v>
      </c>
      <c r="D918" t="s">
        <v>3102</v>
      </c>
      <c r="E918" t="s">
        <v>9850</v>
      </c>
      <c r="F918">
        <v>0.191</v>
      </c>
      <c r="G918" t="s">
        <v>9851</v>
      </c>
      <c r="H918">
        <v>0.3</v>
      </c>
      <c r="I918">
        <v>0.14000000000000001</v>
      </c>
      <c r="J918" t="s">
        <v>9852</v>
      </c>
      <c r="K918" t="s">
        <v>9853</v>
      </c>
      <c r="L918" t="s">
        <v>9854</v>
      </c>
      <c r="M918" t="s">
        <v>9855</v>
      </c>
      <c r="N918">
        <v>725.9551939635088</v>
      </c>
      <c r="O918">
        <v>734.66665629107092</v>
      </c>
      <c r="P918">
        <v>769.19598913675122</v>
      </c>
      <c r="Q918">
        <v>830.73166826769136</v>
      </c>
      <c r="R918">
        <v>864.79166666666663</v>
      </c>
      <c r="S918" t="s">
        <v>9856</v>
      </c>
      <c r="T918" t="s">
        <v>9857</v>
      </c>
      <c r="U918" t="s">
        <v>5587</v>
      </c>
      <c r="V918" t="s">
        <v>94</v>
      </c>
      <c r="W918">
        <v>265472419.80000001</v>
      </c>
      <c r="X918">
        <v>266439117.80000001</v>
      </c>
      <c r="Y918">
        <v>267499117.80000001</v>
      </c>
      <c r="Z918">
        <v>268599117.80000001</v>
      </c>
      <c r="AA918">
        <v>270179117.80000001</v>
      </c>
      <c r="AB918">
        <v>36809726663.503357</v>
      </c>
      <c r="AC918">
        <v>50705232.1818</v>
      </c>
      <c r="AD918">
        <v>37387091733.840332</v>
      </c>
      <c r="AE918">
        <v>50889871.499799997</v>
      </c>
      <c r="AF918">
        <v>39300016465.291458</v>
      </c>
      <c r="AG918">
        <v>51092331.499799997</v>
      </c>
      <c r="AH918">
        <v>42618554506.017807</v>
      </c>
      <c r="AI918">
        <v>51302431.499799997</v>
      </c>
      <c r="AJ918">
        <v>44626892069.931213</v>
      </c>
      <c r="AK918">
        <v>51604211.499799997</v>
      </c>
    </row>
    <row r="919" spans="1:37" x14ac:dyDescent="0.35">
      <c r="A919" t="s">
        <v>9858</v>
      </c>
      <c r="B919">
        <v>2871.98</v>
      </c>
      <c r="C919" t="s">
        <v>231</v>
      </c>
      <c r="D919" t="s">
        <v>9859</v>
      </c>
      <c r="E919" t="s">
        <v>9860</v>
      </c>
      <c r="F919">
        <v>0.191</v>
      </c>
      <c r="G919" t="s">
        <v>9861</v>
      </c>
      <c r="H919">
        <v>0.3</v>
      </c>
      <c r="I919">
        <v>0.12</v>
      </c>
      <c r="J919" t="s">
        <v>9862</v>
      </c>
      <c r="K919" t="s">
        <v>9863</v>
      </c>
      <c r="L919" t="s">
        <v>9864</v>
      </c>
      <c r="M919" t="s">
        <v>9865</v>
      </c>
      <c r="N919">
        <v>725.9551939635088</v>
      </c>
      <c r="O919">
        <v>734.66665629107092</v>
      </c>
      <c r="P919">
        <v>769.19598913675122</v>
      </c>
      <c r="Q919">
        <v>830.73166826769136</v>
      </c>
      <c r="R919">
        <v>864.79166666666663</v>
      </c>
      <c r="S919" t="s">
        <v>9866</v>
      </c>
      <c r="T919" t="s">
        <v>9867</v>
      </c>
      <c r="U919" t="s">
        <v>241</v>
      </c>
      <c r="V919" t="s">
        <v>94</v>
      </c>
      <c r="W919">
        <v>265472419.80000001</v>
      </c>
      <c r="X919">
        <v>266439117.80000001</v>
      </c>
      <c r="Y919">
        <v>267499117.80000001</v>
      </c>
      <c r="Z919">
        <v>268599117.80000001</v>
      </c>
      <c r="AA919">
        <v>270179117.80000001</v>
      </c>
      <c r="AB919">
        <v>36809726663.503357</v>
      </c>
      <c r="AC919">
        <v>50705232.1818</v>
      </c>
      <c r="AD919">
        <v>37387091733.840332</v>
      </c>
      <c r="AE919">
        <v>50889871.499799997</v>
      </c>
      <c r="AF919">
        <v>39300016465.291458</v>
      </c>
      <c r="AG919">
        <v>51092331.499799997</v>
      </c>
      <c r="AH919">
        <v>42618554506.017807</v>
      </c>
      <c r="AI919">
        <v>51302431.499799997</v>
      </c>
      <c r="AJ919">
        <v>44626892069.931213</v>
      </c>
      <c r="AK919">
        <v>51604211.499799997</v>
      </c>
    </row>
    <row r="920" spans="1:37" x14ac:dyDescent="0.35">
      <c r="A920" t="s">
        <v>9868</v>
      </c>
      <c r="B920">
        <v>4577.05</v>
      </c>
      <c r="C920" t="s">
        <v>231</v>
      </c>
      <c r="D920" t="s">
        <v>9869</v>
      </c>
      <c r="E920" t="s">
        <v>9870</v>
      </c>
      <c r="F920">
        <v>0.191</v>
      </c>
      <c r="G920" t="s">
        <v>9871</v>
      </c>
      <c r="H920">
        <v>0.3</v>
      </c>
      <c r="I920">
        <v>0.05</v>
      </c>
      <c r="J920" t="s">
        <v>9872</v>
      </c>
      <c r="K920" t="s">
        <v>9873</v>
      </c>
      <c r="L920" t="s">
        <v>9874</v>
      </c>
      <c r="M920" t="s">
        <v>9875</v>
      </c>
      <c r="N920">
        <v>725.9551939635088</v>
      </c>
      <c r="O920">
        <v>734.66665629107092</v>
      </c>
      <c r="P920">
        <v>769.19598913675122</v>
      </c>
      <c r="Q920">
        <v>830.73166826769136</v>
      </c>
      <c r="R920">
        <v>864.79166666666663</v>
      </c>
      <c r="S920" t="s">
        <v>9876</v>
      </c>
      <c r="T920" t="s">
        <v>9877</v>
      </c>
      <c r="U920" t="s">
        <v>2360</v>
      </c>
      <c r="V920" t="s">
        <v>94</v>
      </c>
      <c r="W920">
        <v>265472419.80000001</v>
      </c>
      <c r="X920">
        <v>266439117.80000001</v>
      </c>
      <c r="Y920">
        <v>267499117.80000001</v>
      </c>
      <c r="Z920">
        <v>268599117.80000001</v>
      </c>
      <c r="AA920">
        <v>270179117.80000001</v>
      </c>
      <c r="AB920">
        <v>36809726663.503357</v>
      </c>
      <c r="AC920">
        <v>50705232.1818</v>
      </c>
      <c r="AD920">
        <v>37387091733.840332</v>
      </c>
      <c r="AE920">
        <v>50889871.499799997</v>
      </c>
      <c r="AF920">
        <v>39300016465.291458</v>
      </c>
      <c r="AG920">
        <v>51092331.499799997</v>
      </c>
      <c r="AH920">
        <v>42618554506.017807</v>
      </c>
      <c r="AI920">
        <v>51302431.499799997</v>
      </c>
      <c r="AJ920">
        <v>44626892069.931213</v>
      </c>
      <c r="AK920">
        <v>51604211.499799997</v>
      </c>
    </row>
    <row r="921" spans="1:37" x14ac:dyDescent="0.35">
      <c r="A921" t="s">
        <v>9878</v>
      </c>
      <c r="B921">
        <v>59.1</v>
      </c>
      <c r="C921" t="s">
        <v>1042</v>
      </c>
      <c r="D921" t="s">
        <v>9879</v>
      </c>
      <c r="E921" t="s">
        <v>9880</v>
      </c>
      <c r="F921">
        <v>0.187</v>
      </c>
      <c r="G921" t="s">
        <v>9881</v>
      </c>
      <c r="H921">
        <v>0.1</v>
      </c>
      <c r="I921">
        <v>0.01</v>
      </c>
      <c r="J921" t="s">
        <v>9882</v>
      </c>
      <c r="K921" t="s">
        <v>9883</v>
      </c>
      <c r="L921" t="s">
        <v>9884</v>
      </c>
      <c r="M921" t="s">
        <v>9885</v>
      </c>
      <c r="N921">
        <v>1770.7290626067279</v>
      </c>
      <c r="O921">
        <v>1791.9778113580089</v>
      </c>
      <c r="P921">
        <v>1876.2007684918351</v>
      </c>
      <c r="Q921">
        <v>2026.296829971182</v>
      </c>
      <c r="R921">
        <v>2109.375</v>
      </c>
      <c r="S921" t="s">
        <v>9886</v>
      </c>
      <c r="T921" t="s">
        <v>9887</v>
      </c>
      <c r="U921" t="s">
        <v>9888</v>
      </c>
      <c r="V921" t="s">
        <v>1053</v>
      </c>
      <c r="W921">
        <v>158713600</v>
      </c>
      <c r="X921">
        <v>160457415</v>
      </c>
      <c r="Y921">
        <v>160457415</v>
      </c>
      <c r="Z921">
        <v>160557415</v>
      </c>
      <c r="AA921">
        <v>160557415</v>
      </c>
      <c r="AB921">
        <v>52554252636.225616</v>
      </c>
      <c r="AC921">
        <v>29679443.199999999</v>
      </c>
      <c r="AD921">
        <v>53769255814.050507</v>
      </c>
      <c r="AE921">
        <v>30005536.605</v>
      </c>
      <c r="AF921">
        <v>56296410837.310883</v>
      </c>
      <c r="AG921">
        <v>30005536.605</v>
      </c>
      <c r="AH921">
        <v>60838015455.01622</v>
      </c>
      <c r="AI921">
        <v>30024236.605</v>
      </c>
      <c r="AJ921">
        <v>63332374088.671883</v>
      </c>
      <c r="AK921">
        <v>30024236.605</v>
      </c>
    </row>
    <row r="922" spans="1:37" x14ac:dyDescent="0.35">
      <c r="A922" t="s">
        <v>9889</v>
      </c>
      <c r="B922">
        <v>2357.2600000000002</v>
      </c>
      <c r="C922" t="s">
        <v>255</v>
      </c>
      <c r="D922" t="s">
        <v>9890</v>
      </c>
      <c r="E922" t="s">
        <v>3673</v>
      </c>
      <c r="F922">
        <v>4.1999999999999998E-5</v>
      </c>
      <c r="G922" t="s">
        <v>9891</v>
      </c>
      <c r="H922">
        <v>0.3</v>
      </c>
      <c r="I922">
        <v>305.3</v>
      </c>
      <c r="J922" t="s">
        <v>9892</v>
      </c>
      <c r="K922" t="s">
        <v>9893</v>
      </c>
      <c r="L922" t="s">
        <v>9894</v>
      </c>
      <c r="M922" t="s">
        <v>9895</v>
      </c>
      <c r="N922">
        <v>118710.1325836446</v>
      </c>
      <c r="O922">
        <v>120134.6541746483</v>
      </c>
      <c r="P922">
        <v>125780.9829208568</v>
      </c>
      <c r="Q922">
        <v>135843.46155452539</v>
      </c>
      <c r="R922">
        <v>141413.04347826089</v>
      </c>
      <c r="S922" t="s">
        <v>9896</v>
      </c>
      <c r="T922" t="s">
        <v>4198</v>
      </c>
      <c r="U922" t="s">
        <v>9897</v>
      </c>
      <c r="V922" t="s">
        <v>94</v>
      </c>
      <c r="W922">
        <v>265472419.80000001</v>
      </c>
      <c r="X922">
        <v>266439117.80000001</v>
      </c>
      <c r="Y922">
        <v>267499117.80000001</v>
      </c>
      <c r="Z922">
        <v>268599117.80000001</v>
      </c>
      <c r="AA922">
        <v>270179117.80000001</v>
      </c>
      <c r="AB922">
        <v>1323599178.3738761</v>
      </c>
      <c r="AC922">
        <v>11149.8416316</v>
      </c>
      <c r="AD922">
        <v>1344359993.571058</v>
      </c>
      <c r="AE922">
        <v>11190.4429476</v>
      </c>
      <c r="AF922">
        <v>1413144682.628535</v>
      </c>
      <c r="AG922">
        <v>11234.962947599999</v>
      </c>
      <c r="AH922">
        <v>1532472225.162637</v>
      </c>
      <c r="AI922">
        <v>11281.1629476</v>
      </c>
      <c r="AJ922">
        <v>1604687755.959522</v>
      </c>
      <c r="AK922">
        <v>11347.5229476</v>
      </c>
    </row>
    <row r="923" spans="1:37" x14ac:dyDescent="0.35">
      <c r="A923" t="s">
        <v>9898</v>
      </c>
      <c r="B923">
        <v>4561.33</v>
      </c>
      <c r="C923" t="s">
        <v>278</v>
      </c>
      <c r="D923" t="s">
        <v>9899</v>
      </c>
      <c r="E923" t="s">
        <v>9900</v>
      </c>
      <c r="F923">
        <v>1.2999999999999999E-5</v>
      </c>
      <c r="G923" t="s">
        <v>9901</v>
      </c>
      <c r="H923">
        <v>0.4</v>
      </c>
      <c r="I923">
        <v>10520.3</v>
      </c>
      <c r="J923" t="s">
        <v>9902</v>
      </c>
      <c r="K923" t="s">
        <v>9903</v>
      </c>
      <c r="L923" t="s">
        <v>9904</v>
      </c>
      <c r="M923" t="s">
        <v>9905</v>
      </c>
      <c r="N923">
        <v>117659.73818356229</v>
      </c>
      <c r="O923">
        <v>119071.655041765</v>
      </c>
      <c r="P923">
        <v>124668.022828728</v>
      </c>
      <c r="Q923">
        <v>134641.46465502621</v>
      </c>
      <c r="R923">
        <v>140161.76470588229</v>
      </c>
      <c r="S923" t="s">
        <v>9906</v>
      </c>
      <c r="T923" t="s">
        <v>9907</v>
      </c>
      <c r="U923" t="s">
        <v>9908</v>
      </c>
      <c r="V923" t="s">
        <v>49</v>
      </c>
      <c r="W923">
        <v>338996155</v>
      </c>
      <c r="X923">
        <v>339500751</v>
      </c>
      <c r="Y923">
        <v>340560751</v>
      </c>
      <c r="Z923">
        <v>341660751</v>
      </c>
      <c r="AA923">
        <v>343660751</v>
      </c>
      <c r="AB923">
        <v>518520584.95294589</v>
      </c>
      <c r="AC923">
        <v>4406.9500149999994</v>
      </c>
      <c r="AD923">
        <v>525523912.02339822</v>
      </c>
      <c r="AE923">
        <v>4413.509763</v>
      </c>
      <c r="AF923">
        <v>551941461.24307775</v>
      </c>
      <c r="AG923">
        <v>4427.2897629999998</v>
      </c>
      <c r="AH923">
        <v>598022151.08709085</v>
      </c>
      <c r="AI923">
        <v>4441.5897629999999</v>
      </c>
      <c r="AJ923">
        <v>626185265.16401446</v>
      </c>
      <c r="AK923">
        <v>4467.5897629999999</v>
      </c>
    </row>
    <row r="924" spans="1:37" x14ac:dyDescent="0.35">
      <c r="A924" t="s">
        <v>9909</v>
      </c>
      <c r="B924">
        <v>85.37</v>
      </c>
      <c r="C924" t="s">
        <v>231</v>
      </c>
      <c r="D924" t="s">
        <v>9910</v>
      </c>
      <c r="E924" t="s">
        <v>9911</v>
      </c>
      <c r="F924">
        <v>0.191</v>
      </c>
      <c r="G924" t="s">
        <v>9912</v>
      </c>
      <c r="H924">
        <v>0.3</v>
      </c>
      <c r="J924" t="s">
        <v>9913</v>
      </c>
      <c r="K924" t="s">
        <v>9914</v>
      </c>
      <c r="L924" t="s">
        <v>9915</v>
      </c>
      <c r="M924" t="s">
        <v>9916</v>
      </c>
      <c r="N924">
        <v>725.9551939635088</v>
      </c>
      <c r="O924">
        <v>734.66665629107092</v>
      </c>
      <c r="P924">
        <v>769.19598913675122</v>
      </c>
      <c r="Q924">
        <v>830.73166826769136</v>
      </c>
      <c r="R924">
        <v>864.79166666666663</v>
      </c>
      <c r="S924" t="s">
        <v>9917</v>
      </c>
      <c r="T924" t="s">
        <v>9918</v>
      </c>
      <c r="U924" t="s">
        <v>9919</v>
      </c>
      <c r="V924" t="s">
        <v>94</v>
      </c>
      <c r="W924">
        <v>265472419.80000001</v>
      </c>
      <c r="X924">
        <v>266439117.80000001</v>
      </c>
      <c r="Y924">
        <v>267499117.80000001</v>
      </c>
      <c r="Z924">
        <v>268599117.80000001</v>
      </c>
      <c r="AA924">
        <v>270179117.80000001</v>
      </c>
      <c r="AB924">
        <v>36809726663.503357</v>
      </c>
      <c r="AC924">
        <v>50705232.1818</v>
      </c>
      <c r="AD924">
        <v>37387091733.840332</v>
      </c>
      <c r="AE924">
        <v>50889871.499799997</v>
      </c>
      <c r="AF924">
        <v>39300016465.291458</v>
      </c>
      <c r="AG924">
        <v>51092331.499799997</v>
      </c>
      <c r="AH924">
        <v>42618554506.017807</v>
      </c>
      <c r="AI924">
        <v>51302431.499799997</v>
      </c>
      <c r="AJ924">
        <v>44626892069.931213</v>
      </c>
      <c r="AK924">
        <v>51604211.499799997</v>
      </c>
    </row>
    <row r="925" spans="1:37" x14ac:dyDescent="0.35">
      <c r="A925" t="s">
        <v>9920</v>
      </c>
      <c r="B925">
        <v>878.57</v>
      </c>
      <c r="C925" t="s">
        <v>1042</v>
      </c>
      <c r="D925" t="s">
        <v>9921</v>
      </c>
      <c r="E925" t="s">
        <v>9922</v>
      </c>
      <c r="F925">
        <v>0.187</v>
      </c>
      <c r="G925" t="s">
        <v>9923</v>
      </c>
      <c r="H925">
        <v>0.25</v>
      </c>
      <c r="I925">
        <v>0.01</v>
      </c>
      <c r="J925" t="s">
        <v>9924</v>
      </c>
      <c r="K925" t="s">
        <v>9925</v>
      </c>
      <c r="L925" t="s">
        <v>9926</v>
      </c>
      <c r="M925" t="s">
        <v>9927</v>
      </c>
      <c r="N925">
        <v>1770.7290626067279</v>
      </c>
      <c r="O925">
        <v>1791.9778113580089</v>
      </c>
      <c r="P925">
        <v>1876.2007684918351</v>
      </c>
      <c r="Q925">
        <v>2026.296829971182</v>
      </c>
      <c r="R925">
        <v>2109.375</v>
      </c>
      <c r="S925" t="s">
        <v>9928</v>
      </c>
      <c r="T925" t="s">
        <v>9929</v>
      </c>
      <c r="U925" t="s">
        <v>9930</v>
      </c>
      <c r="V925" t="s">
        <v>1053</v>
      </c>
      <c r="W925">
        <v>158713600</v>
      </c>
      <c r="X925">
        <v>160457415</v>
      </c>
      <c r="Y925">
        <v>160457415</v>
      </c>
      <c r="Z925">
        <v>160557415</v>
      </c>
      <c r="AA925">
        <v>160557415</v>
      </c>
      <c r="AB925">
        <v>52554252636.225616</v>
      </c>
      <c r="AC925">
        <v>29679443.199999999</v>
      </c>
      <c r="AD925">
        <v>53769255814.050507</v>
      </c>
      <c r="AE925">
        <v>30005536.605</v>
      </c>
      <c r="AF925">
        <v>56296410837.310883</v>
      </c>
      <c r="AG925">
        <v>30005536.605</v>
      </c>
      <c r="AH925">
        <v>60838015455.01622</v>
      </c>
      <c r="AI925">
        <v>30024236.605</v>
      </c>
      <c r="AJ925">
        <v>63332374088.671883</v>
      </c>
      <c r="AK925">
        <v>30024236.605</v>
      </c>
    </row>
    <row r="926" spans="1:37" x14ac:dyDescent="0.35">
      <c r="A926" t="s">
        <v>9931</v>
      </c>
      <c r="B926">
        <v>242.44</v>
      </c>
      <c r="C926" t="s">
        <v>5068</v>
      </c>
      <c r="D926" t="s">
        <v>9932</v>
      </c>
      <c r="E926" t="s">
        <v>9933</v>
      </c>
      <c r="F926">
        <v>0.4</v>
      </c>
      <c r="G926" t="s">
        <v>9934</v>
      </c>
      <c r="H926">
        <v>4030.5</v>
      </c>
      <c r="I926">
        <v>1.3</v>
      </c>
      <c r="J926" t="s">
        <v>9935</v>
      </c>
      <c r="K926" t="s">
        <v>9936</v>
      </c>
      <c r="L926" t="s">
        <v>9937</v>
      </c>
      <c r="M926" t="s">
        <v>9938</v>
      </c>
      <c r="N926">
        <v>1301.1579482265729</v>
      </c>
      <c r="O926">
        <v>1316.7718436052919</v>
      </c>
      <c r="P926">
        <v>1378.6601202547411</v>
      </c>
      <c r="Q926">
        <v>1488.9529298751199</v>
      </c>
      <c r="R926">
        <v>1550</v>
      </c>
      <c r="S926" t="s">
        <v>9939</v>
      </c>
      <c r="T926" t="s">
        <v>9940</v>
      </c>
      <c r="U926" t="s">
        <v>9941</v>
      </c>
      <c r="V926" t="s">
        <v>49</v>
      </c>
      <c r="W926">
        <v>338996155</v>
      </c>
      <c r="X926">
        <v>339500751</v>
      </c>
      <c r="Y926">
        <v>340560751</v>
      </c>
      <c r="Z926">
        <v>341660751</v>
      </c>
      <c r="AA926">
        <v>343660751</v>
      </c>
      <c r="AB926">
        <v>176435016598.599</v>
      </c>
      <c r="AC926">
        <v>135598462</v>
      </c>
      <c r="AD926">
        <v>178818011919.8605</v>
      </c>
      <c r="AE926">
        <v>135800300.40000001</v>
      </c>
      <c r="AF926">
        <v>187807010371.08191</v>
      </c>
      <c r="AG926">
        <v>136224300.40000001</v>
      </c>
      <c r="AH926">
        <v>203486710489.9136</v>
      </c>
      <c r="AI926">
        <v>136664300.40000001</v>
      </c>
      <c r="AJ926">
        <v>213069665620</v>
      </c>
      <c r="AK926">
        <v>137464300.40000001</v>
      </c>
    </row>
    <row r="927" spans="1:37" x14ac:dyDescent="0.35">
      <c r="A927" t="s">
        <v>9942</v>
      </c>
      <c r="B927">
        <v>197.7</v>
      </c>
      <c r="C927" t="s">
        <v>863</v>
      </c>
      <c r="D927" t="s">
        <v>9943</v>
      </c>
      <c r="E927" t="s">
        <v>9944</v>
      </c>
      <c r="F927">
        <v>0.1</v>
      </c>
      <c r="G927" t="s">
        <v>9945</v>
      </c>
      <c r="H927">
        <v>0.3</v>
      </c>
      <c r="I927">
        <v>0</v>
      </c>
      <c r="J927" t="s">
        <v>9946</v>
      </c>
      <c r="K927" t="s">
        <v>9947</v>
      </c>
      <c r="L927" t="s">
        <v>9948</v>
      </c>
      <c r="M927" t="s">
        <v>1576</v>
      </c>
      <c r="N927">
        <v>278.56709214154648</v>
      </c>
      <c r="O927">
        <v>281.90989724724511</v>
      </c>
      <c r="P927">
        <v>295.1596624178656</v>
      </c>
      <c r="Q927">
        <v>318.77243541129491</v>
      </c>
      <c r="R927">
        <v>331.84210526315792</v>
      </c>
      <c r="S927" t="s">
        <v>9949</v>
      </c>
      <c r="T927" t="s">
        <v>9950</v>
      </c>
      <c r="U927" t="s">
        <v>5758</v>
      </c>
      <c r="V927" t="s">
        <v>49</v>
      </c>
      <c r="W927">
        <v>338996155</v>
      </c>
      <c r="X927">
        <v>339500751</v>
      </c>
      <c r="Y927">
        <v>340560751</v>
      </c>
      <c r="Z927">
        <v>341660751</v>
      </c>
      <c r="AA927">
        <v>343660751</v>
      </c>
      <c r="AB927">
        <v>9443317314.5515003</v>
      </c>
      <c r="AC927">
        <v>33899615.5</v>
      </c>
      <c r="AD927">
        <v>9570862182.9772549</v>
      </c>
      <c r="AE927">
        <v>33950075.100000001</v>
      </c>
      <c r="AF927">
        <v>10051979629.79348</v>
      </c>
      <c r="AG927">
        <v>34056075.100000001</v>
      </c>
      <c r="AH927">
        <v>10891202968.072201</v>
      </c>
      <c r="AI927">
        <v>34166075.100000001</v>
      </c>
      <c r="AJ927">
        <v>11404110710.81579</v>
      </c>
      <c r="AK927">
        <v>34366075.100000001</v>
      </c>
    </row>
    <row r="928" spans="1:37" x14ac:dyDescent="0.35">
      <c r="A928" t="s">
        <v>9951</v>
      </c>
      <c r="B928">
        <v>502.51</v>
      </c>
      <c r="C928" t="s">
        <v>1042</v>
      </c>
      <c r="D928" t="s">
        <v>9952</v>
      </c>
      <c r="E928" t="s">
        <v>9953</v>
      </c>
      <c r="F928">
        <v>0.187</v>
      </c>
      <c r="G928" t="s">
        <v>9954</v>
      </c>
      <c r="H928">
        <v>305.10000000000002</v>
      </c>
      <c r="I928">
        <v>0.01</v>
      </c>
      <c r="J928" t="s">
        <v>9955</v>
      </c>
      <c r="K928" t="s">
        <v>9956</v>
      </c>
      <c r="L928" t="s">
        <v>9957</v>
      </c>
      <c r="M928" t="s">
        <v>9958</v>
      </c>
      <c r="N928">
        <v>1770.7290626067279</v>
      </c>
      <c r="O928">
        <v>1791.9778113580089</v>
      </c>
      <c r="P928">
        <v>1876.2007684918351</v>
      </c>
      <c r="Q928">
        <v>2026.296829971182</v>
      </c>
      <c r="R928">
        <v>2109.375</v>
      </c>
      <c r="S928" t="s">
        <v>9959</v>
      </c>
      <c r="T928" t="s">
        <v>9960</v>
      </c>
      <c r="U928" t="s">
        <v>9961</v>
      </c>
      <c r="V928" t="s">
        <v>1053</v>
      </c>
      <c r="W928">
        <v>158713600</v>
      </c>
      <c r="X928">
        <v>160457415</v>
      </c>
      <c r="Y928">
        <v>160457415</v>
      </c>
      <c r="Z928">
        <v>160557415</v>
      </c>
      <c r="AA928">
        <v>160557415</v>
      </c>
      <c r="AB928">
        <v>52554252636.225616</v>
      </c>
      <c r="AC928">
        <v>29679443.199999999</v>
      </c>
      <c r="AD928">
        <v>53769255814.050507</v>
      </c>
      <c r="AE928">
        <v>30005536.605</v>
      </c>
      <c r="AF928">
        <v>56296410837.310883</v>
      </c>
      <c r="AG928">
        <v>30005536.605</v>
      </c>
      <c r="AH928">
        <v>60838015455.01622</v>
      </c>
      <c r="AI928">
        <v>30024236.605</v>
      </c>
      <c r="AJ928">
        <v>63332374088.671883</v>
      </c>
      <c r="AK928">
        <v>30024236.605</v>
      </c>
    </row>
    <row r="929" spans="1:37" x14ac:dyDescent="0.35">
      <c r="A929" t="s">
        <v>9962</v>
      </c>
      <c r="B929">
        <v>24371.86</v>
      </c>
      <c r="C929" t="s">
        <v>4903</v>
      </c>
      <c r="D929" t="s">
        <v>9963</v>
      </c>
      <c r="E929" t="s">
        <v>9964</v>
      </c>
      <c r="F929">
        <v>5.0000000000000004E-6</v>
      </c>
      <c r="G929" t="s">
        <v>9965</v>
      </c>
      <c r="H929">
        <v>0.5</v>
      </c>
      <c r="I929">
        <v>0.05</v>
      </c>
      <c r="J929" t="s">
        <v>9966</v>
      </c>
      <c r="K929" t="s">
        <v>9967</v>
      </c>
      <c r="L929" t="s">
        <v>9968</v>
      </c>
      <c r="M929" t="s">
        <v>9969</v>
      </c>
      <c r="N929">
        <v>2969.578220549357</v>
      </c>
      <c r="O929">
        <v>3005.2131591959492</v>
      </c>
      <c r="P929">
        <v>3146.4581776781588</v>
      </c>
      <c r="Q929">
        <v>3398.174831892411</v>
      </c>
      <c r="R929">
        <v>3537.5</v>
      </c>
      <c r="S929" t="s">
        <v>9970</v>
      </c>
      <c r="T929" t="s">
        <v>9971</v>
      </c>
      <c r="U929" t="s">
        <v>3144</v>
      </c>
      <c r="V929" t="s">
        <v>94</v>
      </c>
      <c r="W929">
        <v>265472419.80000001</v>
      </c>
      <c r="X929">
        <v>266439117.80000001</v>
      </c>
      <c r="Y929">
        <v>267499117.80000001</v>
      </c>
      <c r="Z929">
        <v>268599117.80000001</v>
      </c>
      <c r="AA929">
        <v>270179117.80000001</v>
      </c>
      <c r="AB929">
        <v>3941705.5799730802</v>
      </c>
      <c r="AC929">
        <v>1327.3620989999999</v>
      </c>
      <c r="AD929">
        <v>4003531.7146855989</v>
      </c>
      <c r="AE929">
        <v>1332.1955889999999</v>
      </c>
      <c r="AF929">
        <v>4208373.9336175164</v>
      </c>
      <c r="AG929">
        <v>1337.4955890000001</v>
      </c>
      <c r="AH929">
        <v>4563733.8098823251</v>
      </c>
      <c r="AI929">
        <v>1342.9955890000001</v>
      </c>
      <c r="AJ929">
        <v>4778793.1460875003</v>
      </c>
      <c r="AK929">
        <v>1350.895589</v>
      </c>
    </row>
    <row r="930" spans="1:37" x14ac:dyDescent="0.35">
      <c r="A930" t="s">
        <v>9972</v>
      </c>
      <c r="B930">
        <v>176.38</v>
      </c>
      <c r="C930" t="s">
        <v>231</v>
      </c>
      <c r="D930" t="s">
        <v>9973</v>
      </c>
      <c r="E930" t="s">
        <v>9974</v>
      </c>
      <c r="F930">
        <v>0.191</v>
      </c>
      <c r="G930" t="s">
        <v>9975</v>
      </c>
      <c r="H930">
        <v>0.3</v>
      </c>
      <c r="J930" t="s">
        <v>9976</v>
      </c>
      <c r="K930" t="s">
        <v>9977</v>
      </c>
      <c r="L930" t="s">
        <v>9978</v>
      </c>
      <c r="M930" t="s">
        <v>9979</v>
      </c>
      <c r="N930">
        <v>725.9551939635088</v>
      </c>
      <c r="O930">
        <v>734.66665629107092</v>
      </c>
      <c r="P930">
        <v>769.19598913675122</v>
      </c>
      <c r="Q930">
        <v>830.73166826769136</v>
      </c>
      <c r="R930">
        <v>864.79166666666663</v>
      </c>
      <c r="S930" t="s">
        <v>9980</v>
      </c>
      <c r="T930" t="s">
        <v>9981</v>
      </c>
      <c r="U930" t="s">
        <v>241</v>
      </c>
      <c r="V930" t="s">
        <v>94</v>
      </c>
      <c r="W930">
        <v>265472419.80000001</v>
      </c>
      <c r="X930">
        <v>266439117.80000001</v>
      </c>
      <c r="Y930">
        <v>267499117.80000001</v>
      </c>
      <c r="Z930">
        <v>268599117.80000001</v>
      </c>
      <c r="AA930">
        <v>270179117.80000001</v>
      </c>
      <c r="AB930">
        <v>36809726663.503357</v>
      </c>
      <c r="AC930">
        <v>50705232.1818</v>
      </c>
      <c r="AD930">
        <v>37387091733.840332</v>
      </c>
      <c r="AE930">
        <v>50889871.499799997</v>
      </c>
      <c r="AF930">
        <v>39300016465.291458</v>
      </c>
      <c r="AG930">
        <v>51092331.499799997</v>
      </c>
      <c r="AH930">
        <v>42618554506.017807</v>
      </c>
      <c r="AI930">
        <v>51302431.499799997</v>
      </c>
      <c r="AJ930">
        <v>44626892069.931213</v>
      </c>
      <c r="AK930">
        <v>51604211.499799997</v>
      </c>
    </row>
    <row r="931" spans="1:37" x14ac:dyDescent="0.35">
      <c r="A931" t="s">
        <v>9982</v>
      </c>
      <c r="B931">
        <v>176.38</v>
      </c>
      <c r="C931" t="s">
        <v>231</v>
      </c>
      <c r="D931" t="s">
        <v>9983</v>
      </c>
      <c r="E931" t="s">
        <v>9984</v>
      </c>
      <c r="F931">
        <v>0.191</v>
      </c>
      <c r="G931" t="s">
        <v>9985</v>
      </c>
      <c r="H931">
        <v>0.2</v>
      </c>
      <c r="I931">
        <v>0.01</v>
      </c>
      <c r="J931" t="s">
        <v>9986</v>
      </c>
      <c r="K931" t="s">
        <v>9987</v>
      </c>
      <c r="L931" t="s">
        <v>9988</v>
      </c>
      <c r="M931" t="s">
        <v>9989</v>
      </c>
      <c r="N931">
        <v>725.9551939635088</v>
      </c>
      <c r="O931">
        <v>734.66665629107092</v>
      </c>
      <c r="P931">
        <v>769.19598913675122</v>
      </c>
      <c r="Q931">
        <v>830.73166826769136</v>
      </c>
      <c r="R931">
        <v>864.79166666666663</v>
      </c>
      <c r="S931" t="s">
        <v>9990</v>
      </c>
      <c r="T931" t="s">
        <v>9991</v>
      </c>
      <c r="U931" t="s">
        <v>5326</v>
      </c>
      <c r="V931" t="s">
        <v>94</v>
      </c>
      <c r="W931">
        <v>265472419.80000001</v>
      </c>
      <c r="X931">
        <v>266439117.80000001</v>
      </c>
      <c r="Y931">
        <v>267499117.80000001</v>
      </c>
      <c r="Z931">
        <v>268599117.80000001</v>
      </c>
      <c r="AA931">
        <v>270179117.80000001</v>
      </c>
      <c r="AB931">
        <v>36809726663.503357</v>
      </c>
      <c r="AC931">
        <v>50705232.1818</v>
      </c>
      <c r="AD931">
        <v>37387091733.840332</v>
      </c>
      <c r="AE931">
        <v>50889871.499799997</v>
      </c>
      <c r="AF931">
        <v>39300016465.291458</v>
      </c>
      <c r="AG931">
        <v>51092331.499799997</v>
      </c>
      <c r="AH931">
        <v>42618554506.017807</v>
      </c>
      <c r="AI931">
        <v>51302431.499799997</v>
      </c>
      <c r="AJ931">
        <v>44626892069.931213</v>
      </c>
      <c r="AK931">
        <v>51604211.499799997</v>
      </c>
    </row>
    <row r="932" spans="1:37" x14ac:dyDescent="0.35">
      <c r="A932" t="s">
        <v>9992</v>
      </c>
      <c r="B932">
        <v>783.85</v>
      </c>
      <c r="C932" t="s">
        <v>1042</v>
      </c>
      <c r="D932" t="s">
        <v>9993</v>
      </c>
      <c r="E932" t="s">
        <v>9994</v>
      </c>
      <c r="F932">
        <v>0.187</v>
      </c>
      <c r="G932" t="s">
        <v>9995</v>
      </c>
      <c r="H932">
        <v>0.3</v>
      </c>
      <c r="I932">
        <v>0.01</v>
      </c>
      <c r="J932" t="s">
        <v>9996</v>
      </c>
      <c r="K932" t="s">
        <v>9997</v>
      </c>
      <c r="L932" t="s">
        <v>9998</v>
      </c>
      <c r="M932" t="s">
        <v>9999</v>
      </c>
      <c r="N932">
        <v>1770.7290626067279</v>
      </c>
      <c r="O932">
        <v>1791.9778113580089</v>
      </c>
      <c r="P932">
        <v>1876.2007684918351</v>
      </c>
      <c r="Q932">
        <v>2026.296829971182</v>
      </c>
      <c r="R932">
        <v>2109.375</v>
      </c>
      <c r="S932" t="s">
        <v>10000</v>
      </c>
      <c r="T932" t="s">
        <v>10001</v>
      </c>
      <c r="U932" t="s">
        <v>9961</v>
      </c>
      <c r="V932" t="s">
        <v>1053</v>
      </c>
      <c r="W932">
        <v>158713600</v>
      </c>
      <c r="X932">
        <v>160457415</v>
      </c>
      <c r="Y932">
        <v>160457415</v>
      </c>
      <c r="Z932">
        <v>160557415</v>
      </c>
      <c r="AA932">
        <v>160557415</v>
      </c>
      <c r="AB932">
        <v>52554252636.225616</v>
      </c>
      <c r="AC932">
        <v>29679443.199999999</v>
      </c>
      <c r="AD932">
        <v>53769255814.050507</v>
      </c>
      <c r="AE932">
        <v>30005536.605</v>
      </c>
      <c r="AF932">
        <v>56296410837.310883</v>
      </c>
      <c r="AG932">
        <v>30005536.605</v>
      </c>
      <c r="AH932">
        <v>60838015455.01622</v>
      </c>
      <c r="AI932">
        <v>30024236.605</v>
      </c>
      <c r="AJ932">
        <v>63332374088.671883</v>
      </c>
      <c r="AK932">
        <v>30024236.605</v>
      </c>
    </row>
    <row r="933" spans="1:37" x14ac:dyDescent="0.35">
      <c r="A933" t="s">
        <v>10002</v>
      </c>
      <c r="B933">
        <v>783.85</v>
      </c>
      <c r="C933" t="s">
        <v>1042</v>
      </c>
      <c r="D933" t="s">
        <v>10003</v>
      </c>
      <c r="E933" t="s">
        <v>10004</v>
      </c>
      <c r="F933">
        <v>0.187</v>
      </c>
      <c r="G933" t="s">
        <v>10005</v>
      </c>
      <c r="H933">
        <v>0.15</v>
      </c>
      <c r="I933">
        <v>0.01</v>
      </c>
      <c r="J933" t="s">
        <v>10006</v>
      </c>
      <c r="K933" t="s">
        <v>10007</v>
      </c>
      <c r="L933" t="s">
        <v>10008</v>
      </c>
      <c r="M933" t="s">
        <v>10009</v>
      </c>
      <c r="N933">
        <v>1770.7290626067279</v>
      </c>
      <c r="O933">
        <v>1791.9778113580089</v>
      </c>
      <c r="P933">
        <v>1876.2007684918351</v>
      </c>
      <c r="Q933">
        <v>2026.296829971182</v>
      </c>
      <c r="R933">
        <v>2109.375</v>
      </c>
      <c r="S933" t="s">
        <v>10010</v>
      </c>
      <c r="T933" t="s">
        <v>10011</v>
      </c>
      <c r="U933" t="s">
        <v>10012</v>
      </c>
      <c r="V933" t="s">
        <v>1053</v>
      </c>
      <c r="W933">
        <v>158713600</v>
      </c>
      <c r="X933">
        <v>160457415</v>
      </c>
      <c r="Y933">
        <v>160457415</v>
      </c>
      <c r="Z933">
        <v>160557415</v>
      </c>
      <c r="AA933">
        <v>160557415</v>
      </c>
      <c r="AB933">
        <v>52554252636.225616</v>
      </c>
      <c r="AC933">
        <v>29679443.199999999</v>
      </c>
      <c r="AD933">
        <v>53769255814.050507</v>
      </c>
      <c r="AE933">
        <v>30005536.605</v>
      </c>
      <c r="AF933">
        <v>56296410837.310883</v>
      </c>
      <c r="AG933">
        <v>30005536.605</v>
      </c>
      <c r="AH933">
        <v>60838015455.01622</v>
      </c>
      <c r="AI933">
        <v>30024236.605</v>
      </c>
      <c r="AJ933">
        <v>63332374088.671883</v>
      </c>
      <c r="AK933">
        <v>30024236.605</v>
      </c>
    </row>
    <row r="934" spans="1:37" x14ac:dyDescent="0.35">
      <c r="A934" t="s">
        <v>10013</v>
      </c>
      <c r="B934">
        <v>783.85</v>
      </c>
      <c r="C934" t="s">
        <v>1042</v>
      </c>
      <c r="D934" t="s">
        <v>10014</v>
      </c>
      <c r="E934" t="s">
        <v>10015</v>
      </c>
      <c r="F934">
        <v>0.187</v>
      </c>
      <c r="G934" t="s">
        <v>10016</v>
      </c>
      <c r="H934">
        <v>10.199999999999999</v>
      </c>
      <c r="J934" t="s">
        <v>10017</v>
      </c>
      <c r="K934" t="s">
        <v>10018</v>
      </c>
      <c r="L934" t="s">
        <v>10019</v>
      </c>
      <c r="M934" t="s">
        <v>10020</v>
      </c>
      <c r="N934">
        <v>1770.7290626067279</v>
      </c>
      <c r="O934">
        <v>1791.9778113580089</v>
      </c>
      <c r="P934">
        <v>1876.2007684918351</v>
      </c>
      <c r="Q934">
        <v>2026.296829971182</v>
      </c>
      <c r="R934">
        <v>2109.375</v>
      </c>
      <c r="S934" t="s">
        <v>10021</v>
      </c>
      <c r="T934" t="s">
        <v>10022</v>
      </c>
      <c r="U934" t="s">
        <v>10023</v>
      </c>
      <c r="V934" t="s">
        <v>1053</v>
      </c>
      <c r="W934">
        <v>158713600</v>
      </c>
      <c r="X934">
        <v>160457415</v>
      </c>
      <c r="Y934">
        <v>160457415</v>
      </c>
      <c r="Z934">
        <v>160557415</v>
      </c>
      <c r="AA934">
        <v>160557415</v>
      </c>
      <c r="AB934">
        <v>52554252636.225616</v>
      </c>
      <c r="AC934">
        <v>29679443.199999999</v>
      </c>
      <c r="AD934">
        <v>53769255814.050507</v>
      </c>
      <c r="AE934">
        <v>30005536.605</v>
      </c>
      <c r="AF934">
        <v>56296410837.310883</v>
      </c>
      <c r="AG934">
        <v>30005536.605</v>
      </c>
      <c r="AH934">
        <v>60838015455.01622</v>
      </c>
      <c r="AI934">
        <v>30024236.605</v>
      </c>
      <c r="AJ934">
        <v>63332374088.671883</v>
      </c>
      <c r="AK934">
        <v>30024236.605</v>
      </c>
    </row>
    <row r="935" spans="1:37" x14ac:dyDescent="0.35">
      <c r="A935" t="s">
        <v>10024</v>
      </c>
      <c r="B935">
        <v>184.32</v>
      </c>
      <c r="C935" t="s">
        <v>290</v>
      </c>
      <c r="D935" t="s">
        <v>10025</v>
      </c>
      <c r="E935" t="s">
        <v>10026</v>
      </c>
      <c r="F935">
        <v>1.6E-2</v>
      </c>
      <c r="G935" t="s">
        <v>10027</v>
      </c>
      <c r="H935">
        <v>0.3</v>
      </c>
      <c r="I935">
        <v>20.02</v>
      </c>
      <c r="J935" t="s">
        <v>10028</v>
      </c>
      <c r="K935" t="s">
        <v>10029</v>
      </c>
      <c r="L935" t="s">
        <v>10030</v>
      </c>
      <c r="M935" t="s">
        <v>10031</v>
      </c>
      <c r="N935">
        <v>582.68173772575199</v>
      </c>
      <c r="O935">
        <v>589.67391857846098</v>
      </c>
      <c r="P935">
        <v>617.38859275164862</v>
      </c>
      <c r="Q935">
        <v>666.77968017178057</v>
      </c>
      <c r="R935">
        <v>694.11764705882354</v>
      </c>
      <c r="S935" t="s">
        <v>10032</v>
      </c>
      <c r="T935" t="s">
        <v>10033</v>
      </c>
      <c r="U935" t="s">
        <v>10034</v>
      </c>
      <c r="V935" t="s">
        <v>49</v>
      </c>
      <c r="W935">
        <v>338996155</v>
      </c>
      <c r="X935">
        <v>339500751</v>
      </c>
      <c r="Y935">
        <v>340560751</v>
      </c>
      <c r="Z935">
        <v>341660751</v>
      </c>
      <c r="AA935">
        <v>343660751</v>
      </c>
      <c r="AB935">
        <v>3160429898.8439741</v>
      </c>
      <c r="AC935">
        <v>5423938.4800000004</v>
      </c>
      <c r="AD935">
        <v>3203115811.240005</v>
      </c>
      <c r="AE935">
        <v>5432012.0159999998</v>
      </c>
      <c r="AF935">
        <v>3364133164.9013538</v>
      </c>
      <c r="AG935">
        <v>5448972.0159999998</v>
      </c>
      <c r="AH935">
        <v>3644999140.4644861</v>
      </c>
      <c r="AI935">
        <v>5466572.0159999998</v>
      </c>
      <c r="AJ935">
        <v>3816655869.9294109</v>
      </c>
      <c r="AK935">
        <v>5498572.0159999998</v>
      </c>
    </row>
    <row r="936" spans="1:37" x14ac:dyDescent="0.35">
      <c r="A936" t="s">
        <v>10035</v>
      </c>
      <c r="B936">
        <v>195.13</v>
      </c>
      <c r="C936" t="s">
        <v>487</v>
      </c>
      <c r="D936" t="s">
        <v>10036</v>
      </c>
      <c r="E936" t="s">
        <v>10037</v>
      </c>
      <c r="F936">
        <v>2.8000000000000001E-2</v>
      </c>
      <c r="G936" t="s">
        <v>10038</v>
      </c>
      <c r="H936">
        <v>0.2</v>
      </c>
      <c r="I936">
        <v>0.34</v>
      </c>
      <c r="J936" t="s">
        <v>10039</v>
      </c>
      <c r="K936" t="s">
        <v>10040</v>
      </c>
      <c r="L936" t="s">
        <v>10041</v>
      </c>
      <c r="M936" t="s">
        <v>10042</v>
      </c>
      <c r="N936">
        <v>4761.448013576749</v>
      </c>
      <c r="O936">
        <v>4818.5853897396701</v>
      </c>
      <c r="P936">
        <v>5045.0589030574338</v>
      </c>
      <c r="Q936">
        <v>5448.663615302029</v>
      </c>
      <c r="R936">
        <v>5672.0588235294117</v>
      </c>
      <c r="S936" t="s">
        <v>10043</v>
      </c>
      <c r="T936" t="s">
        <v>10044</v>
      </c>
      <c r="U936" t="s">
        <v>840</v>
      </c>
      <c r="V936" t="s">
        <v>94</v>
      </c>
      <c r="W936">
        <v>265472419.80000001</v>
      </c>
      <c r="X936">
        <v>266439117.80000001</v>
      </c>
      <c r="Y936">
        <v>267499117.80000001</v>
      </c>
      <c r="Z936">
        <v>268599117.80000001</v>
      </c>
      <c r="AA936">
        <v>270179117.80000001</v>
      </c>
      <c r="AB936">
        <v>35392927525.651443</v>
      </c>
      <c r="AC936">
        <v>7433227.7544000009</v>
      </c>
      <c r="AD936">
        <v>35948069928.013786</v>
      </c>
      <c r="AE936">
        <v>7460295.2984000007</v>
      </c>
      <c r="AF936">
        <v>37787366562.873177</v>
      </c>
      <c r="AG936">
        <v>7489975.2984000007</v>
      </c>
      <c r="AH936">
        <v>40978174727.254341</v>
      </c>
      <c r="AI936">
        <v>7520775.2984000007</v>
      </c>
      <c r="AJ936">
        <v>42909211773.424713</v>
      </c>
      <c r="AK936">
        <v>7565015.2984000007</v>
      </c>
    </row>
    <row r="937" spans="1:37" x14ac:dyDescent="0.35">
      <c r="A937" t="s">
        <v>10045</v>
      </c>
      <c r="B937">
        <v>85.28</v>
      </c>
      <c r="C937" t="s">
        <v>208</v>
      </c>
      <c r="D937" t="s">
        <v>10046</v>
      </c>
      <c r="E937" t="s">
        <v>10047</v>
      </c>
      <c r="F937">
        <v>3.1E-2</v>
      </c>
      <c r="G937" t="s">
        <v>10048</v>
      </c>
      <c r="H937">
        <v>25.39</v>
      </c>
      <c r="I937">
        <v>0.05</v>
      </c>
      <c r="J937" t="s">
        <v>10049</v>
      </c>
      <c r="K937" t="s">
        <v>10050</v>
      </c>
      <c r="L937" t="s">
        <v>10051</v>
      </c>
      <c r="M937" t="s">
        <v>10052</v>
      </c>
      <c r="N937">
        <v>1106.1651733936201</v>
      </c>
      <c r="O937">
        <v>1119.4391554743429</v>
      </c>
      <c r="P937">
        <v>1172.0527957816371</v>
      </c>
      <c r="Q937">
        <v>1265.817019444168</v>
      </c>
      <c r="R937">
        <v>1317.7155172413791</v>
      </c>
      <c r="S937" t="s">
        <v>10053</v>
      </c>
      <c r="T937" t="s">
        <v>10054</v>
      </c>
      <c r="U937" t="s">
        <v>241</v>
      </c>
      <c r="V937" t="s">
        <v>94</v>
      </c>
      <c r="W937">
        <v>265472419.80000001</v>
      </c>
      <c r="X937">
        <v>266439117.80000001</v>
      </c>
      <c r="Y937">
        <v>267499117.80000001</v>
      </c>
      <c r="Z937">
        <v>268599117.80000001</v>
      </c>
      <c r="AA937">
        <v>270179117.80000001</v>
      </c>
      <c r="AB937">
        <v>9103346703.6580143</v>
      </c>
      <c r="AC937">
        <v>8229645.0138000008</v>
      </c>
      <c r="AD937">
        <v>9246133811.4761925</v>
      </c>
      <c r="AE937">
        <v>8259612.6518000001</v>
      </c>
      <c r="AF937">
        <v>9719215755.4849567</v>
      </c>
      <c r="AG937">
        <v>8292472.6518000001</v>
      </c>
      <c r="AH937">
        <v>10539917376.2868</v>
      </c>
      <c r="AI937">
        <v>8326572.6518000001</v>
      </c>
      <c r="AJ937">
        <v>11036595694.749041</v>
      </c>
      <c r="AK937">
        <v>8375552.6518000001</v>
      </c>
    </row>
    <row r="938" spans="1:37" x14ac:dyDescent="0.35">
      <c r="A938" t="s">
        <v>10055</v>
      </c>
      <c r="B938">
        <v>103.98</v>
      </c>
      <c r="C938" t="s">
        <v>208</v>
      </c>
      <c r="D938" t="s">
        <v>10056</v>
      </c>
      <c r="E938" t="s">
        <v>10057</v>
      </c>
      <c r="F938">
        <v>3.1E-2</v>
      </c>
      <c r="G938" t="s">
        <v>10058</v>
      </c>
      <c r="H938">
        <v>0.3</v>
      </c>
      <c r="I938">
        <v>0.01</v>
      </c>
      <c r="J938" t="s">
        <v>10059</v>
      </c>
      <c r="K938" t="s">
        <v>10060</v>
      </c>
      <c r="L938" t="s">
        <v>10061</v>
      </c>
      <c r="M938" t="s">
        <v>10062</v>
      </c>
      <c r="N938">
        <v>1106.1651733936201</v>
      </c>
      <c r="O938">
        <v>1119.4391554743429</v>
      </c>
      <c r="P938">
        <v>1172.0527957816371</v>
      </c>
      <c r="Q938">
        <v>1265.817019444168</v>
      </c>
      <c r="R938">
        <v>1317.7155172413791</v>
      </c>
      <c r="S938" t="s">
        <v>10063</v>
      </c>
      <c r="T938" t="s">
        <v>10064</v>
      </c>
      <c r="U938" t="s">
        <v>218</v>
      </c>
      <c r="V938" t="s">
        <v>94</v>
      </c>
      <c r="W938">
        <v>265472419.80000001</v>
      </c>
      <c r="X938">
        <v>266439117.80000001</v>
      </c>
      <c r="Y938">
        <v>267499117.80000001</v>
      </c>
      <c r="Z938">
        <v>268599117.80000001</v>
      </c>
      <c r="AA938">
        <v>270179117.80000001</v>
      </c>
      <c r="AB938">
        <v>9103346703.6580143</v>
      </c>
      <c r="AC938">
        <v>8229645.0138000008</v>
      </c>
      <c r="AD938">
        <v>9246133811.4761925</v>
      </c>
      <c r="AE938">
        <v>8259612.6518000001</v>
      </c>
      <c r="AF938">
        <v>9719215755.4849567</v>
      </c>
      <c r="AG938">
        <v>8292472.6518000001</v>
      </c>
      <c r="AH938">
        <v>10539917376.2868</v>
      </c>
      <c r="AI938">
        <v>8326572.6518000001</v>
      </c>
      <c r="AJ938">
        <v>11036595694.749041</v>
      </c>
      <c r="AK938">
        <v>8375552.6518000001</v>
      </c>
    </row>
    <row r="939" spans="1:37" x14ac:dyDescent="0.35">
      <c r="A939" t="s">
        <v>10065</v>
      </c>
      <c r="B939">
        <v>136.26</v>
      </c>
      <c r="C939" t="s">
        <v>208</v>
      </c>
      <c r="D939" t="s">
        <v>10066</v>
      </c>
      <c r="E939" t="s">
        <v>10067</v>
      </c>
      <c r="F939">
        <v>3.1E-2</v>
      </c>
      <c r="G939" t="s">
        <v>10068</v>
      </c>
      <c r="H939">
        <v>0.25</v>
      </c>
      <c r="J939" t="s">
        <v>10069</v>
      </c>
      <c r="K939" t="s">
        <v>10070</v>
      </c>
      <c r="L939" t="s">
        <v>10071</v>
      </c>
      <c r="M939" t="s">
        <v>10072</v>
      </c>
      <c r="N939">
        <v>1106.1651733936201</v>
      </c>
      <c r="O939">
        <v>1119.4391554743429</v>
      </c>
      <c r="P939">
        <v>1172.0527957816371</v>
      </c>
      <c r="Q939">
        <v>1265.817019444168</v>
      </c>
      <c r="R939">
        <v>1317.7155172413791</v>
      </c>
      <c r="S939" t="s">
        <v>10073</v>
      </c>
      <c r="T939" t="s">
        <v>10074</v>
      </c>
      <c r="U939" t="s">
        <v>10075</v>
      </c>
      <c r="V939" t="s">
        <v>94</v>
      </c>
      <c r="W939">
        <v>265472419.80000001</v>
      </c>
      <c r="X939">
        <v>266439117.80000001</v>
      </c>
      <c r="Y939">
        <v>267499117.80000001</v>
      </c>
      <c r="Z939">
        <v>268599117.80000001</v>
      </c>
      <c r="AA939">
        <v>270179117.80000001</v>
      </c>
      <c r="AB939">
        <v>9103346703.6580143</v>
      </c>
      <c r="AC939">
        <v>8229645.0138000008</v>
      </c>
      <c r="AD939">
        <v>9246133811.4761925</v>
      </c>
      <c r="AE939">
        <v>8259612.6518000001</v>
      </c>
      <c r="AF939">
        <v>9719215755.4849567</v>
      </c>
      <c r="AG939">
        <v>8292472.6518000001</v>
      </c>
      <c r="AH939">
        <v>10539917376.2868</v>
      </c>
      <c r="AI939">
        <v>8326572.6518000001</v>
      </c>
      <c r="AJ939">
        <v>11036595694.749041</v>
      </c>
      <c r="AK939">
        <v>8375552.6518000001</v>
      </c>
    </row>
    <row r="940" spans="1:37" x14ac:dyDescent="0.35">
      <c r="A940" t="s">
        <v>10076</v>
      </c>
      <c r="B940">
        <v>251.03</v>
      </c>
      <c r="C940" t="s">
        <v>208</v>
      </c>
      <c r="D940" t="s">
        <v>10077</v>
      </c>
      <c r="E940" t="s">
        <v>10078</v>
      </c>
      <c r="F940">
        <v>3.1E-2</v>
      </c>
      <c r="G940" t="s">
        <v>10079</v>
      </c>
      <c r="H940">
        <v>0.4</v>
      </c>
      <c r="J940" t="s">
        <v>10080</v>
      </c>
      <c r="K940" t="s">
        <v>10081</v>
      </c>
      <c r="L940" t="s">
        <v>10082</v>
      </c>
      <c r="M940" t="s">
        <v>10083</v>
      </c>
      <c r="N940">
        <v>1106.1651733936201</v>
      </c>
      <c r="O940">
        <v>1119.4391554743429</v>
      </c>
      <c r="P940">
        <v>1172.0527957816371</v>
      </c>
      <c r="Q940">
        <v>1265.817019444168</v>
      </c>
      <c r="R940">
        <v>1317.7155172413791</v>
      </c>
      <c r="S940" t="s">
        <v>10084</v>
      </c>
      <c r="T940" t="s">
        <v>10085</v>
      </c>
      <c r="U940" t="s">
        <v>1523</v>
      </c>
      <c r="V940" t="s">
        <v>94</v>
      </c>
      <c r="W940">
        <v>265472419.80000001</v>
      </c>
      <c r="X940">
        <v>266439117.80000001</v>
      </c>
      <c r="Y940">
        <v>267499117.80000001</v>
      </c>
      <c r="Z940">
        <v>268599117.80000001</v>
      </c>
      <c r="AA940">
        <v>270179117.80000001</v>
      </c>
      <c r="AB940">
        <v>9103346703.6580143</v>
      </c>
      <c r="AC940">
        <v>8229645.0138000008</v>
      </c>
      <c r="AD940">
        <v>9246133811.4761925</v>
      </c>
      <c r="AE940">
        <v>8259612.6518000001</v>
      </c>
      <c r="AF940">
        <v>9719215755.4849567</v>
      </c>
      <c r="AG940">
        <v>8292472.6518000001</v>
      </c>
      <c r="AH940">
        <v>10539917376.2868</v>
      </c>
      <c r="AI940">
        <v>8326572.6518000001</v>
      </c>
      <c r="AJ940">
        <v>11036595694.749041</v>
      </c>
      <c r="AK940">
        <v>8375552.6518000001</v>
      </c>
    </row>
    <row r="941" spans="1:37" x14ac:dyDescent="0.35">
      <c r="A941" t="s">
        <v>10086</v>
      </c>
      <c r="B941">
        <v>7357.72</v>
      </c>
      <c r="C941" t="s">
        <v>2883</v>
      </c>
      <c r="D941" t="s">
        <v>10087</v>
      </c>
      <c r="E941" t="s">
        <v>10088</v>
      </c>
      <c r="F941">
        <v>1.0000000000000001E-5</v>
      </c>
      <c r="G941" t="s">
        <v>10089</v>
      </c>
      <c r="H941">
        <v>0.8</v>
      </c>
      <c r="I941">
        <v>5.05</v>
      </c>
      <c r="J941" t="s">
        <v>10090</v>
      </c>
      <c r="K941" t="s">
        <v>10091</v>
      </c>
      <c r="L941" t="s">
        <v>10092</v>
      </c>
      <c r="M941" t="s">
        <v>10093</v>
      </c>
      <c r="N941">
        <v>125204.97288902799</v>
      </c>
      <c r="O941">
        <v>126707.4325636963</v>
      </c>
      <c r="P941">
        <v>132662.68189419009</v>
      </c>
      <c r="Q941">
        <v>143275.69644572531</v>
      </c>
      <c r="R941">
        <v>149150</v>
      </c>
      <c r="S941" t="s">
        <v>10094</v>
      </c>
      <c r="T941" t="s">
        <v>10095</v>
      </c>
      <c r="U941" t="s">
        <v>10096</v>
      </c>
      <c r="V941" t="s">
        <v>94</v>
      </c>
      <c r="W941">
        <v>265472419.80000001</v>
      </c>
      <c r="X941">
        <v>266439117.80000001</v>
      </c>
      <c r="Y941">
        <v>267499117.80000001</v>
      </c>
      <c r="Z941">
        <v>268599117.80000001</v>
      </c>
      <c r="AA941">
        <v>270179117.80000001</v>
      </c>
      <c r="AB941">
        <v>332384671.23843658</v>
      </c>
      <c r="AC941">
        <v>2654.7241979999999</v>
      </c>
      <c r="AD941">
        <v>337598165.5097425</v>
      </c>
      <c r="AE941">
        <v>2664.3911779999999</v>
      </c>
      <c r="AF941">
        <v>354871503.71677881</v>
      </c>
      <c r="AG941">
        <v>2674.9911780000002</v>
      </c>
      <c r="AH941">
        <v>384837256.67502409</v>
      </c>
      <c r="AI941">
        <v>2685.9911780000002</v>
      </c>
      <c r="AJ941">
        <v>402972154.19870001</v>
      </c>
      <c r="AK941">
        <v>2701.7911779999999</v>
      </c>
    </row>
    <row r="942" spans="1:37" x14ac:dyDescent="0.35">
      <c r="A942" t="s">
        <v>10097</v>
      </c>
      <c r="B942">
        <v>1178.82</v>
      </c>
      <c r="C942" t="s">
        <v>372</v>
      </c>
      <c r="D942" t="s">
        <v>10098</v>
      </c>
      <c r="E942" t="s">
        <v>5233</v>
      </c>
      <c r="F942">
        <v>5.0000000000000001E-4</v>
      </c>
      <c r="G942" t="s">
        <v>10099</v>
      </c>
      <c r="H942">
        <v>0.5</v>
      </c>
      <c r="I942">
        <v>0.01</v>
      </c>
      <c r="J942" t="s">
        <v>10100</v>
      </c>
      <c r="K942" t="s">
        <v>10101</v>
      </c>
      <c r="L942" t="s">
        <v>10102</v>
      </c>
      <c r="M942" t="s">
        <v>10103</v>
      </c>
      <c r="N942">
        <v>6885.5439810146627</v>
      </c>
      <c r="O942">
        <v>6968.1705087868386</v>
      </c>
      <c r="P942">
        <v>7295.6745226998191</v>
      </c>
      <c r="Q942">
        <v>7879.328484515805</v>
      </c>
      <c r="R942">
        <v>8202.3809523809523</v>
      </c>
      <c r="S942" t="s">
        <v>10104</v>
      </c>
      <c r="T942" t="s">
        <v>10105</v>
      </c>
      <c r="U942" t="s">
        <v>10106</v>
      </c>
      <c r="V942" t="s">
        <v>94</v>
      </c>
      <c r="W942">
        <v>265472419.80000001</v>
      </c>
      <c r="X942">
        <v>266439117.80000001</v>
      </c>
      <c r="Y942">
        <v>267499117.80000001</v>
      </c>
      <c r="Z942">
        <v>268599117.80000001</v>
      </c>
      <c r="AA942">
        <v>270179117.80000001</v>
      </c>
      <c r="AB942">
        <v>913961011.13964391</v>
      </c>
      <c r="AC942">
        <v>132736.20989999999</v>
      </c>
      <c r="AD942">
        <v>928296601.52057135</v>
      </c>
      <c r="AE942">
        <v>133219.5589</v>
      </c>
      <c r="AF942">
        <v>975793249.28906894</v>
      </c>
      <c r="AG942">
        <v>133749.5589</v>
      </c>
      <c r="AH942">
        <v>1058190339.8986779</v>
      </c>
      <c r="AI942">
        <v>134299.5589</v>
      </c>
      <c r="AJ942">
        <v>1108056024.7869051</v>
      </c>
      <c r="AK942">
        <v>135089.5589</v>
      </c>
    </row>
    <row r="943" spans="1:37" x14ac:dyDescent="0.35">
      <c r="A943" t="s">
        <v>10107</v>
      </c>
      <c r="B943">
        <v>1781.23</v>
      </c>
      <c r="C943" t="s">
        <v>372</v>
      </c>
      <c r="D943" t="s">
        <v>10108</v>
      </c>
      <c r="E943" t="s">
        <v>10109</v>
      </c>
      <c r="F943">
        <v>5.0000000000000001E-4</v>
      </c>
      <c r="G943" t="s">
        <v>10110</v>
      </c>
      <c r="H943">
        <v>40.700000000000003</v>
      </c>
      <c r="I943">
        <v>15.2</v>
      </c>
      <c r="J943" t="s">
        <v>10111</v>
      </c>
      <c r="K943" t="s">
        <v>10112</v>
      </c>
      <c r="L943" t="s">
        <v>10113</v>
      </c>
      <c r="M943" t="s">
        <v>10114</v>
      </c>
      <c r="N943">
        <v>6885.5439810146627</v>
      </c>
      <c r="O943">
        <v>6968.1705087868386</v>
      </c>
      <c r="P943">
        <v>7295.6745226998191</v>
      </c>
      <c r="Q943">
        <v>7879.328484515805</v>
      </c>
      <c r="R943">
        <v>8202.3809523809523</v>
      </c>
      <c r="S943" t="s">
        <v>10115</v>
      </c>
      <c r="T943" t="s">
        <v>10116</v>
      </c>
      <c r="U943" t="s">
        <v>10117</v>
      </c>
      <c r="V943" t="s">
        <v>94</v>
      </c>
      <c r="W943">
        <v>265472419.80000001</v>
      </c>
      <c r="X943">
        <v>266439117.80000001</v>
      </c>
      <c r="Y943">
        <v>267499117.80000001</v>
      </c>
      <c r="Z943">
        <v>268599117.80000001</v>
      </c>
      <c r="AA943">
        <v>270179117.80000001</v>
      </c>
      <c r="AB943">
        <v>913961011.13964391</v>
      </c>
      <c r="AC943">
        <v>132736.20989999999</v>
      </c>
      <c r="AD943">
        <v>928296601.52057135</v>
      </c>
      <c r="AE943">
        <v>133219.5589</v>
      </c>
      <c r="AF943">
        <v>975793249.28906894</v>
      </c>
      <c r="AG943">
        <v>133749.5589</v>
      </c>
      <c r="AH943">
        <v>1058190339.8986779</v>
      </c>
      <c r="AI943">
        <v>134299.5589</v>
      </c>
      <c r="AJ943">
        <v>1108056024.7869051</v>
      </c>
      <c r="AK943">
        <v>135089.5589</v>
      </c>
    </row>
    <row r="944" spans="1:37" x14ac:dyDescent="0.35">
      <c r="A944" t="s">
        <v>10118</v>
      </c>
      <c r="B944">
        <v>279.99</v>
      </c>
      <c r="C944" t="s">
        <v>372</v>
      </c>
      <c r="D944" t="s">
        <v>10119</v>
      </c>
      <c r="E944" t="s">
        <v>10120</v>
      </c>
      <c r="F944">
        <v>5.0000000000000001E-4</v>
      </c>
      <c r="G944" t="s">
        <v>10121</v>
      </c>
      <c r="H944">
        <v>0.4</v>
      </c>
      <c r="I944">
        <v>0.05</v>
      </c>
      <c r="J944" t="s">
        <v>10122</v>
      </c>
      <c r="K944" t="s">
        <v>10123</v>
      </c>
      <c r="L944" t="s">
        <v>10124</v>
      </c>
      <c r="M944" t="s">
        <v>10125</v>
      </c>
      <c r="N944">
        <v>6885.5439810146627</v>
      </c>
      <c r="O944">
        <v>6968.1705087868386</v>
      </c>
      <c r="P944">
        <v>7295.6745226998191</v>
      </c>
      <c r="Q944">
        <v>7879.328484515805</v>
      </c>
      <c r="R944">
        <v>8202.3809523809523</v>
      </c>
      <c r="S944" t="s">
        <v>10126</v>
      </c>
      <c r="T944" t="s">
        <v>10127</v>
      </c>
      <c r="U944" t="s">
        <v>10128</v>
      </c>
      <c r="V944" t="s">
        <v>94</v>
      </c>
      <c r="W944">
        <v>265472419.80000001</v>
      </c>
      <c r="X944">
        <v>266439117.80000001</v>
      </c>
      <c r="Y944">
        <v>267499117.80000001</v>
      </c>
      <c r="Z944">
        <v>268599117.80000001</v>
      </c>
      <c r="AA944">
        <v>270179117.80000001</v>
      </c>
      <c r="AB944">
        <v>913961011.13964391</v>
      </c>
      <c r="AC944">
        <v>132736.20989999999</v>
      </c>
      <c r="AD944">
        <v>928296601.52057135</v>
      </c>
      <c r="AE944">
        <v>133219.5589</v>
      </c>
      <c r="AF944">
        <v>975793249.28906894</v>
      </c>
      <c r="AG944">
        <v>133749.5589</v>
      </c>
      <c r="AH944">
        <v>1058190339.8986779</v>
      </c>
      <c r="AI944">
        <v>134299.5589</v>
      </c>
      <c r="AJ944">
        <v>1108056024.7869051</v>
      </c>
      <c r="AK944">
        <v>135089.5589</v>
      </c>
    </row>
    <row r="945" spans="1:37" x14ac:dyDescent="0.35">
      <c r="A945" t="s">
        <v>10129</v>
      </c>
      <c r="B945">
        <v>842.42</v>
      </c>
      <c r="C945" t="s">
        <v>372</v>
      </c>
      <c r="D945" t="s">
        <v>10130</v>
      </c>
      <c r="E945" t="s">
        <v>10131</v>
      </c>
      <c r="F945">
        <v>5.0000000000000001E-4</v>
      </c>
      <c r="G945" t="s">
        <v>10132</v>
      </c>
      <c r="H945">
        <v>0.3</v>
      </c>
      <c r="I945">
        <v>0.03</v>
      </c>
      <c r="J945" t="s">
        <v>10133</v>
      </c>
      <c r="K945" t="s">
        <v>10134</v>
      </c>
      <c r="L945" t="s">
        <v>10135</v>
      </c>
      <c r="M945" t="s">
        <v>10136</v>
      </c>
      <c r="N945">
        <v>6885.5439810146627</v>
      </c>
      <c r="O945">
        <v>6968.1705087868386</v>
      </c>
      <c r="P945">
        <v>7295.6745226998191</v>
      </c>
      <c r="Q945">
        <v>7879.328484515805</v>
      </c>
      <c r="R945">
        <v>8202.3809523809523</v>
      </c>
      <c r="S945" t="s">
        <v>10137</v>
      </c>
      <c r="T945" t="s">
        <v>10138</v>
      </c>
      <c r="U945" t="s">
        <v>10139</v>
      </c>
      <c r="V945" t="s">
        <v>94</v>
      </c>
      <c r="W945">
        <v>265472419.80000001</v>
      </c>
      <c r="X945">
        <v>266439117.80000001</v>
      </c>
      <c r="Y945">
        <v>267499117.80000001</v>
      </c>
      <c r="Z945">
        <v>268599117.80000001</v>
      </c>
      <c r="AA945">
        <v>270179117.80000001</v>
      </c>
      <c r="AB945">
        <v>913961011.13964391</v>
      </c>
      <c r="AC945">
        <v>132736.20989999999</v>
      </c>
      <c r="AD945">
        <v>928296601.52057135</v>
      </c>
      <c r="AE945">
        <v>133219.5589</v>
      </c>
      <c r="AF945">
        <v>975793249.28906894</v>
      </c>
      <c r="AG945">
        <v>133749.5589</v>
      </c>
      <c r="AH945">
        <v>1058190339.8986779</v>
      </c>
      <c r="AI945">
        <v>134299.5589</v>
      </c>
      <c r="AJ945">
        <v>1108056024.7869051</v>
      </c>
      <c r="AK945">
        <v>135089.5589</v>
      </c>
    </row>
    <row r="946" spans="1:37" x14ac:dyDescent="0.35">
      <c r="A946" t="s">
        <v>10140</v>
      </c>
      <c r="B946">
        <v>842.42</v>
      </c>
      <c r="C946" t="s">
        <v>372</v>
      </c>
      <c r="D946" t="s">
        <v>10141</v>
      </c>
      <c r="E946" t="s">
        <v>10142</v>
      </c>
      <c r="F946">
        <v>5.0000000000000001E-4</v>
      </c>
      <c r="G946" t="s">
        <v>10143</v>
      </c>
      <c r="H946">
        <v>30505060.199999999</v>
      </c>
      <c r="I946">
        <v>5203010.2</v>
      </c>
      <c r="J946" t="s">
        <v>10144</v>
      </c>
      <c r="K946" t="s">
        <v>10145</v>
      </c>
      <c r="L946" t="s">
        <v>10146</v>
      </c>
      <c r="M946" t="s">
        <v>10147</v>
      </c>
      <c r="N946">
        <v>6885.5439810146627</v>
      </c>
      <c r="O946">
        <v>6968.1705087868386</v>
      </c>
      <c r="P946">
        <v>7295.6745226998191</v>
      </c>
      <c r="Q946">
        <v>7879.328484515805</v>
      </c>
      <c r="R946">
        <v>8202.3809523809523</v>
      </c>
      <c r="S946" t="s">
        <v>10148</v>
      </c>
      <c r="T946" t="s">
        <v>10149</v>
      </c>
      <c r="U946" t="s">
        <v>10150</v>
      </c>
      <c r="V946" t="s">
        <v>94</v>
      </c>
      <c r="W946">
        <v>265472419.80000001</v>
      </c>
      <c r="X946">
        <v>266439117.80000001</v>
      </c>
      <c r="Y946">
        <v>267499117.80000001</v>
      </c>
      <c r="Z946">
        <v>268599117.80000001</v>
      </c>
      <c r="AA946">
        <v>270179117.80000001</v>
      </c>
      <c r="AB946">
        <v>913961011.13964391</v>
      </c>
      <c r="AC946">
        <v>132736.20989999999</v>
      </c>
      <c r="AD946">
        <v>928296601.52057135</v>
      </c>
      <c r="AE946">
        <v>133219.5589</v>
      </c>
      <c r="AF946">
        <v>975793249.28906894</v>
      </c>
      <c r="AG946">
        <v>133749.5589</v>
      </c>
      <c r="AH946">
        <v>1058190339.8986779</v>
      </c>
      <c r="AI946">
        <v>134299.5589</v>
      </c>
      <c r="AJ946">
        <v>1108056024.7869051</v>
      </c>
      <c r="AK946">
        <v>135089.5589</v>
      </c>
    </row>
    <row r="947" spans="1:37" x14ac:dyDescent="0.35">
      <c r="A947" t="s">
        <v>10151</v>
      </c>
      <c r="B947">
        <v>842.42</v>
      </c>
      <c r="C947" t="s">
        <v>372</v>
      </c>
      <c r="D947" t="s">
        <v>10152</v>
      </c>
      <c r="E947" t="s">
        <v>10153</v>
      </c>
      <c r="F947">
        <v>5.0000000000000001E-4</v>
      </c>
      <c r="G947" t="s">
        <v>10154</v>
      </c>
      <c r="H947">
        <v>0.25</v>
      </c>
      <c r="I947">
        <v>0.12</v>
      </c>
      <c r="J947" t="s">
        <v>10155</v>
      </c>
      <c r="K947" t="s">
        <v>10156</v>
      </c>
      <c r="L947" t="s">
        <v>10157</v>
      </c>
      <c r="M947" t="s">
        <v>5999</v>
      </c>
      <c r="N947">
        <v>6885.5439810146627</v>
      </c>
      <c r="O947">
        <v>6968.1705087868386</v>
      </c>
      <c r="P947">
        <v>7295.6745226998191</v>
      </c>
      <c r="Q947">
        <v>7879.328484515805</v>
      </c>
      <c r="R947">
        <v>8202.3809523809523</v>
      </c>
      <c r="S947" t="s">
        <v>10158</v>
      </c>
      <c r="T947" t="s">
        <v>10159</v>
      </c>
      <c r="U947" t="s">
        <v>10160</v>
      </c>
      <c r="V947" t="s">
        <v>94</v>
      </c>
      <c r="W947">
        <v>265472419.80000001</v>
      </c>
      <c r="X947">
        <v>266439117.80000001</v>
      </c>
      <c r="Y947">
        <v>267499117.80000001</v>
      </c>
      <c r="Z947">
        <v>268599117.80000001</v>
      </c>
      <c r="AA947">
        <v>270179117.80000001</v>
      </c>
      <c r="AB947">
        <v>913961011.13964391</v>
      </c>
      <c r="AC947">
        <v>132736.20989999999</v>
      </c>
      <c r="AD947">
        <v>928296601.52057135</v>
      </c>
      <c r="AE947">
        <v>133219.5589</v>
      </c>
      <c r="AF947">
        <v>975793249.28906894</v>
      </c>
      <c r="AG947">
        <v>133749.5589</v>
      </c>
      <c r="AH947">
        <v>1058190339.8986779</v>
      </c>
      <c r="AI947">
        <v>134299.5589</v>
      </c>
      <c r="AJ947">
        <v>1108056024.7869051</v>
      </c>
      <c r="AK947">
        <v>135089.5589</v>
      </c>
    </row>
    <row r="948" spans="1:37" x14ac:dyDescent="0.35">
      <c r="A948" t="s">
        <v>10161</v>
      </c>
      <c r="B948">
        <v>54.75</v>
      </c>
      <c r="C948" t="s">
        <v>1614</v>
      </c>
      <c r="D948" t="s">
        <v>10162</v>
      </c>
      <c r="E948" t="s">
        <v>10163</v>
      </c>
      <c r="F948">
        <v>0.05</v>
      </c>
      <c r="G948" t="s">
        <v>10164</v>
      </c>
      <c r="H948">
        <v>0.15</v>
      </c>
      <c r="I948">
        <v>0.01</v>
      </c>
      <c r="J948" t="s">
        <v>10165</v>
      </c>
      <c r="K948" t="s">
        <v>10166</v>
      </c>
      <c r="L948" t="s">
        <v>10167</v>
      </c>
      <c r="M948" t="s">
        <v>10168</v>
      </c>
      <c r="N948">
        <v>67.15653926330701</v>
      </c>
      <c r="O948">
        <v>67.962417734466698</v>
      </c>
      <c r="P948">
        <v>71.156651367986626</v>
      </c>
      <c r="Q948">
        <v>76.849183477425555</v>
      </c>
      <c r="R948">
        <v>80</v>
      </c>
      <c r="S948" t="s">
        <v>6281</v>
      </c>
      <c r="T948" t="s">
        <v>1567</v>
      </c>
      <c r="U948" t="s">
        <v>10169</v>
      </c>
      <c r="V948" t="s">
        <v>1017</v>
      </c>
      <c r="W948">
        <v>331357816</v>
      </c>
      <c r="X948">
        <v>331968553.60000002</v>
      </c>
      <c r="Y948">
        <v>333028553.60000002</v>
      </c>
      <c r="Z948">
        <v>334128553.60000002</v>
      </c>
      <c r="AA948">
        <v>336128553.60000002</v>
      </c>
      <c r="AB948">
        <v>1112642209.0203829</v>
      </c>
      <c r="AC948">
        <v>16567890.800000001</v>
      </c>
      <c r="AD948">
        <v>1128069275.723495</v>
      </c>
      <c r="AE948">
        <v>16598427.68</v>
      </c>
      <c r="AF948">
        <v>1184859834.205003</v>
      </c>
      <c r="AG948">
        <v>16651427.68</v>
      </c>
      <c r="AH948">
        <v>1283875326.032661</v>
      </c>
      <c r="AI948">
        <v>16706427.68</v>
      </c>
      <c r="AJ948">
        <v>1344514214.4000001</v>
      </c>
      <c r="AK948">
        <v>16806427.68</v>
      </c>
    </row>
    <row r="949" spans="1:37" x14ac:dyDescent="0.35">
      <c r="A949" t="s">
        <v>10170</v>
      </c>
      <c r="B949">
        <v>132.53</v>
      </c>
      <c r="C949" t="s">
        <v>487</v>
      </c>
      <c r="D949" t="s">
        <v>10171</v>
      </c>
      <c r="E949" t="s">
        <v>10172</v>
      </c>
      <c r="F949">
        <v>2.8000000000000001E-2</v>
      </c>
      <c r="G949" t="s">
        <v>10173</v>
      </c>
      <c r="H949">
        <v>3050.28</v>
      </c>
      <c r="I949">
        <v>0.01</v>
      </c>
      <c r="J949" t="s">
        <v>10174</v>
      </c>
      <c r="K949" t="s">
        <v>10175</v>
      </c>
      <c r="L949" t="s">
        <v>10176</v>
      </c>
      <c r="M949" t="s">
        <v>10177</v>
      </c>
      <c r="N949">
        <v>4761.448013576749</v>
      </c>
      <c r="O949">
        <v>4818.5853897396701</v>
      </c>
      <c r="P949">
        <v>5045.0589030574338</v>
      </c>
      <c r="Q949">
        <v>5448.663615302029</v>
      </c>
      <c r="R949">
        <v>5672.0588235294117</v>
      </c>
      <c r="S949" t="s">
        <v>10178</v>
      </c>
      <c r="T949" t="s">
        <v>10179</v>
      </c>
      <c r="U949" t="s">
        <v>10180</v>
      </c>
      <c r="V949" t="s">
        <v>94</v>
      </c>
      <c r="W949">
        <v>265472419.80000001</v>
      </c>
      <c r="X949">
        <v>266439117.80000001</v>
      </c>
      <c r="Y949">
        <v>267499117.80000001</v>
      </c>
      <c r="Z949">
        <v>268599117.80000001</v>
      </c>
      <c r="AA949">
        <v>270179117.80000001</v>
      </c>
      <c r="AB949">
        <v>35392927525.651443</v>
      </c>
      <c r="AC949">
        <v>7433227.7544000009</v>
      </c>
      <c r="AD949">
        <v>35948069928.013786</v>
      </c>
      <c r="AE949">
        <v>7460295.2984000007</v>
      </c>
      <c r="AF949">
        <v>37787366562.873177</v>
      </c>
      <c r="AG949">
        <v>7489975.2984000007</v>
      </c>
      <c r="AH949">
        <v>40978174727.254341</v>
      </c>
      <c r="AI949">
        <v>7520775.2984000007</v>
      </c>
      <c r="AJ949">
        <v>42909211773.424713</v>
      </c>
      <c r="AK949">
        <v>7565015.2984000007</v>
      </c>
    </row>
    <row r="950" spans="1:37" x14ac:dyDescent="0.35">
      <c r="A950" t="s">
        <v>10181</v>
      </c>
      <c r="B950">
        <v>8995.84</v>
      </c>
      <c r="C950" t="s">
        <v>348</v>
      </c>
      <c r="D950" t="s">
        <v>10182</v>
      </c>
      <c r="E950" t="s">
        <v>10183</v>
      </c>
      <c r="F950">
        <v>5.0000000000000001E-4</v>
      </c>
      <c r="G950" t="s">
        <v>10184</v>
      </c>
      <c r="H950">
        <v>70.5</v>
      </c>
      <c r="I950">
        <v>42.37</v>
      </c>
      <c r="J950" t="s">
        <v>10185</v>
      </c>
      <c r="K950" t="s">
        <v>10186</v>
      </c>
      <c r="L950" t="s">
        <v>10187</v>
      </c>
      <c r="M950" t="s">
        <v>10188</v>
      </c>
      <c r="N950">
        <v>128436.8813410747</v>
      </c>
      <c r="O950">
        <v>129978.1239171676</v>
      </c>
      <c r="P950">
        <v>136087.09574127439</v>
      </c>
      <c r="Q950">
        <v>146974.06340057639</v>
      </c>
      <c r="R950">
        <v>153000</v>
      </c>
      <c r="S950" t="s">
        <v>10189</v>
      </c>
      <c r="T950" t="s">
        <v>10190</v>
      </c>
      <c r="U950" t="s">
        <v>10191</v>
      </c>
      <c r="V950" t="s">
        <v>94</v>
      </c>
      <c r="W950">
        <v>265472419.80000001</v>
      </c>
      <c r="X950">
        <v>266439117.80000001</v>
      </c>
      <c r="Y950">
        <v>267499117.80000001</v>
      </c>
      <c r="Z950">
        <v>268599117.80000001</v>
      </c>
      <c r="AA950">
        <v>270179117.80000001</v>
      </c>
      <c r="AB950">
        <v>17048224840.590281</v>
      </c>
      <c r="AC950">
        <v>132736.20989999999</v>
      </c>
      <c r="AD950">
        <v>17315628334.8946</v>
      </c>
      <c r="AE950">
        <v>133219.5589</v>
      </c>
      <c r="AF950">
        <v>18201589027.377529</v>
      </c>
      <c r="AG950">
        <v>133749.5589</v>
      </c>
      <c r="AH950">
        <v>19738551884.438049</v>
      </c>
      <c r="AI950">
        <v>134299.5589</v>
      </c>
      <c r="AJ950">
        <v>20668702511.700001</v>
      </c>
      <c r="AK950">
        <v>135089.5589</v>
      </c>
    </row>
    <row r="951" spans="1:37" x14ac:dyDescent="0.35">
      <c r="A951" t="s">
        <v>10192</v>
      </c>
      <c r="B951">
        <v>417735.33</v>
      </c>
      <c r="C951" t="s">
        <v>3245</v>
      </c>
      <c r="D951" t="s">
        <v>10193</v>
      </c>
      <c r="E951" t="s">
        <v>10194</v>
      </c>
      <c r="F951">
        <v>9.7000000000000003E-6</v>
      </c>
      <c r="G951" t="s">
        <v>10195</v>
      </c>
      <c r="H951">
        <v>0.3</v>
      </c>
      <c r="I951">
        <v>0.15</v>
      </c>
      <c r="J951" t="s">
        <v>10196</v>
      </c>
      <c r="K951" t="s">
        <v>10197</v>
      </c>
      <c r="L951" t="s">
        <v>10198</v>
      </c>
      <c r="M951" t="s">
        <v>10199</v>
      </c>
      <c r="N951">
        <v>219517.93771693471</v>
      </c>
      <c r="O951">
        <v>222152.152969538</v>
      </c>
      <c r="P951">
        <v>232593.30415910631</v>
      </c>
      <c r="Q951">
        <v>251200.76849183481</v>
      </c>
      <c r="R951">
        <v>261500</v>
      </c>
      <c r="S951" t="s">
        <v>10200</v>
      </c>
      <c r="T951" t="s">
        <v>10201</v>
      </c>
      <c r="U951" t="s">
        <v>10202</v>
      </c>
      <c r="V951" t="s">
        <v>94</v>
      </c>
      <c r="W951">
        <v>265472419.80000001</v>
      </c>
      <c r="X951">
        <v>266439117.80000001</v>
      </c>
      <c r="Y951">
        <v>267499117.80000001</v>
      </c>
      <c r="Z951">
        <v>268599117.80000001</v>
      </c>
      <c r="AA951">
        <v>270179117.80000001</v>
      </c>
      <c r="AB951">
        <v>565276793.71763742</v>
      </c>
      <c r="AC951">
        <v>2575.0824720599999</v>
      </c>
      <c r="AD951">
        <v>574143229.44937122</v>
      </c>
      <c r="AE951">
        <v>2584.4594426600001</v>
      </c>
      <c r="AF951">
        <v>603519485.58685553</v>
      </c>
      <c r="AG951">
        <v>2594.7414426599998</v>
      </c>
      <c r="AH951">
        <v>654481356.63361204</v>
      </c>
      <c r="AI951">
        <v>2605.4114426599999</v>
      </c>
      <c r="AJ951">
        <v>685322841.25559008</v>
      </c>
      <c r="AK951">
        <v>2620.7374426599999</v>
      </c>
    </row>
    <row r="952" spans="1:37" x14ac:dyDescent="0.35">
      <c r="A952" t="s">
        <v>10203</v>
      </c>
      <c r="B952">
        <v>386.94</v>
      </c>
      <c r="C952" t="s">
        <v>5914</v>
      </c>
      <c r="D952" t="s">
        <v>10204</v>
      </c>
      <c r="E952" t="s">
        <v>10205</v>
      </c>
      <c r="F952">
        <v>5.0000000000000002E-5</v>
      </c>
      <c r="G952" t="s">
        <v>10206</v>
      </c>
      <c r="H952">
        <v>20.25</v>
      </c>
      <c r="I952">
        <v>10.14</v>
      </c>
      <c r="J952" t="s">
        <v>10207</v>
      </c>
      <c r="K952" t="s">
        <v>10208</v>
      </c>
      <c r="L952" t="s">
        <v>10209</v>
      </c>
      <c r="M952" t="s">
        <v>10210</v>
      </c>
      <c r="N952">
        <v>381.95281706005858</v>
      </c>
      <c r="O952">
        <v>386.53625086477928</v>
      </c>
      <c r="P952">
        <v>404.70345465542391</v>
      </c>
      <c r="Q952">
        <v>437.07973102785792</v>
      </c>
      <c r="R952">
        <v>455</v>
      </c>
      <c r="S952" t="s">
        <v>10211</v>
      </c>
      <c r="T952" t="s">
        <v>10212</v>
      </c>
      <c r="U952" t="s">
        <v>10213</v>
      </c>
      <c r="V952" t="s">
        <v>1017</v>
      </c>
      <c r="W952">
        <v>331357816</v>
      </c>
      <c r="X952">
        <v>331968553.60000002</v>
      </c>
      <c r="Y952">
        <v>333028553.60000002</v>
      </c>
      <c r="Z952">
        <v>334128553.60000002</v>
      </c>
      <c r="AA952">
        <v>336128553.60000002</v>
      </c>
      <c r="AB952">
        <v>6328152.5638034288</v>
      </c>
      <c r="AC952">
        <v>16567.890800000001</v>
      </c>
      <c r="AD952">
        <v>6415894.0056773778</v>
      </c>
      <c r="AE952">
        <v>16598.427680000001</v>
      </c>
      <c r="AF952">
        <v>6738890.3070409512</v>
      </c>
      <c r="AG952">
        <v>16651.427680000001</v>
      </c>
      <c r="AH952">
        <v>7302040.9168107612</v>
      </c>
      <c r="AI952">
        <v>16706.427680000001</v>
      </c>
      <c r="AJ952">
        <v>7646924.5944000008</v>
      </c>
      <c r="AK952">
        <v>16806.427680000001</v>
      </c>
    </row>
    <row r="953" spans="1:37" x14ac:dyDescent="0.35">
      <c r="A953" t="s">
        <v>10214</v>
      </c>
      <c r="B953">
        <v>368.36</v>
      </c>
      <c r="C953" t="s">
        <v>2939</v>
      </c>
      <c r="D953" t="s">
        <v>10215</v>
      </c>
      <c r="E953" t="s">
        <v>10216</v>
      </c>
      <c r="F953">
        <v>1.4999999999999999E-2</v>
      </c>
      <c r="G953" t="s">
        <v>10217</v>
      </c>
      <c r="H953">
        <v>25.3</v>
      </c>
      <c r="I953">
        <v>15.2</v>
      </c>
      <c r="J953" t="s">
        <v>10218</v>
      </c>
      <c r="K953" t="s">
        <v>10219</v>
      </c>
      <c r="L953" t="s">
        <v>10220</v>
      </c>
      <c r="M953" t="s">
        <v>10221</v>
      </c>
      <c r="N953">
        <v>4775.5761253907194</v>
      </c>
      <c r="O953">
        <v>4832.8830388954084</v>
      </c>
      <c r="P953">
        <v>5060.0285417234927</v>
      </c>
      <c r="Q953">
        <v>5464.8308250613727</v>
      </c>
      <c r="R953">
        <v>5688.8888888888887</v>
      </c>
      <c r="S953" t="s">
        <v>10222</v>
      </c>
      <c r="T953" t="s">
        <v>10223</v>
      </c>
      <c r="U953" t="s">
        <v>10224</v>
      </c>
      <c r="V953" t="s">
        <v>49</v>
      </c>
      <c r="W953">
        <v>338996155</v>
      </c>
      <c r="X953">
        <v>339500751</v>
      </c>
      <c r="Y953">
        <v>340560751</v>
      </c>
      <c r="Z953">
        <v>341660751</v>
      </c>
      <c r="AA953">
        <v>343660751</v>
      </c>
      <c r="AB953">
        <v>24283529166.258781</v>
      </c>
      <c r="AC953">
        <v>5084942.3250000002</v>
      </c>
      <c r="AD953">
        <v>24611511318.0023</v>
      </c>
      <c r="AE953">
        <v>5092511.2649999997</v>
      </c>
      <c r="AF953">
        <v>25848706803.76181</v>
      </c>
      <c r="AG953">
        <v>5108411.2649999997</v>
      </c>
      <c r="AH953">
        <v>28006773056.67627</v>
      </c>
      <c r="AI953">
        <v>5124911.2649999997</v>
      </c>
      <c r="AJ953">
        <v>29325717418.66666</v>
      </c>
      <c r="AK953">
        <v>5154911.2649999997</v>
      </c>
    </row>
    <row r="954" spans="1:37" x14ac:dyDescent="0.35">
      <c r="A954" t="s">
        <v>10225</v>
      </c>
      <c r="B954">
        <v>13.91</v>
      </c>
      <c r="C954" t="s">
        <v>255</v>
      </c>
      <c r="D954" t="s">
        <v>10226</v>
      </c>
      <c r="E954" t="s">
        <v>10227</v>
      </c>
      <c r="F954">
        <v>4.1999999999999998E-5</v>
      </c>
      <c r="G954" t="s">
        <v>10228</v>
      </c>
      <c r="H954">
        <v>0.8</v>
      </c>
      <c r="I954">
        <v>0.3</v>
      </c>
      <c r="J954" t="s">
        <v>10229</v>
      </c>
      <c r="K954" t="s">
        <v>10230</v>
      </c>
      <c r="L954" t="s">
        <v>10231</v>
      </c>
      <c r="M954" t="s">
        <v>10232</v>
      </c>
      <c r="N954">
        <v>118710.1325836446</v>
      </c>
      <c r="O954">
        <v>120134.6541746483</v>
      </c>
      <c r="P954">
        <v>125780.9829208568</v>
      </c>
      <c r="Q954">
        <v>135843.46155452539</v>
      </c>
      <c r="R954">
        <v>141413.04347826089</v>
      </c>
      <c r="S954" t="s">
        <v>10233</v>
      </c>
      <c r="T954" t="s">
        <v>10234</v>
      </c>
      <c r="U954" t="s">
        <v>10235</v>
      </c>
      <c r="V954" t="s">
        <v>94</v>
      </c>
      <c r="W954">
        <v>265472419.80000001</v>
      </c>
      <c r="X954">
        <v>266439117.80000001</v>
      </c>
      <c r="Y954">
        <v>267499117.80000001</v>
      </c>
      <c r="Z954">
        <v>268599117.80000001</v>
      </c>
      <c r="AA954">
        <v>270179117.80000001</v>
      </c>
      <c r="AB954">
        <v>1323599178.3738761</v>
      </c>
      <c r="AC954">
        <v>11149.8416316</v>
      </c>
      <c r="AD954">
        <v>1344359993.571058</v>
      </c>
      <c r="AE954">
        <v>11190.4429476</v>
      </c>
      <c r="AF954">
        <v>1413144682.628535</v>
      </c>
      <c r="AG954">
        <v>11234.962947599999</v>
      </c>
      <c r="AH954">
        <v>1532472225.162637</v>
      </c>
      <c r="AI954">
        <v>11281.1629476</v>
      </c>
      <c r="AJ954">
        <v>1604687755.959522</v>
      </c>
      <c r="AK954">
        <v>11347.5229476</v>
      </c>
    </row>
    <row r="955" spans="1:37" x14ac:dyDescent="0.35">
      <c r="A955" t="s">
        <v>10236</v>
      </c>
      <c r="B955">
        <v>94.3</v>
      </c>
      <c r="C955" t="s">
        <v>566</v>
      </c>
      <c r="D955" t="s">
        <v>10237</v>
      </c>
      <c r="E955" t="s">
        <v>10238</v>
      </c>
      <c r="F955">
        <v>2.2499999999999999E-4</v>
      </c>
      <c r="G955" t="s">
        <v>10239</v>
      </c>
      <c r="H955">
        <v>0.4</v>
      </c>
      <c r="I955">
        <v>1015.5</v>
      </c>
      <c r="J955" t="s">
        <v>10240</v>
      </c>
      <c r="K955" t="s">
        <v>10241</v>
      </c>
      <c r="L955" t="s">
        <v>10242</v>
      </c>
      <c r="M955" t="s">
        <v>10243</v>
      </c>
      <c r="N955">
        <v>98098.151586384061</v>
      </c>
      <c r="O955">
        <v>99275.329405420678</v>
      </c>
      <c r="P955">
        <v>103941.2698874754</v>
      </c>
      <c r="Q955">
        <v>112256.5714784735</v>
      </c>
      <c r="R955">
        <v>116859.0909090909</v>
      </c>
      <c r="S955" t="s">
        <v>10244</v>
      </c>
      <c r="T955" t="s">
        <v>10245</v>
      </c>
      <c r="U955" t="s">
        <v>10246</v>
      </c>
      <c r="V955" t="s">
        <v>94</v>
      </c>
      <c r="W955">
        <v>265472419.80000001</v>
      </c>
      <c r="X955">
        <v>266439117.80000001</v>
      </c>
      <c r="Y955">
        <v>267499117.80000001</v>
      </c>
      <c r="Z955">
        <v>268599117.80000001</v>
      </c>
      <c r="AA955">
        <v>270179117.80000001</v>
      </c>
      <c r="AB955">
        <v>5859529577.8975325</v>
      </c>
      <c r="AC955">
        <v>59731.294455000003</v>
      </c>
      <c r="AD955">
        <v>5951437016.8690548</v>
      </c>
      <c r="AE955">
        <v>59948.801505000003</v>
      </c>
      <c r="AF955">
        <v>6255944549.5300617</v>
      </c>
      <c r="AG955">
        <v>60187.301505000003</v>
      </c>
      <c r="AH955">
        <v>6784203614.9333897</v>
      </c>
      <c r="AI955">
        <v>60434.801505000003</v>
      </c>
      <c r="AJ955">
        <v>7103899369.9638395</v>
      </c>
      <c r="AK955">
        <v>60790.301505000003</v>
      </c>
    </row>
    <row r="956" spans="1:37" x14ac:dyDescent="0.35">
      <c r="A956" t="s">
        <v>10247</v>
      </c>
      <c r="B956">
        <v>52.54</v>
      </c>
      <c r="C956" t="s">
        <v>4081</v>
      </c>
      <c r="D956" t="s">
        <v>10248</v>
      </c>
      <c r="E956" t="s">
        <v>10249</v>
      </c>
      <c r="F956">
        <v>0.06</v>
      </c>
      <c r="G956" t="s">
        <v>10250</v>
      </c>
      <c r="H956">
        <v>0.15</v>
      </c>
      <c r="I956">
        <v>0.12</v>
      </c>
      <c r="J956" t="s">
        <v>10251</v>
      </c>
      <c r="K956" t="s">
        <v>10252</v>
      </c>
      <c r="L956" t="s">
        <v>10253</v>
      </c>
      <c r="M956" t="s">
        <v>10254</v>
      </c>
      <c r="N956">
        <v>447.71026175538009</v>
      </c>
      <c r="O956">
        <v>453.08278489644471</v>
      </c>
      <c r="P956">
        <v>474.37767578657753</v>
      </c>
      <c r="Q956">
        <v>512.32788984950378</v>
      </c>
      <c r="R956">
        <v>533.33333333333337</v>
      </c>
      <c r="S956" t="s">
        <v>10255</v>
      </c>
      <c r="T956" t="s">
        <v>10256</v>
      </c>
      <c r="U956" t="s">
        <v>10257</v>
      </c>
      <c r="V956" t="s">
        <v>49</v>
      </c>
      <c r="W956">
        <v>338996155</v>
      </c>
      <c r="X956">
        <v>339500751</v>
      </c>
      <c r="Y956">
        <v>340560751</v>
      </c>
      <c r="Z956">
        <v>341660751</v>
      </c>
      <c r="AA956">
        <v>343660751</v>
      </c>
      <c r="AB956">
        <v>9106323437.347044</v>
      </c>
      <c r="AC956">
        <v>20339769.300000001</v>
      </c>
      <c r="AD956">
        <v>9229316744.250864</v>
      </c>
      <c r="AE956">
        <v>20370045.059999999</v>
      </c>
      <c r="AF956">
        <v>9693265051.4106808</v>
      </c>
      <c r="AG956">
        <v>20433645.059999999</v>
      </c>
      <c r="AH956">
        <v>10502539896.253599</v>
      </c>
      <c r="AI956">
        <v>20499645.059999999</v>
      </c>
      <c r="AJ956">
        <v>10997144032</v>
      </c>
      <c r="AK956">
        <v>20619645.059999999</v>
      </c>
    </row>
    <row r="957" spans="1:37" x14ac:dyDescent="0.35">
      <c r="A957" t="s">
        <v>10258</v>
      </c>
      <c r="B957">
        <v>95.68</v>
      </c>
      <c r="C957" t="s">
        <v>2939</v>
      </c>
      <c r="D957" t="s">
        <v>10259</v>
      </c>
      <c r="E957" t="s">
        <v>10260</v>
      </c>
      <c r="F957">
        <v>1.4999999999999999E-2</v>
      </c>
      <c r="G957" t="s">
        <v>10261</v>
      </c>
      <c r="H957">
        <v>0.2</v>
      </c>
      <c r="I957">
        <v>10.15</v>
      </c>
      <c r="J957" t="s">
        <v>10262</v>
      </c>
      <c r="K957" t="s">
        <v>10263</v>
      </c>
      <c r="L957" t="s">
        <v>10264</v>
      </c>
      <c r="M957" t="s">
        <v>10265</v>
      </c>
      <c r="N957">
        <v>4775.5761253907194</v>
      </c>
      <c r="O957">
        <v>4832.8830388954084</v>
      </c>
      <c r="P957">
        <v>5060.0285417234927</v>
      </c>
      <c r="Q957">
        <v>5464.8308250613727</v>
      </c>
      <c r="R957">
        <v>5688.8888888888887</v>
      </c>
      <c r="S957" t="s">
        <v>10266</v>
      </c>
      <c r="T957" t="s">
        <v>10267</v>
      </c>
      <c r="U957" t="s">
        <v>10268</v>
      </c>
      <c r="V957" t="s">
        <v>49</v>
      </c>
      <c r="W957">
        <v>338996155</v>
      </c>
      <c r="X957">
        <v>339500751</v>
      </c>
      <c r="Y957">
        <v>340560751</v>
      </c>
      <c r="Z957">
        <v>341660751</v>
      </c>
      <c r="AA957">
        <v>343660751</v>
      </c>
      <c r="AB957">
        <v>24283529166.258781</v>
      </c>
      <c r="AC957">
        <v>5084942.3250000002</v>
      </c>
      <c r="AD957">
        <v>24611511318.0023</v>
      </c>
      <c r="AE957">
        <v>5092511.2649999997</v>
      </c>
      <c r="AF957">
        <v>25848706803.76181</v>
      </c>
      <c r="AG957">
        <v>5108411.2649999997</v>
      </c>
      <c r="AH957">
        <v>28006773056.67627</v>
      </c>
      <c r="AI957">
        <v>5124911.2649999997</v>
      </c>
      <c r="AJ957">
        <v>29325717418.66666</v>
      </c>
      <c r="AK957">
        <v>5154911.2649999997</v>
      </c>
    </row>
    <row r="958" spans="1:37" x14ac:dyDescent="0.35">
      <c r="A958" t="s">
        <v>10269</v>
      </c>
      <c r="B958">
        <v>214</v>
      </c>
      <c r="C958" t="s">
        <v>1402</v>
      </c>
      <c r="D958" t="s">
        <v>10270</v>
      </c>
      <c r="E958" t="s">
        <v>10271</v>
      </c>
      <c r="F958">
        <v>0.3</v>
      </c>
      <c r="G958" t="s">
        <v>10272</v>
      </c>
      <c r="H958">
        <v>5.2</v>
      </c>
      <c r="I958">
        <v>0</v>
      </c>
      <c r="J958" t="s">
        <v>10273</v>
      </c>
      <c r="K958" t="s">
        <v>10274</v>
      </c>
      <c r="L958" t="s">
        <v>10275</v>
      </c>
      <c r="M958" t="s">
        <v>10276</v>
      </c>
      <c r="N958">
        <v>245.54109668146631</v>
      </c>
      <c r="O958">
        <v>248.48758984164391</v>
      </c>
      <c r="P958">
        <v>260.16650656420109</v>
      </c>
      <c r="Q958">
        <v>280.97982708933722</v>
      </c>
      <c r="R958">
        <v>292.5</v>
      </c>
      <c r="S958" t="s">
        <v>10277</v>
      </c>
      <c r="T958" t="s">
        <v>10278</v>
      </c>
      <c r="U958" t="s">
        <v>10279</v>
      </c>
      <c r="V958" t="s">
        <v>49</v>
      </c>
      <c r="W958">
        <v>338996155</v>
      </c>
      <c r="X958">
        <v>339500751</v>
      </c>
      <c r="Y958">
        <v>340560751</v>
      </c>
      <c r="Z958">
        <v>341660751</v>
      </c>
      <c r="AA958">
        <v>343660751</v>
      </c>
      <c r="AB958">
        <v>24971246300.85009</v>
      </c>
      <c r="AC958">
        <v>101698846.5</v>
      </c>
      <c r="AD958">
        <v>25308517009.62542</v>
      </c>
      <c r="AE958">
        <v>101850225.3</v>
      </c>
      <c r="AF958">
        <v>26580750258.165218</v>
      </c>
      <c r="AG958">
        <v>102168225.3</v>
      </c>
      <c r="AH958">
        <v>28799933621.757931</v>
      </c>
      <c r="AI958">
        <v>102498225.3</v>
      </c>
      <c r="AJ958">
        <v>30156230900.25</v>
      </c>
      <c r="AK958">
        <v>103098225.3</v>
      </c>
    </row>
    <row r="959" spans="1:37" x14ac:dyDescent="0.35">
      <c r="A959" t="s">
        <v>10280</v>
      </c>
      <c r="B959">
        <v>35.200000000000003</v>
      </c>
      <c r="C959" t="s">
        <v>360</v>
      </c>
      <c r="D959" t="s">
        <v>10281</v>
      </c>
      <c r="E959" t="s">
        <v>10282</v>
      </c>
      <c r="F959">
        <v>3.4999999999999999E-6</v>
      </c>
      <c r="G959" t="s">
        <v>10283</v>
      </c>
      <c r="H959">
        <v>20.3</v>
      </c>
      <c r="I959">
        <v>0.3</v>
      </c>
      <c r="J959" t="s">
        <v>10284</v>
      </c>
      <c r="K959" t="s">
        <v>10285</v>
      </c>
      <c r="L959" t="s">
        <v>10286</v>
      </c>
      <c r="M959" t="s">
        <v>10287</v>
      </c>
      <c r="N959">
        <v>54010.646702514663</v>
      </c>
      <c r="O959">
        <v>54658.774462944843</v>
      </c>
      <c r="P959">
        <v>57227.736862703241</v>
      </c>
      <c r="Q959">
        <v>61805.955811719497</v>
      </c>
      <c r="R959">
        <v>64340</v>
      </c>
      <c r="S959" t="s">
        <v>10288</v>
      </c>
      <c r="T959" t="s">
        <v>10289</v>
      </c>
      <c r="U959" t="s">
        <v>10290</v>
      </c>
      <c r="V959" t="s">
        <v>49</v>
      </c>
      <c r="W959">
        <v>338996155</v>
      </c>
      <c r="X959">
        <v>339500751</v>
      </c>
      <c r="Y959">
        <v>340560751</v>
      </c>
      <c r="Z959">
        <v>341660751</v>
      </c>
      <c r="AA959">
        <v>343660751</v>
      </c>
      <c r="AB959">
        <v>64082905.464255638</v>
      </c>
      <c r="AC959">
        <v>1186.4865425</v>
      </c>
      <c r="AD959">
        <v>64948432.426182874</v>
      </c>
      <c r="AE959">
        <v>1188.2526284999999</v>
      </c>
      <c r="AF959">
        <v>68213323.653974101</v>
      </c>
      <c r="AG959">
        <v>1191.9626284999999</v>
      </c>
      <c r="AH959">
        <v>73908342.476167142</v>
      </c>
      <c r="AI959">
        <v>1195.8126285000001</v>
      </c>
      <c r="AJ959">
        <v>77388964.517690003</v>
      </c>
      <c r="AK959">
        <v>1202.8126285000001</v>
      </c>
    </row>
    <row r="960" spans="1:37" x14ac:dyDescent="0.35">
      <c r="A960" t="s">
        <v>10291</v>
      </c>
      <c r="B960">
        <v>24.94</v>
      </c>
      <c r="C960" t="s">
        <v>2436</v>
      </c>
      <c r="D960" t="s">
        <v>6871</v>
      </c>
      <c r="E960" t="s">
        <v>10292</v>
      </c>
      <c r="F960">
        <v>1.4999999999999999E-2</v>
      </c>
      <c r="G960" t="s">
        <v>10293</v>
      </c>
      <c r="H960">
        <v>0.1</v>
      </c>
      <c r="I960">
        <v>15.25</v>
      </c>
      <c r="J960" t="s">
        <v>10294</v>
      </c>
      <c r="K960" t="s">
        <v>10295</v>
      </c>
      <c r="L960" t="s">
        <v>10296</v>
      </c>
      <c r="M960" t="s">
        <v>10297</v>
      </c>
      <c r="N960">
        <v>2999.6587537610458</v>
      </c>
      <c r="O960">
        <v>3035.6546588061792</v>
      </c>
      <c r="P960">
        <v>3178.330427770069</v>
      </c>
      <c r="Q960">
        <v>3432.5968619916748</v>
      </c>
      <c r="R960">
        <v>3573.333333333333</v>
      </c>
      <c r="S960" t="s">
        <v>10298</v>
      </c>
      <c r="T960" t="s">
        <v>10299</v>
      </c>
      <c r="U960" t="s">
        <v>8015</v>
      </c>
      <c r="V960" t="s">
        <v>49</v>
      </c>
      <c r="W960">
        <v>338996155</v>
      </c>
      <c r="X960">
        <v>339500751</v>
      </c>
      <c r="Y960">
        <v>340560751</v>
      </c>
      <c r="Z960">
        <v>341660751</v>
      </c>
      <c r="AA960">
        <v>343660751</v>
      </c>
      <c r="AB960">
        <v>15253091757.556299</v>
      </c>
      <c r="AC960">
        <v>5084942.3250000002</v>
      </c>
      <c r="AD960">
        <v>15459105546.620199</v>
      </c>
      <c r="AE960">
        <v>5092511.2649999997</v>
      </c>
      <c r="AF960">
        <v>16236218961.11289</v>
      </c>
      <c r="AG960">
        <v>5108411.2649999997</v>
      </c>
      <c r="AH960">
        <v>17591754326.224781</v>
      </c>
      <c r="AI960">
        <v>5124911.2649999997</v>
      </c>
      <c r="AJ960">
        <v>18420216253.599998</v>
      </c>
      <c r="AK960">
        <v>5154911.2649999997</v>
      </c>
    </row>
    <row r="961" spans="1:37" x14ac:dyDescent="0.35">
      <c r="A961" t="s">
        <v>10300</v>
      </c>
      <c r="B961">
        <v>23.62</v>
      </c>
      <c r="C961" t="s">
        <v>2939</v>
      </c>
      <c r="D961" t="s">
        <v>10301</v>
      </c>
      <c r="E961" t="s">
        <v>10302</v>
      </c>
      <c r="F961">
        <v>1.4999999999999999E-2</v>
      </c>
      <c r="G961" t="s">
        <v>10303</v>
      </c>
      <c r="H961">
        <v>0.2</v>
      </c>
      <c r="I961">
        <v>0.5</v>
      </c>
      <c r="J961" t="s">
        <v>10304</v>
      </c>
      <c r="K961" t="s">
        <v>10305</v>
      </c>
      <c r="L961" t="s">
        <v>10306</v>
      </c>
      <c r="M961" t="s">
        <v>10307</v>
      </c>
      <c r="N961">
        <v>4775.5761253907194</v>
      </c>
      <c r="O961">
        <v>4832.8830388954084</v>
      </c>
      <c r="P961">
        <v>5060.0285417234927</v>
      </c>
      <c r="Q961">
        <v>5464.8308250613727</v>
      </c>
      <c r="R961">
        <v>5688.8888888888887</v>
      </c>
      <c r="S961" t="s">
        <v>10308</v>
      </c>
      <c r="T961" t="s">
        <v>10309</v>
      </c>
      <c r="U961" t="s">
        <v>10310</v>
      </c>
      <c r="V961" t="s">
        <v>49</v>
      </c>
      <c r="W961">
        <v>338996155</v>
      </c>
      <c r="X961">
        <v>339500751</v>
      </c>
      <c r="Y961">
        <v>340560751</v>
      </c>
      <c r="Z961">
        <v>341660751</v>
      </c>
      <c r="AA961">
        <v>343660751</v>
      </c>
      <c r="AB961">
        <v>24283529166.258781</v>
      </c>
      <c r="AC961">
        <v>5084942.3250000002</v>
      </c>
      <c r="AD961">
        <v>24611511318.0023</v>
      </c>
      <c r="AE961">
        <v>5092511.2649999997</v>
      </c>
      <c r="AF961">
        <v>25848706803.76181</v>
      </c>
      <c r="AG961">
        <v>5108411.2649999997</v>
      </c>
      <c r="AH961">
        <v>28006773056.67627</v>
      </c>
      <c r="AI961">
        <v>5124911.2649999997</v>
      </c>
      <c r="AJ961">
        <v>29325717418.66666</v>
      </c>
      <c r="AK961">
        <v>5154911.2649999997</v>
      </c>
    </row>
    <row r="962" spans="1:37" x14ac:dyDescent="0.35">
      <c r="A962" t="s">
        <v>10311</v>
      </c>
      <c r="B962">
        <v>42.21</v>
      </c>
      <c r="C962" t="s">
        <v>4081</v>
      </c>
      <c r="D962" t="s">
        <v>10312</v>
      </c>
      <c r="E962" t="s">
        <v>10313</v>
      </c>
      <c r="F962">
        <v>0.06</v>
      </c>
      <c r="G962" t="s">
        <v>10314</v>
      </c>
      <c r="H962">
        <v>12.2</v>
      </c>
      <c r="I962">
        <v>0.15</v>
      </c>
      <c r="J962" t="s">
        <v>10315</v>
      </c>
      <c r="K962" t="s">
        <v>10316</v>
      </c>
      <c r="L962" t="s">
        <v>10317</v>
      </c>
      <c r="M962" t="s">
        <v>10318</v>
      </c>
      <c r="N962">
        <v>447.71026175538009</v>
      </c>
      <c r="O962">
        <v>453.08278489644471</v>
      </c>
      <c r="P962">
        <v>474.37767578657753</v>
      </c>
      <c r="Q962">
        <v>512.32788984950378</v>
      </c>
      <c r="R962">
        <v>533.33333333333337</v>
      </c>
      <c r="S962" t="s">
        <v>10319</v>
      </c>
      <c r="T962" t="s">
        <v>10320</v>
      </c>
      <c r="U962" t="s">
        <v>10321</v>
      </c>
      <c r="V962" t="s">
        <v>49</v>
      </c>
      <c r="W962">
        <v>338996155</v>
      </c>
      <c r="X962">
        <v>339500751</v>
      </c>
      <c r="Y962">
        <v>340560751</v>
      </c>
      <c r="Z962">
        <v>341660751</v>
      </c>
      <c r="AA962">
        <v>343660751</v>
      </c>
      <c r="AB962">
        <v>9106323437.347044</v>
      </c>
      <c r="AC962">
        <v>20339769.300000001</v>
      </c>
      <c r="AD962">
        <v>9229316744.250864</v>
      </c>
      <c r="AE962">
        <v>20370045.059999999</v>
      </c>
      <c r="AF962">
        <v>9693265051.4106808</v>
      </c>
      <c r="AG962">
        <v>20433645.059999999</v>
      </c>
      <c r="AH962">
        <v>10502539896.253599</v>
      </c>
      <c r="AI962">
        <v>20499645.059999999</v>
      </c>
      <c r="AJ962">
        <v>10997144032</v>
      </c>
      <c r="AK962">
        <v>20619645.059999999</v>
      </c>
    </row>
    <row r="963" spans="1:37" x14ac:dyDescent="0.35">
      <c r="A963" t="s">
        <v>10322</v>
      </c>
      <c r="B963">
        <v>41.27</v>
      </c>
      <c r="C963" t="s">
        <v>4483</v>
      </c>
      <c r="D963" t="s">
        <v>10323</v>
      </c>
      <c r="E963" t="s">
        <v>10324</v>
      </c>
      <c r="F963">
        <v>2.2499999999999999E-2</v>
      </c>
      <c r="G963" t="s">
        <v>10325</v>
      </c>
      <c r="H963">
        <v>0.2</v>
      </c>
      <c r="I963">
        <v>0.01</v>
      </c>
      <c r="J963" t="s">
        <v>10326</v>
      </c>
      <c r="K963" t="s">
        <v>10327</v>
      </c>
      <c r="L963" t="s">
        <v>10328</v>
      </c>
      <c r="M963" t="s">
        <v>10329</v>
      </c>
      <c r="N963">
        <v>3277.3790255061808</v>
      </c>
      <c r="O963">
        <v>3316.7075738122549</v>
      </c>
      <c r="P963">
        <v>3472.5928297814312</v>
      </c>
      <c r="Q963">
        <v>3750.400256163945</v>
      </c>
      <c r="R963">
        <v>3904.166666666667</v>
      </c>
      <c r="S963" t="s">
        <v>10330</v>
      </c>
      <c r="T963" t="s">
        <v>10331</v>
      </c>
      <c r="U963" t="s">
        <v>10332</v>
      </c>
      <c r="V963" t="s">
        <v>49</v>
      </c>
      <c r="W963">
        <v>338996155</v>
      </c>
      <c r="X963">
        <v>339500751</v>
      </c>
      <c r="Y963">
        <v>340560751</v>
      </c>
      <c r="Z963">
        <v>341660751</v>
      </c>
      <c r="AA963">
        <v>343660751</v>
      </c>
      <c r="AB963">
        <v>24997924982.795448</v>
      </c>
      <c r="AC963">
        <v>7627413.4874999998</v>
      </c>
      <c r="AD963">
        <v>25335556023.52459</v>
      </c>
      <c r="AE963">
        <v>7638766.8975</v>
      </c>
      <c r="AF963">
        <v>26609148495.620529</v>
      </c>
      <c r="AG963">
        <v>7662616.8975</v>
      </c>
      <c r="AH963">
        <v>28830702781.610229</v>
      </c>
      <c r="AI963">
        <v>7687366.8975</v>
      </c>
      <c r="AJ963">
        <v>30188449095.65625</v>
      </c>
      <c r="AK963">
        <v>7732366.8975</v>
      </c>
    </row>
    <row r="964" spans="1:37" x14ac:dyDescent="0.35">
      <c r="A964" t="s">
        <v>10333</v>
      </c>
      <c r="B964">
        <v>39.82</v>
      </c>
      <c r="C964" t="s">
        <v>4483</v>
      </c>
      <c r="D964" t="s">
        <v>10334</v>
      </c>
      <c r="E964" t="s">
        <v>10335</v>
      </c>
      <c r="F964">
        <v>2.2499999999999999E-2</v>
      </c>
      <c r="G964" t="s">
        <v>10336</v>
      </c>
      <c r="H964">
        <v>0.05</v>
      </c>
      <c r="I964">
        <v>0.01</v>
      </c>
      <c r="J964" t="s">
        <v>10337</v>
      </c>
      <c r="K964" t="s">
        <v>10338</v>
      </c>
      <c r="L964" t="s">
        <v>10339</v>
      </c>
      <c r="M964" t="s">
        <v>10340</v>
      </c>
      <c r="N964">
        <v>3277.3790255061808</v>
      </c>
      <c r="O964">
        <v>3316.7075738122549</v>
      </c>
      <c r="P964">
        <v>3472.5928297814312</v>
      </c>
      <c r="Q964">
        <v>3750.400256163945</v>
      </c>
      <c r="R964">
        <v>3904.166666666667</v>
      </c>
      <c r="S964" t="s">
        <v>10341</v>
      </c>
      <c r="T964" t="s">
        <v>10342</v>
      </c>
      <c r="U964" t="s">
        <v>10343</v>
      </c>
      <c r="V964" t="s">
        <v>49</v>
      </c>
      <c r="W964">
        <v>338996155</v>
      </c>
      <c r="X964">
        <v>339500751</v>
      </c>
      <c r="Y964">
        <v>340560751</v>
      </c>
      <c r="Z964">
        <v>341660751</v>
      </c>
      <c r="AA964">
        <v>343660751</v>
      </c>
      <c r="AB964">
        <v>24997924982.795448</v>
      </c>
      <c r="AC964">
        <v>7627413.4874999998</v>
      </c>
      <c r="AD964">
        <v>25335556023.52459</v>
      </c>
      <c r="AE964">
        <v>7638766.8975</v>
      </c>
      <c r="AF964">
        <v>26609148495.620529</v>
      </c>
      <c r="AG964">
        <v>7662616.8975</v>
      </c>
      <c r="AH964">
        <v>28830702781.610229</v>
      </c>
      <c r="AI964">
        <v>7687366.8975</v>
      </c>
      <c r="AJ964">
        <v>30188449095.65625</v>
      </c>
      <c r="AK964">
        <v>7732366.8975</v>
      </c>
    </row>
    <row r="965" spans="1:37" x14ac:dyDescent="0.35">
      <c r="A965" t="s">
        <v>10344</v>
      </c>
      <c r="B965">
        <v>54.89</v>
      </c>
      <c r="C965" t="s">
        <v>4483</v>
      </c>
      <c r="D965" t="s">
        <v>10345</v>
      </c>
      <c r="E965" t="s">
        <v>10346</v>
      </c>
      <c r="F965">
        <v>2.2499999999999999E-2</v>
      </c>
      <c r="G965" t="s">
        <v>10347</v>
      </c>
      <c r="H965">
        <v>0.1</v>
      </c>
      <c r="I965">
        <v>0.01</v>
      </c>
      <c r="J965" t="s">
        <v>10348</v>
      </c>
      <c r="K965" t="s">
        <v>10349</v>
      </c>
      <c r="L965" t="s">
        <v>10350</v>
      </c>
      <c r="M965" t="s">
        <v>10351</v>
      </c>
      <c r="N965">
        <v>3277.3790255061808</v>
      </c>
      <c r="O965">
        <v>3316.7075738122549</v>
      </c>
      <c r="P965">
        <v>3472.5928297814312</v>
      </c>
      <c r="Q965">
        <v>3750.400256163945</v>
      </c>
      <c r="R965">
        <v>3904.166666666667</v>
      </c>
      <c r="S965" t="s">
        <v>10352</v>
      </c>
      <c r="T965" t="s">
        <v>10353</v>
      </c>
      <c r="U965" t="s">
        <v>10354</v>
      </c>
      <c r="V965" t="s">
        <v>49</v>
      </c>
      <c r="W965">
        <v>338996155</v>
      </c>
      <c r="X965">
        <v>339500751</v>
      </c>
      <c r="Y965">
        <v>340560751</v>
      </c>
      <c r="Z965">
        <v>341660751</v>
      </c>
      <c r="AA965">
        <v>343660751</v>
      </c>
      <c r="AB965">
        <v>24997924982.795448</v>
      </c>
      <c r="AC965">
        <v>7627413.4874999998</v>
      </c>
      <c r="AD965">
        <v>25335556023.52459</v>
      </c>
      <c r="AE965">
        <v>7638766.8975</v>
      </c>
      <c r="AF965">
        <v>26609148495.620529</v>
      </c>
      <c r="AG965">
        <v>7662616.8975</v>
      </c>
      <c r="AH965">
        <v>28830702781.610229</v>
      </c>
      <c r="AI965">
        <v>7687366.8975</v>
      </c>
      <c r="AJ965">
        <v>30188449095.65625</v>
      </c>
      <c r="AK965">
        <v>7732366.8975</v>
      </c>
    </row>
    <row r="966" spans="1:37" x14ac:dyDescent="0.35">
      <c r="A966" t="s">
        <v>10355</v>
      </c>
      <c r="B966">
        <v>145.33000000000001</v>
      </c>
      <c r="C966" t="s">
        <v>4483</v>
      </c>
      <c r="D966" t="s">
        <v>10356</v>
      </c>
      <c r="E966" t="s">
        <v>10357</v>
      </c>
      <c r="F966">
        <v>2.2499999999999999E-2</v>
      </c>
      <c r="G966" t="s">
        <v>10358</v>
      </c>
      <c r="H966">
        <v>0.3</v>
      </c>
      <c r="I966">
        <v>0.01</v>
      </c>
      <c r="J966" t="s">
        <v>10359</v>
      </c>
      <c r="K966" t="s">
        <v>10360</v>
      </c>
      <c r="L966" t="s">
        <v>10361</v>
      </c>
      <c r="M966" t="s">
        <v>10362</v>
      </c>
      <c r="N966">
        <v>3277.3790255061808</v>
      </c>
      <c r="O966">
        <v>3316.7075738122549</v>
      </c>
      <c r="P966">
        <v>3472.5928297814312</v>
      </c>
      <c r="Q966">
        <v>3750.400256163945</v>
      </c>
      <c r="R966">
        <v>3904.166666666667</v>
      </c>
      <c r="S966" t="s">
        <v>10363</v>
      </c>
      <c r="T966" t="s">
        <v>10364</v>
      </c>
      <c r="U966" t="s">
        <v>10365</v>
      </c>
      <c r="V966" t="s">
        <v>49</v>
      </c>
      <c r="W966">
        <v>338996155</v>
      </c>
      <c r="X966">
        <v>339500751</v>
      </c>
      <c r="Y966">
        <v>340560751</v>
      </c>
      <c r="Z966">
        <v>341660751</v>
      </c>
      <c r="AA966">
        <v>343660751</v>
      </c>
      <c r="AB966">
        <v>24997924982.795448</v>
      </c>
      <c r="AC966">
        <v>7627413.4874999998</v>
      </c>
      <c r="AD966">
        <v>25335556023.52459</v>
      </c>
      <c r="AE966">
        <v>7638766.8975</v>
      </c>
      <c r="AF966">
        <v>26609148495.620529</v>
      </c>
      <c r="AG966">
        <v>7662616.8975</v>
      </c>
      <c r="AH966">
        <v>28830702781.610229</v>
      </c>
      <c r="AI966">
        <v>7687366.8975</v>
      </c>
      <c r="AJ966">
        <v>30188449095.65625</v>
      </c>
      <c r="AK966">
        <v>7732366.8975</v>
      </c>
    </row>
    <row r="967" spans="1:37" x14ac:dyDescent="0.35">
      <c r="A967" t="s">
        <v>10366</v>
      </c>
      <c r="B967">
        <v>236.78</v>
      </c>
      <c r="C967" t="s">
        <v>4483</v>
      </c>
      <c r="D967" t="s">
        <v>10367</v>
      </c>
      <c r="E967" t="s">
        <v>10368</v>
      </c>
      <c r="F967">
        <v>2.2499999999999999E-2</v>
      </c>
      <c r="G967" t="s">
        <v>10369</v>
      </c>
      <c r="H967">
        <v>0.1</v>
      </c>
      <c r="I967">
        <v>0.01</v>
      </c>
      <c r="J967" t="s">
        <v>10370</v>
      </c>
      <c r="K967" t="s">
        <v>10371</v>
      </c>
      <c r="L967" t="s">
        <v>10372</v>
      </c>
      <c r="M967" t="s">
        <v>10373</v>
      </c>
      <c r="N967">
        <v>3277.3790255061808</v>
      </c>
      <c r="O967">
        <v>3316.7075738122549</v>
      </c>
      <c r="P967">
        <v>3472.5928297814312</v>
      </c>
      <c r="Q967">
        <v>3750.400256163945</v>
      </c>
      <c r="R967">
        <v>3904.166666666667</v>
      </c>
      <c r="S967" t="s">
        <v>10374</v>
      </c>
      <c r="T967" t="s">
        <v>10375</v>
      </c>
      <c r="U967" t="s">
        <v>10376</v>
      </c>
      <c r="V967" t="s">
        <v>49</v>
      </c>
      <c r="W967">
        <v>338996155</v>
      </c>
      <c r="X967">
        <v>339500751</v>
      </c>
      <c r="Y967">
        <v>340560751</v>
      </c>
      <c r="Z967">
        <v>341660751</v>
      </c>
      <c r="AA967">
        <v>343660751</v>
      </c>
      <c r="AB967">
        <v>24997924982.795448</v>
      </c>
      <c r="AC967">
        <v>7627413.4874999998</v>
      </c>
      <c r="AD967">
        <v>25335556023.52459</v>
      </c>
      <c r="AE967">
        <v>7638766.8975</v>
      </c>
      <c r="AF967">
        <v>26609148495.620529</v>
      </c>
      <c r="AG967">
        <v>7662616.8975</v>
      </c>
      <c r="AH967">
        <v>28830702781.610229</v>
      </c>
      <c r="AI967">
        <v>7687366.8975</v>
      </c>
      <c r="AJ967">
        <v>30188449095.65625</v>
      </c>
      <c r="AK967">
        <v>7732366.8975</v>
      </c>
    </row>
    <row r="968" spans="1:37" x14ac:dyDescent="0.35">
      <c r="A968" t="s">
        <v>10377</v>
      </c>
      <c r="B968">
        <v>179.07</v>
      </c>
      <c r="C968" t="s">
        <v>313</v>
      </c>
      <c r="D968" t="s">
        <v>10378</v>
      </c>
      <c r="E968" t="s">
        <v>10379</v>
      </c>
      <c r="F968">
        <v>0.05</v>
      </c>
      <c r="G968" t="s">
        <v>10380</v>
      </c>
      <c r="H968">
        <v>0.3</v>
      </c>
      <c r="I968">
        <v>10.3</v>
      </c>
      <c r="J968" t="s">
        <v>10381</v>
      </c>
      <c r="K968" t="s">
        <v>10382</v>
      </c>
      <c r="L968" t="s">
        <v>10383</v>
      </c>
      <c r="M968" t="s">
        <v>10384</v>
      </c>
      <c r="N968">
        <v>2615.6406066244381</v>
      </c>
      <c r="O968">
        <v>2647.0282939039312</v>
      </c>
      <c r="P968">
        <v>2771.4386237174158</v>
      </c>
      <c r="Q968">
        <v>2993.153713614809</v>
      </c>
      <c r="R968">
        <v>3115.8730158730159</v>
      </c>
      <c r="S968" t="s">
        <v>10385</v>
      </c>
      <c r="T968" t="s">
        <v>10386</v>
      </c>
      <c r="U968" t="s">
        <v>10387</v>
      </c>
      <c r="V968" t="s">
        <v>49</v>
      </c>
      <c r="W968">
        <v>338996155</v>
      </c>
      <c r="X968">
        <v>339500751</v>
      </c>
      <c r="Y968">
        <v>340560751</v>
      </c>
      <c r="Z968">
        <v>341660751</v>
      </c>
      <c r="AA968">
        <v>343660751</v>
      </c>
      <c r="AB968">
        <v>44334605425.377602</v>
      </c>
      <c r="AC968">
        <v>16949807.75</v>
      </c>
      <c r="AD968">
        <v>44933404684.931664</v>
      </c>
      <c r="AE968">
        <v>16975037.550000001</v>
      </c>
      <c r="AF968">
        <v>47192160952.180481</v>
      </c>
      <c r="AG968">
        <v>17028037.550000001</v>
      </c>
      <c r="AH968">
        <v>51132157282.603729</v>
      </c>
      <c r="AI968">
        <v>17083037.550000001</v>
      </c>
      <c r="AJ968">
        <v>53540163032.777786</v>
      </c>
      <c r="AK968">
        <v>17183037.550000001</v>
      </c>
    </row>
    <row r="969" spans="1:37" x14ac:dyDescent="0.35">
      <c r="A969" t="s">
        <v>10388</v>
      </c>
      <c r="B969">
        <v>23.62</v>
      </c>
      <c r="C969" t="s">
        <v>4081</v>
      </c>
      <c r="D969" t="s">
        <v>10389</v>
      </c>
      <c r="E969" t="s">
        <v>10390</v>
      </c>
      <c r="F969">
        <v>0.06</v>
      </c>
      <c r="G969" t="s">
        <v>10391</v>
      </c>
      <c r="H969">
        <v>102020.3</v>
      </c>
      <c r="I969">
        <v>151.01</v>
      </c>
      <c r="J969" t="s">
        <v>10392</v>
      </c>
      <c r="K969" t="s">
        <v>10393</v>
      </c>
      <c r="L969" t="s">
        <v>10394</v>
      </c>
      <c r="M969" t="s">
        <v>10395</v>
      </c>
      <c r="N969">
        <v>447.71026175538009</v>
      </c>
      <c r="O969">
        <v>453.08278489644471</v>
      </c>
      <c r="P969">
        <v>474.37767578657753</v>
      </c>
      <c r="Q969">
        <v>512.32788984950378</v>
      </c>
      <c r="R969">
        <v>533.33333333333337</v>
      </c>
      <c r="S969" t="s">
        <v>10396</v>
      </c>
      <c r="T969" t="s">
        <v>4570</v>
      </c>
      <c r="U969" t="s">
        <v>10397</v>
      </c>
      <c r="V969" t="s">
        <v>49</v>
      </c>
      <c r="W969">
        <v>338996155</v>
      </c>
      <c r="X969">
        <v>339500751</v>
      </c>
      <c r="Y969">
        <v>340560751</v>
      </c>
      <c r="Z969">
        <v>341660751</v>
      </c>
      <c r="AA969">
        <v>343660751</v>
      </c>
      <c r="AB969">
        <v>9106323437.347044</v>
      </c>
      <c r="AC969">
        <v>20339769.300000001</v>
      </c>
      <c r="AD969">
        <v>9229316744.250864</v>
      </c>
      <c r="AE969">
        <v>20370045.059999999</v>
      </c>
      <c r="AF969">
        <v>9693265051.4106808</v>
      </c>
      <c r="AG969">
        <v>20433645.059999999</v>
      </c>
      <c r="AH969">
        <v>10502539896.253599</v>
      </c>
      <c r="AI969">
        <v>20499645.059999999</v>
      </c>
      <c r="AJ969">
        <v>10997144032</v>
      </c>
      <c r="AK969">
        <v>20619645.059999999</v>
      </c>
    </row>
    <row r="970" spans="1:37" x14ac:dyDescent="0.35">
      <c r="A970" t="s">
        <v>10398</v>
      </c>
      <c r="B970">
        <v>46.48</v>
      </c>
      <c r="C970" t="s">
        <v>4081</v>
      </c>
      <c r="D970" t="s">
        <v>10399</v>
      </c>
      <c r="E970" t="s">
        <v>10400</v>
      </c>
      <c r="F970">
        <v>0.06</v>
      </c>
      <c r="G970" t="s">
        <v>10401</v>
      </c>
      <c r="H970">
        <v>0.15</v>
      </c>
      <c r="I970">
        <v>0.1</v>
      </c>
      <c r="J970" t="s">
        <v>10402</v>
      </c>
      <c r="K970" t="s">
        <v>10403</v>
      </c>
      <c r="L970" t="s">
        <v>10404</v>
      </c>
      <c r="M970" t="s">
        <v>10405</v>
      </c>
      <c r="N970">
        <v>447.71026175538009</v>
      </c>
      <c r="O970">
        <v>453.08278489644471</v>
      </c>
      <c r="P970">
        <v>474.37767578657753</v>
      </c>
      <c r="Q970">
        <v>512.32788984950378</v>
      </c>
      <c r="R970">
        <v>533.33333333333337</v>
      </c>
      <c r="S970" t="s">
        <v>10406</v>
      </c>
      <c r="T970" t="s">
        <v>10407</v>
      </c>
      <c r="U970" t="s">
        <v>10408</v>
      </c>
      <c r="V970" t="s">
        <v>49</v>
      </c>
      <c r="W970">
        <v>338996155</v>
      </c>
      <c r="X970">
        <v>339500751</v>
      </c>
      <c r="Y970">
        <v>340560751</v>
      </c>
      <c r="Z970">
        <v>341660751</v>
      </c>
      <c r="AA970">
        <v>343660751</v>
      </c>
      <c r="AB970">
        <v>9106323437.347044</v>
      </c>
      <c r="AC970">
        <v>20339769.300000001</v>
      </c>
      <c r="AD970">
        <v>9229316744.250864</v>
      </c>
      <c r="AE970">
        <v>20370045.059999999</v>
      </c>
      <c r="AF970">
        <v>9693265051.4106808</v>
      </c>
      <c r="AG970">
        <v>20433645.059999999</v>
      </c>
      <c r="AH970">
        <v>10502539896.253599</v>
      </c>
      <c r="AI970">
        <v>20499645.059999999</v>
      </c>
      <c r="AJ970">
        <v>10997144032</v>
      </c>
      <c r="AK970">
        <v>20619645.059999999</v>
      </c>
    </row>
    <row r="971" spans="1:37" x14ac:dyDescent="0.35">
      <c r="A971" t="s">
        <v>10409</v>
      </c>
      <c r="B971">
        <v>4112.0600000000004</v>
      </c>
      <c r="C971" t="s">
        <v>2883</v>
      </c>
      <c r="D971" t="s">
        <v>10410</v>
      </c>
      <c r="E971" t="s">
        <v>10411</v>
      </c>
      <c r="F971">
        <v>1.0000000000000001E-5</v>
      </c>
      <c r="G971" t="s">
        <v>10412</v>
      </c>
      <c r="H971">
        <v>0.3</v>
      </c>
      <c r="I971">
        <v>5304060.7</v>
      </c>
      <c r="J971" t="s">
        <v>10413</v>
      </c>
      <c r="K971" t="s">
        <v>10414</v>
      </c>
      <c r="L971" t="s">
        <v>10415</v>
      </c>
      <c r="M971" t="s">
        <v>10416</v>
      </c>
      <c r="N971">
        <v>125204.97288902799</v>
      </c>
      <c r="O971">
        <v>126707.4325636963</v>
      </c>
      <c r="P971">
        <v>132662.68189419009</v>
      </c>
      <c r="Q971">
        <v>143275.69644572531</v>
      </c>
      <c r="R971">
        <v>149150</v>
      </c>
      <c r="S971" t="s">
        <v>10417</v>
      </c>
      <c r="T971" t="s">
        <v>10418</v>
      </c>
      <c r="U971" t="s">
        <v>10419</v>
      </c>
      <c r="V971" t="s">
        <v>94</v>
      </c>
      <c r="W971">
        <v>265472419.80000001</v>
      </c>
      <c r="X971">
        <v>266439117.80000001</v>
      </c>
      <c r="Y971">
        <v>267499117.80000001</v>
      </c>
      <c r="Z971">
        <v>268599117.80000001</v>
      </c>
      <c r="AA971">
        <v>270179117.80000001</v>
      </c>
      <c r="AB971">
        <v>332384671.23843658</v>
      </c>
      <c r="AC971">
        <v>2654.7241979999999</v>
      </c>
      <c r="AD971">
        <v>337598165.5097425</v>
      </c>
      <c r="AE971">
        <v>2664.3911779999999</v>
      </c>
      <c r="AF971">
        <v>354871503.71677881</v>
      </c>
      <c r="AG971">
        <v>2674.9911780000002</v>
      </c>
      <c r="AH971">
        <v>384837256.67502409</v>
      </c>
      <c r="AI971">
        <v>2685.9911780000002</v>
      </c>
      <c r="AJ971">
        <v>402972154.19870001</v>
      </c>
      <c r="AK971">
        <v>2701.7911779999999</v>
      </c>
    </row>
    <row r="972" spans="1:37" x14ac:dyDescent="0.35">
      <c r="A972" t="s">
        <v>10420</v>
      </c>
      <c r="B972">
        <v>31.36</v>
      </c>
      <c r="C972" t="s">
        <v>231</v>
      </c>
      <c r="D972" t="s">
        <v>10421</v>
      </c>
      <c r="E972" t="s">
        <v>10422</v>
      </c>
      <c r="F972">
        <v>0.191</v>
      </c>
      <c r="G972" t="s">
        <v>10423</v>
      </c>
      <c r="H972">
        <v>30.5</v>
      </c>
      <c r="I972">
        <v>1.2</v>
      </c>
      <c r="J972" t="s">
        <v>10424</v>
      </c>
      <c r="K972" t="s">
        <v>10425</v>
      </c>
      <c r="L972" t="s">
        <v>10426</v>
      </c>
      <c r="M972" t="s">
        <v>10427</v>
      </c>
      <c r="N972">
        <v>725.9551939635088</v>
      </c>
      <c r="O972">
        <v>734.66665629107092</v>
      </c>
      <c r="P972">
        <v>769.19598913675122</v>
      </c>
      <c r="Q972">
        <v>830.73166826769136</v>
      </c>
      <c r="R972">
        <v>864.79166666666663</v>
      </c>
      <c r="S972" t="s">
        <v>10428</v>
      </c>
      <c r="T972" t="s">
        <v>10429</v>
      </c>
      <c r="U972" t="s">
        <v>241</v>
      </c>
      <c r="V972" t="s">
        <v>94</v>
      </c>
      <c r="W972">
        <v>265472419.80000001</v>
      </c>
      <c r="X972">
        <v>266439117.80000001</v>
      </c>
      <c r="Y972">
        <v>267499117.80000001</v>
      </c>
      <c r="Z972">
        <v>268599117.80000001</v>
      </c>
      <c r="AA972">
        <v>270179117.80000001</v>
      </c>
      <c r="AB972">
        <v>36809726663.503357</v>
      </c>
      <c r="AC972">
        <v>50705232.1818</v>
      </c>
      <c r="AD972">
        <v>37387091733.840332</v>
      </c>
      <c r="AE972">
        <v>50889871.499799997</v>
      </c>
      <c r="AF972">
        <v>39300016465.291458</v>
      </c>
      <c r="AG972">
        <v>51092331.499799997</v>
      </c>
      <c r="AH972">
        <v>42618554506.017807</v>
      </c>
      <c r="AI972">
        <v>51302431.499799997</v>
      </c>
      <c r="AJ972">
        <v>44626892069.931213</v>
      </c>
      <c r="AK972">
        <v>51604211.499799997</v>
      </c>
    </row>
    <row r="973" spans="1:37" x14ac:dyDescent="0.35">
      <c r="A973" t="s">
        <v>10430</v>
      </c>
      <c r="B973">
        <v>229.26</v>
      </c>
      <c r="C973" t="s">
        <v>566</v>
      </c>
      <c r="D973" t="s">
        <v>10431</v>
      </c>
      <c r="E973" t="s">
        <v>10432</v>
      </c>
      <c r="F973">
        <v>2.2499999999999999E-4</v>
      </c>
      <c r="G973" t="s">
        <v>10433</v>
      </c>
      <c r="H973">
        <v>0.5</v>
      </c>
      <c r="I973">
        <v>0</v>
      </c>
      <c r="J973" t="s">
        <v>10434</v>
      </c>
      <c r="K973" t="s">
        <v>10435</v>
      </c>
      <c r="L973" t="s">
        <v>10436</v>
      </c>
      <c r="M973" t="s">
        <v>10437</v>
      </c>
      <c r="N973">
        <v>98098.151586384061</v>
      </c>
      <c r="O973">
        <v>99275.329405420678</v>
      </c>
      <c r="P973">
        <v>103941.2698874754</v>
      </c>
      <c r="Q973">
        <v>112256.5714784735</v>
      </c>
      <c r="R973">
        <v>116859.0909090909</v>
      </c>
      <c r="S973" t="s">
        <v>10438</v>
      </c>
      <c r="T973" t="s">
        <v>10439</v>
      </c>
      <c r="U973" t="s">
        <v>10440</v>
      </c>
      <c r="V973" t="s">
        <v>94</v>
      </c>
      <c r="W973">
        <v>265472419.80000001</v>
      </c>
      <c r="X973">
        <v>266439117.80000001</v>
      </c>
      <c r="Y973">
        <v>267499117.80000001</v>
      </c>
      <c r="Z973">
        <v>268599117.80000001</v>
      </c>
      <c r="AA973">
        <v>270179117.80000001</v>
      </c>
      <c r="AB973">
        <v>5859529577.8975325</v>
      </c>
      <c r="AC973">
        <v>59731.294455000003</v>
      </c>
      <c r="AD973">
        <v>5951437016.8690548</v>
      </c>
      <c r="AE973">
        <v>59948.801505000003</v>
      </c>
      <c r="AF973">
        <v>6255944549.5300617</v>
      </c>
      <c r="AG973">
        <v>60187.301505000003</v>
      </c>
      <c r="AH973">
        <v>6784203614.9333897</v>
      </c>
      <c r="AI973">
        <v>60434.801505000003</v>
      </c>
      <c r="AJ973">
        <v>7103899369.9638395</v>
      </c>
      <c r="AK973">
        <v>60790.301505000003</v>
      </c>
    </row>
    <row r="974" spans="1:37" x14ac:dyDescent="0.35">
      <c r="A974" t="s">
        <v>10441</v>
      </c>
      <c r="B974">
        <v>3078.6</v>
      </c>
      <c r="C974" t="s">
        <v>1092</v>
      </c>
      <c r="D974" t="s">
        <v>10442</v>
      </c>
      <c r="E974" t="s">
        <v>10443</v>
      </c>
      <c r="F974">
        <v>2.9999999999999997E-4</v>
      </c>
      <c r="G974" t="s">
        <v>10444</v>
      </c>
      <c r="H974">
        <v>80.12</v>
      </c>
      <c r="I974">
        <v>90.3</v>
      </c>
      <c r="J974" t="s">
        <v>10445</v>
      </c>
      <c r="K974" t="s">
        <v>10446</v>
      </c>
      <c r="L974" t="s">
        <v>10447</v>
      </c>
      <c r="M974" t="s">
        <v>10448</v>
      </c>
      <c r="N974">
        <v>213551.79873773921</v>
      </c>
      <c r="O974">
        <v>216114.42032259211</v>
      </c>
      <c r="P974">
        <v>226271.79807775389</v>
      </c>
      <c r="Q974">
        <v>244373.5419239742</v>
      </c>
      <c r="R974">
        <v>254392.8571428571</v>
      </c>
      <c r="S974" t="s">
        <v>10449</v>
      </c>
      <c r="T974" t="s">
        <v>10450</v>
      </c>
      <c r="U974" t="s">
        <v>3309</v>
      </c>
      <c r="V974" t="s">
        <v>49</v>
      </c>
      <c r="W974">
        <v>338996155</v>
      </c>
      <c r="X974">
        <v>339500751</v>
      </c>
      <c r="Y974">
        <v>340560751</v>
      </c>
      <c r="Z974">
        <v>341660751</v>
      </c>
      <c r="AA974">
        <v>343660751</v>
      </c>
      <c r="AB974">
        <v>21717971599.628231</v>
      </c>
      <c r="AC974">
        <v>101698.8465</v>
      </c>
      <c r="AD974">
        <v>22011302400.434898</v>
      </c>
      <c r="AE974">
        <v>101850.22530000001</v>
      </c>
      <c r="AF974">
        <v>23117788045.04406</v>
      </c>
      <c r="AG974">
        <v>102168.22530000001</v>
      </c>
      <c r="AH974">
        <v>25047854357.482498</v>
      </c>
      <c r="AI974">
        <v>102498.22530000001</v>
      </c>
      <c r="AJ974">
        <v>26227452100.424992</v>
      </c>
      <c r="AK974">
        <v>103098.22530000001</v>
      </c>
    </row>
    <row r="975" spans="1:37" x14ac:dyDescent="0.35">
      <c r="A975" t="s">
        <v>10451</v>
      </c>
      <c r="B975">
        <v>1459.17</v>
      </c>
      <c r="C975" t="s">
        <v>4253</v>
      </c>
      <c r="D975" t="s">
        <v>10452</v>
      </c>
      <c r="E975" t="s">
        <v>10453</v>
      </c>
      <c r="F975">
        <v>0.25</v>
      </c>
      <c r="G975" t="s">
        <v>10454</v>
      </c>
      <c r="H975">
        <v>0.3</v>
      </c>
      <c r="I975">
        <v>0.04</v>
      </c>
      <c r="J975" t="s">
        <v>10455</v>
      </c>
      <c r="K975" t="s">
        <v>10456</v>
      </c>
      <c r="L975" t="s">
        <v>10457</v>
      </c>
      <c r="M975" t="s">
        <v>10458</v>
      </c>
      <c r="N975">
        <v>6104.049729468441</v>
      </c>
      <c r="O975">
        <v>6177.2983262220623</v>
      </c>
      <c r="P975">
        <v>6467.6313475544976</v>
      </c>
      <c r="Q975">
        <v>6985.0418553588588</v>
      </c>
      <c r="R975">
        <v>7271.4285714285716</v>
      </c>
      <c r="S975" t="s">
        <v>10459</v>
      </c>
      <c r="T975" t="s">
        <v>10460</v>
      </c>
      <c r="U975" t="s">
        <v>3309</v>
      </c>
      <c r="V975" t="s">
        <v>4264</v>
      </c>
      <c r="W975">
        <v>256761605</v>
      </c>
      <c r="X975">
        <v>257719695</v>
      </c>
      <c r="Y975">
        <v>258779695</v>
      </c>
      <c r="Z975">
        <v>259879695</v>
      </c>
      <c r="AA975">
        <v>261179695</v>
      </c>
      <c r="AB975">
        <v>391821401384.5332</v>
      </c>
      <c r="AC975">
        <v>64190401.25</v>
      </c>
      <c r="AD975">
        <v>398002860139.49011</v>
      </c>
      <c r="AE975">
        <v>64429923.75</v>
      </c>
      <c r="AF975">
        <v>418422916873.14801</v>
      </c>
      <c r="AG975">
        <v>64694923.75</v>
      </c>
      <c r="AH975">
        <v>453817636733.22357</v>
      </c>
      <c r="AI975">
        <v>64969923.75</v>
      </c>
      <c r="AJ975">
        <v>474787374125</v>
      </c>
      <c r="AK975">
        <v>65294923.75</v>
      </c>
    </row>
    <row r="976" spans="1:37" x14ac:dyDescent="0.35">
      <c r="A976" t="s">
        <v>10461</v>
      </c>
      <c r="B976">
        <v>48.15</v>
      </c>
      <c r="C976" t="s">
        <v>487</v>
      </c>
      <c r="D976" t="s">
        <v>10462</v>
      </c>
      <c r="E976" t="s">
        <v>10463</v>
      </c>
      <c r="F976">
        <v>2.8000000000000001E-2</v>
      </c>
      <c r="G976" t="s">
        <v>10464</v>
      </c>
      <c r="H976">
        <v>304070.8</v>
      </c>
      <c r="I976">
        <v>1215.2</v>
      </c>
      <c r="J976" t="s">
        <v>10465</v>
      </c>
      <c r="K976" t="s">
        <v>10466</v>
      </c>
      <c r="L976" t="s">
        <v>10467</v>
      </c>
      <c r="M976" t="s">
        <v>10468</v>
      </c>
      <c r="N976">
        <v>4761.448013576749</v>
      </c>
      <c r="O976">
        <v>4818.5853897396701</v>
      </c>
      <c r="P976">
        <v>5045.0589030574338</v>
      </c>
      <c r="Q976">
        <v>5448.663615302029</v>
      </c>
      <c r="R976">
        <v>5672.0588235294117</v>
      </c>
      <c r="S976" t="s">
        <v>10469</v>
      </c>
      <c r="T976" t="s">
        <v>10470</v>
      </c>
      <c r="U976" t="s">
        <v>840</v>
      </c>
      <c r="V976" t="s">
        <v>94</v>
      </c>
      <c r="W976">
        <v>265472419.80000001</v>
      </c>
      <c r="X976">
        <v>266439117.80000001</v>
      </c>
      <c r="Y976">
        <v>267499117.80000001</v>
      </c>
      <c r="Z976">
        <v>268599117.80000001</v>
      </c>
      <c r="AA976">
        <v>270179117.80000001</v>
      </c>
      <c r="AB976">
        <v>35392927525.651443</v>
      </c>
      <c r="AC976">
        <v>7433227.7544000009</v>
      </c>
      <c r="AD976">
        <v>35948069928.013786</v>
      </c>
      <c r="AE976">
        <v>7460295.2984000007</v>
      </c>
      <c r="AF976">
        <v>37787366562.873177</v>
      </c>
      <c r="AG976">
        <v>7489975.2984000007</v>
      </c>
      <c r="AH976">
        <v>40978174727.254341</v>
      </c>
      <c r="AI976">
        <v>7520775.2984000007</v>
      </c>
      <c r="AJ976">
        <v>42909211773.424713</v>
      </c>
      <c r="AK976">
        <v>7565015.2984000007</v>
      </c>
    </row>
    <row r="977" spans="1:37" x14ac:dyDescent="0.35">
      <c r="A977" t="s">
        <v>10471</v>
      </c>
      <c r="B977">
        <v>17.64</v>
      </c>
      <c r="C977" t="s">
        <v>208</v>
      </c>
      <c r="D977" t="s">
        <v>10472</v>
      </c>
      <c r="E977" t="s">
        <v>10473</v>
      </c>
      <c r="F977">
        <v>3.1E-2</v>
      </c>
      <c r="G977" t="s">
        <v>10474</v>
      </c>
      <c r="H977">
        <v>0.4</v>
      </c>
      <c r="I977">
        <v>0.1</v>
      </c>
      <c r="J977" t="s">
        <v>10475</v>
      </c>
      <c r="K977" t="s">
        <v>10476</v>
      </c>
      <c r="L977" t="s">
        <v>10477</v>
      </c>
      <c r="M977" t="s">
        <v>215</v>
      </c>
      <c r="N977">
        <v>1106.1651733936201</v>
      </c>
      <c r="O977">
        <v>1119.4391554743429</v>
      </c>
      <c r="P977">
        <v>1172.0527957816371</v>
      </c>
      <c r="Q977">
        <v>1265.817019444168</v>
      </c>
      <c r="R977">
        <v>1317.7155172413791</v>
      </c>
      <c r="S977" t="s">
        <v>10478</v>
      </c>
      <c r="T977" t="s">
        <v>10479</v>
      </c>
      <c r="U977" t="s">
        <v>10480</v>
      </c>
      <c r="V977" t="s">
        <v>94</v>
      </c>
      <c r="W977">
        <v>265472419.80000001</v>
      </c>
      <c r="X977">
        <v>266439117.80000001</v>
      </c>
      <c r="Y977">
        <v>267499117.80000001</v>
      </c>
      <c r="Z977">
        <v>268599117.80000001</v>
      </c>
      <c r="AA977">
        <v>270179117.80000001</v>
      </c>
      <c r="AB977">
        <v>9103346703.6580143</v>
      </c>
      <c r="AC977">
        <v>8229645.0138000008</v>
      </c>
      <c r="AD977">
        <v>9246133811.4761925</v>
      </c>
      <c r="AE977">
        <v>8259612.6518000001</v>
      </c>
      <c r="AF977">
        <v>9719215755.4849567</v>
      </c>
      <c r="AG977">
        <v>8292472.6518000001</v>
      </c>
      <c r="AH977">
        <v>10539917376.2868</v>
      </c>
      <c r="AI977">
        <v>8326572.6518000001</v>
      </c>
      <c r="AJ977">
        <v>11036595694.749041</v>
      </c>
      <c r="AK977">
        <v>8375552.6518000001</v>
      </c>
    </row>
    <row r="978" spans="1:37" x14ac:dyDescent="0.35">
      <c r="A978" t="s">
        <v>10481</v>
      </c>
      <c r="B978">
        <v>331.2</v>
      </c>
      <c r="C978" t="s">
        <v>3178</v>
      </c>
      <c r="D978" t="s">
        <v>10482</v>
      </c>
      <c r="E978" t="s">
        <v>3854</v>
      </c>
      <c r="F978">
        <v>8.0000000000000007E-5</v>
      </c>
      <c r="G978" t="s">
        <v>10483</v>
      </c>
      <c r="H978">
        <v>0.3</v>
      </c>
      <c r="I978">
        <v>0.01</v>
      </c>
      <c r="J978" t="s">
        <v>10484</v>
      </c>
      <c r="K978" t="s">
        <v>10485</v>
      </c>
      <c r="L978" t="s">
        <v>10486</v>
      </c>
      <c r="M978" t="s">
        <v>10487</v>
      </c>
      <c r="N978">
        <v>78331.807125091684</v>
      </c>
      <c r="O978">
        <v>79271.788810592785</v>
      </c>
      <c r="P978">
        <v>82997.562884690647</v>
      </c>
      <c r="Q978">
        <v>89637.367915465904</v>
      </c>
      <c r="R978">
        <v>93312.5</v>
      </c>
      <c r="S978" t="s">
        <v>10488</v>
      </c>
      <c r="T978" t="s">
        <v>1589</v>
      </c>
      <c r="U978" t="s">
        <v>10489</v>
      </c>
      <c r="V978" t="s">
        <v>49</v>
      </c>
      <c r="W978">
        <v>338996155</v>
      </c>
      <c r="X978">
        <v>339500751</v>
      </c>
      <c r="Y978">
        <v>340560751</v>
      </c>
      <c r="Z978">
        <v>341660751</v>
      </c>
      <c r="AA978">
        <v>343660751</v>
      </c>
      <c r="AB978">
        <v>2124334514.3686149</v>
      </c>
      <c r="AC978">
        <v>27119.6924</v>
      </c>
      <c r="AD978">
        <v>2153026546.744772</v>
      </c>
      <c r="AE978">
        <v>27160.060079999999</v>
      </c>
      <c r="AF978">
        <v>2261256987.7743979</v>
      </c>
      <c r="AG978">
        <v>27244.860079999999</v>
      </c>
      <c r="AH978">
        <v>2450045635.1729112</v>
      </c>
      <c r="AI978">
        <v>27332.860079999999</v>
      </c>
      <c r="AJ978">
        <v>2565427506.2150002</v>
      </c>
      <c r="AK978">
        <v>27492.860079999999</v>
      </c>
    </row>
    <row r="979" spans="1:37" x14ac:dyDescent="0.35">
      <c r="A979" t="s">
        <v>10490</v>
      </c>
      <c r="B979">
        <v>29.68</v>
      </c>
      <c r="C979" t="s">
        <v>313</v>
      </c>
      <c r="D979" t="s">
        <v>10491</v>
      </c>
      <c r="E979" t="s">
        <v>10492</v>
      </c>
      <c r="F979">
        <v>0.05</v>
      </c>
      <c r="G979" t="s">
        <v>10493</v>
      </c>
      <c r="H979">
        <v>0.3</v>
      </c>
      <c r="I979">
        <v>0.1</v>
      </c>
      <c r="J979" t="s">
        <v>10494</v>
      </c>
      <c r="K979" t="s">
        <v>10495</v>
      </c>
      <c r="L979" t="s">
        <v>10496</v>
      </c>
      <c r="M979" t="s">
        <v>10497</v>
      </c>
      <c r="N979">
        <v>2615.6406066244381</v>
      </c>
      <c r="O979">
        <v>2647.0282939039312</v>
      </c>
      <c r="P979">
        <v>2771.4386237174158</v>
      </c>
      <c r="Q979">
        <v>2993.153713614809</v>
      </c>
      <c r="R979">
        <v>3115.8730158730159</v>
      </c>
      <c r="S979" t="s">
        <v>10498</v>
      </c>
      <c r="T979" t="s">
        <v>10499</v>
      </c>
      <c r="U979" t="s">
        <v>10500</v>
      </c>
      <c r="V979" t="s">
        <v>49</v>
      </c>
      <c r="W979">
        <v>338996155</v>
      </c>
      <c r="X979">
        <v>339500751</v>
      </c>
      <c r="Y979">
        <v>340560751</v>
      </c>
      <c r="Z979">
        <v>341660751</v>
      </c>
      <c r="AA979">
        <v>343660751</v>
      </c>
      <c r="AB979">
        <v>44334605425.377602</v>
      </c>
      <c r="AC979">
        <v>16949807.75</v>
      </c>
      <c r="AD979">
        <v>44933404684.931664</v>
      </c>
      <c r="AE979">
        <v>16975037.550000001</v>
      </c>
      <c r="AF979">
        <v>47192160952.180481</v>
      </c>
      <c r="AG979">
        <v>17028037.550000001</v>
      </c>
      <c r="AH979">
        <v>51132157282.603729</v>
      </c>
      <c r="AI979">
        <v>17083037.550000001</v>
      </c>
      <c r="AJ979">
        <v>53540163032.777786</v>
      </c>
      <c r="AK979">
        <v>17183037.550000001</v>
      </c>
    </row>
    <row r="980" spans="1:37" x14ac:dyDescent="0.35">
      <c r="A980" t="s">
        <v>10501</v>
      </c>
      <c r="B980">
        <v>9.1199999999999992</v>
      </c>
      <c r="C980" t="s">
        <v>313</v>
      </c>
      <c r="D980" t="s">
        <v>10502</v>
      </c>
      <c r="E980" t="s">
        <v>10503</v>
      </c>
      <c r="F980">
        <v>0.05</v>
      </c>
      <c r="G980" t="s">
        <v>10504</v>
      </c>
      <c r="H980">
        <v>0.3</v>
      </c>
      <c r="I980">
        <v>0.1</v>
      </c>
      <c r="J980" t="s">
        <v>10505</v>
      </c>
      <c r="K980" t="s">
        <v>10506</v>
      </c>
      <c r="L980" t="s">
        <v>10507</v>
      </c>
      <c r="M980" t="s">
        <v>10508</v>
      </c>
      <c r="N980">
        <v>2615.6406066244381</v>
      </c>
      <c r="O980">
        <v>2647.0282939039312</v>
      </c>
      <c r="P980">
        <v>2771.4386237174158</v>
      </c>
      <c r="Q980">
        <v>2993.153713614809</v>
      </c>
      <c r="R980">
        <v>3115.8730158730159</v>
      </c>
      <c r="S980" t="s">
        <v>10509</v>
      </c>
      <c r="T980" t="s">
        <v>1867</v>
      </c>
      <c r="U980" t="s">
        <v>10510</v>
      </c>
      <c r="V980" t="s">
        <v>49</v>
      </c>
      <c r="W980">
        <v>338996155</v>
      </c>
      <c r="X980">
        <v>339500751</v>
      </c>
      <c r="Y980">
        <v>340560751</v>
      </c>
      <c r="Z980">
        <v>341660751</v>
      </c>
      <c r="AA980">
        <v>343660751</v>
      </c>
      <c r="AB980">
        <v>44334605425.377602</v>
      </c>
      <c r="AC980">
        <v>16949807.75</v>
      </c>
      <c r="AD980">
        <v>44933404684.931664</v>
      </c>
      <c r="AE980">
        <v>16975037.550000001</v>
      </c>
      <c r="AF980">
        <v>47192160952.180481</v>
      </c>
      <c r="AG980">
        <v>17028037.550000001</v>
      </c>
      <c r="AH980">
        <v>51132157282.603729</v>
      </c>
      <c r="AI980">
        <v>17083037.550000001</v>
      </c>
      <c r="AJ980">
        <v>53540163032.777786</v>
      </c>
      <c r="AK980">
        <v>17183037.550000001</v>
      </c>
    </row>
    <row r="981" spans="1:37" x14ac:dyDescent="0.35">
      <c r="A981" t="s">
        <v>10511</v>
      </c>
      <c r="B981">
        <v>10.08</v>
      </c>
      <c r="C981" t="s">
        <v>313</v>
      </c>
      <c r="D981" t="s">
        <v>10512</v>
      </c>
      <c r="E981" t="s">
        <v>10513</v>
      </c>
      <c r="F981">
        <v>0.05</v>
      </c>
      <c r="G981" t="s">
        <v>10514</v>
      </c>
      <c r="H981">
        <v>0.3</v>
      </c>
      <c r="I981">
        <v>10.199999999999999</v>
      </c>
      <c r="J981" t="s">
        <v>10515</v>
      </c>
      <c r="K981" t="s">
        <v>10516</v>
      </c>
      <c r="L981" t="s">
        <v>10517</v>
      </c>
      <c r="M981" t="s">
        <v>10518</v>
      </c>
      <c r="N981">
        <v>2615.6406066244381</v>
      </c>
      <c r="O981">
        <v>2647.0282939039312</v>
      </c>
      <c r="P981">
        <v>2771.4386237174158</v>
      </c>
      <c r="Q981">
        <v>2993.153713614809</v>
      </c>
      <c r="R981">
        <v>3115.8730158730159</v>
      </c>
      <c r="S981" t="s">
        <v>10519</v>
      </c>
      <c r="T981" t="s">
        <v>10520</v>
      </c>
      <c r="U981" t="s">
        <v>10521</v>
      </c>
      <c r="V981" t="s">
        <v>49</v>
      </c>
      <c r="W981">
        <v>338996155</v>
      </c>
      <c r="X981">
        <v>339500751</v>
      </c>
      <c r="Y981">
        <v>340560751</v>
      </c>
      <c r="Z981">
        <v>341660751</v>
      </c>
      <c r="AA981">
        <v>343660751</v>
      </c>
      <c r="AB981">
        <v>44334605425.377602</v>
      </c>
      <c r="AC981">
        <v>16949807.75</v>
      </c>
      <c r="AD981">
        <v>44933404684.931664</v>
      </c>
      <c r="AE981">
        <v>16975037.550000001</v>
      </c>
      <c r="AF981">
        <v>47192160952.180481</v>
      </c>
      <c r="AG981">
        <v>17028037.550000001</v>
      </c>
      <c r="AH981">
        <v>51132157282.603729</v>
      </c>
      <c r="AI981">
        <v>17083037.550000001</v>
      </c>
      <c r="AJ981">
        <v>53540163032.777786</v>
      </c>
      <c r="AK981">
        <v>17183037.550000001</v>
      </c>
    </row>
    <row r="982" spans="1:37" x14ac:dyDescent="0.35">
      <c r="A982" t="s">
        <v>10522</v>
      </c>
      <c r="B982">
        <v>10.08</v>
      </c>
      <c r="C982" t="s">
        <v>313</v>
      </c>
      <c r="D982" t="s">
        <v>10523</v>
      </c>
      <c r="E982" t="s">
        <v>10524</v>
      </c>
      <c r="F982">
        <v>0.05</v>
      </c>
      <c r="G982" t="s">
        <v>10525</v>
      </c>
      <c r="H982">
        <v>0.3</v>
      </c>
      <c r="I982">
        <v>30.4</v>
      </c>
      <c r="J982" t="s">
        <v>10526</v>
      </c>
      <c r="K982" t="s">
        <v>10527</v>
      </c>
      <c r="L982" t="s">
        <v>10528</v>
      </c>
      <c r="M982" t="s">
        <v>10529</v>
      </c>
      <c r="N982">
        <v>2615.6406066244381</v>
      </c>
      <c r="O982">
        <v>2647.0282939039312</v>
      </c>
      <c r="P982">
        <v>2771.4386237174158</v>
      </c>
      <c r="Q982">
        <v>2993.153713614809</v>
      </c>
      <c r="R982">
        <v>3115.8730158730159</v>
      </c>
      <c r="S982" t="s">
        <v>10530</v>
      </c>
      <c r="T982" t="s">
        <v>10531</v>
      </c>
      <c r="U982" t="s">
        <v>10532</v>
      </c>
      <c r="V982" t="s">
        <v>49</v>
      </c>
      <c r="W982">
        <v>338996155</v>
      </c>
      <c r="X982">
        <v>339500751</v>
      </c>
      <c r="Y982">
        <v>340560751</v>
      </c>
      <c r="Z982">
        <v>341660751</v>
      </c>
      <c r="AA982">
        <v>343660751</v>
      </c>
      <c r="AB982">
        <v>44334605425.377602</v>
      </c>
      <c r="AC982">
        <v>16949807.75</v>
      </c>
      <c r="AD982">
        <v>44933404684.931664</v>
      </c>
      <c r="AE982">
        <v>16975037.550000001</v>
      </c>
      <c r="AF982">
        <v>47192160952.180481</v>
      </c>
      <c r="AG982">
        <v>17028037.550000001</v>
      </c>
      <c r="AH982">
        <v>51132157282.603729</v>
      </c>
      <c r="AI982">
        <v>17083037.550000001</v>
      </c>
      <c r="AJ982">
        <v>53540163032.777786</v>
      </c>
      <c r="AK982">
        <v>17183037.550000001</v>
      </c>
    </row>
    <row r="983" spans="1:37" x14ac:dyDescent="0.35">
      <c r="A983" t="s">
        <v>10533</v>
      </c>
      <c r="B983">
        <v>21.96</v>
      </c>
      <c r="C983" t="s">
        <v>313</v>
      </c>
      <c r="D983" t="s">
        <v>10534</v>
      </c>
      <c r="E983" t="s">
        <v>10535</v>
      </c>
      <c r="F983">
        <v>0.05</v>
      </c>
      <c r="G983" t="s">
        <v>10536</v>
      </c>
      <c r="H983">
        <v>30.5</v>
      </c>
      <c r="I983">
        <v>10.3</v>
      </c>
      <c r="J983" t="s">
        <v>10537</v>
      </c>
      <c r="K983" t="s">
        <v>10538</v>
      </c>
      <c r="L983" t="s">
        <v>10539</v>
      </c>
      <c r="M983" t="s">
        <v>10540</v>
      </c>
      <c r="N983">
        <v>2615.6406066244381</v>
      </c>
      <c r="O983">
        <v>2647.0282939039312</v>
      </c>
      <c r="P983">
        <v>2771.4386237174158</v>
      </c>
      <c r="Q983">
        <v>2993.153713614809</v>
      </c>
      <c r="R983">
        <v>3115.8730158730159</v>
      </c>
      <c r="S983" t="s">
        <v>10541</v>
      </c>
      <c r="T983" t="s">
        <v>10542</v>
      </c>
      <c r="U983" t="s">
        <v>10543</v>
      </c>
      <c r="V983" t="s">
        <v>49</v>
      </c>
      <c r="W983">
        <v>338996155</v>
      </c>
      <c r="X983">
        <v>339500751</v>
      </c>
      <c r="Y983">
        <v>340560751</v>
      </c>
      <c r="Z983">
        <v>341660751</v>
      </c>
      <c r="AA983">
        <v>343660751</v>
      </c>
      <c r="AB983">
        <v>44334605425.377602</v>
      </c>
      <c r="AC983">
        <v>16949807.75</v>
      </c>
      <c r="AD983">
        <v>44933404684.931664</v>
      </c>
      <c r="AE983">
        <v>16975037.550000001</v>
      </c>
      <c r="AF983">
        <v>47192160952.180481</v>
      </c>
      <c r="AG983">
        <v>17028037.550000001</v>
      </c>
      <c r="AH983">
        <v>51132157282.603729</v>
      </c>
      <c r="AI983">
        <v>17083037.550000001</v>
      </c>
      <c r="AJ983">
        <v>53540163032.777786</v>
      </c>
      <c r="AK983">
        <v>17183037.550000001</v>
      </c>
    </row>
    <row r="984" spans="1:37" x14ac:dyDescent="0.35">
      <c r="A984" t="s">
        <v>10544</v>
      </c>
      <c r="B984">
        <v>25.92</v>
      </c>
      <c r="C984" t="s">
        <v>313</v>
      </c>
      <c r="D984" t="s">
        <v>10545</v>
      </c>
      <c r="E984" t="s">
        <v>10546</v>
      </c>
      <c r="F984">
        <v>0.05</v>
      </c>
      <c r="G984" t="s">
        <v>10547</v>
      </c>
      <c r="H984">
        <v>0.3</v>
      </c>
      <c r="I984">
        <v>0.1</v>
      </c>
      <c r="J984" t="s">
        <v>10548</v>
      </c>
      <c r="K984" t="s">
        <v>10549</v>
      </c>
      <c r="L984" t="s">
        <v>10550</v>
      </c>
      <c r="M984" t="s">
        <v>10551</v>
      </c>
      <c r="N984">
        <v>2615.6406066244381</v>
      </c>
      <c r="O984">
        <v>2647.0282939039312</v>
      </c>
      <c r="P984">
        <v>2771.4386237174158</v>
      </c>
      <c r="Q984">
        <v>2993.153713614809</v>
      </c>
      <c r="R984">
        <v>3115.8730158730159</v>
      </c>
      <c r="S984" t="s">
        <v>10552</v>
      </c>
      <c r="T984" t="s">
        <v>5923</v>
      </c>
      <c r="U984" t="s">
        <v>10553</v>
      </c>
      <c r="V984" t="s">
        <v>49</v>
      </c>
      <c r="W984">
        <v>338996155</v>
      </c>
      <c r="X984">
        <v>339500751</v>
      </c>
      <c r="Y984">
        <v>340560751</v>
      </c>
      <c r="Z984">
        <v>341660751</v>
      </c>
      <c r="AA984">
        <v>343660751</v>
      </c>
      <c r="AB984">
        <v>44334605425.377602</v>
      </c>
      <c r="AC984">
        <v>16949807.75</v>
      </c>
      <c r="AD984">
        <v>44933404684.931664</v>
      </c>
      <c r="AE984">
        <v>16975037.550000001</v>
      </c>
      <c r="AF984">
        <v>47192160952.180481</v>
      </c>
      <c r="AG984">
        <v>17028037.550000001</v>
      </c>
      <c r="AH984">
        <v>51132157282.603729</v>
      </c>
      <c r="AI984">
        <v>17083037.550000001</v>
      </c>
      <c r="AJ984">
        <v>53540163032.777786</v>
      </c>
      <c r="AK984">
        <v>17183037.550000001</v>
      </c>
    </row>
    <row r="985" spans="1:37" x14ac:dyDescent="0.35">
      <c r="A985" t="s">
        <v>10554</v>
      </c>
      <c r="B985">
        <v>25.56</v>
      </c>
      <c r="C985" t="s">
        <v>313</v>
      </c>
      <c r="D985" t="s">
        <v>10555</v>
      </c>
      <c r="E985" t="s">
        <v>10556</v>
      </c>
      <c r="F985">
        <v>0.05</v>
      </c>
      <c r="G985" t="s">
        <v>10557</v>
      </c>
      <c r="H985">
        <v>30.5</v>
      </c>
      <c r="I985">
        <v>10.3</v>
      </c>
      <c r="J985" t="s">
        <v>10558</v>
      </c>
      <c r="K985" t="s">
        <v>10559</v>
      </c>
      <c r="L985" t="s">
        <v>10560</v>
      </c>
      <c r="M985" t="s">
        <v>10561</v>
      </c>
      <c r="N985">
        <v>2615.6406066244381</v>
      </c>
      <c r="O985">
        <v>2647.0282939039312</v>
      </c>
      <c r="P985">
        <v>2771.4386237174158</v>
      </c>
      <c r="Q985">
        <v>2993.153713614809</v>
      </c>
      <c r="R985">
        <v>3115.8730158730159</v>
      </c>
      <c r="S985" t="s">
        <v>10562</v>
      </c>
      <c r="T985" t="s">
        <v>10563</v>
      </c>
      <c r="U985" t="s">
        <v>10564</v>
      </c>
      <c r="V985" t="s">
        <v>49</v>
      </c>
      <c r="W985">
        <v>338996155</v>
      </c>
      <c r="X985">
        <v>339500751</v>
      </c>
      <c r="Y985">
        <v>340560751</v>
      </c>
      <c r="Z985">
        <v>341660751</v>
      </c>
      <c r="AA985">
        <v>343660751</v>
      </c>
      <c r="AB985">
        <v>44334605425.377602</v>
      </c>
      <c r="AC985">
        <v>16949807.75</v>
      </c>
      <c r="AD985">
        <v>44933404684.931664</v>
      </c>
      <c r="AE985">
        <v>16975037.550000001</v>
      </c>
      <c r="AF985">
        <v>47192160952.180481</v>
      </c>
      <c r="AG985">
        <v>17028037.550000001</v>
      </c>
      <c r="AH985">
        <v>51132157282.603729</v>
      </c>
      <c r="AI985">
        <v>17083037.550000001</v>
      </c>
      <c r="AJ985">
        <v>53540163032.777786</v>
      </c>
      <c r="AK985">
        <v>17183037.550000001</v>
      </c>
    </row>
    <row r="986" spans="1:37" x14ac:dyDescent="0.35">
      <c r="A986" t="s">
        <v>10565</v>
      </c>
      <c r="B986">
        <v>23.04</v>
      </c>
      <c r="C986" t="s">
        <v>313</v>
      </c>
      <c r="D986" t="s">
        <v>10566</v>
      </c>
      <c r="E986" t="s">
        <v>10567</v>
      </c>
      <c r="F986">
        <v>0.05</v>
      </c>
      <c r="G986" t="s">
        <v>10568</v>
      </c>
      <c r="H986">
        <v>0.3</v>
      </c>
      <c r="I986">
        <v>10.4</v>
      </c>
      <c r="J986" t="s">
        <v>10569</v>
      </c>
      <c r="K986" t="s">
        <v>10570</v>
      </c>
      <c r="L986" t="s">
        <v>10571</v>
      </c>
      <c r="M986" t="s">
        <v>10572</v>
      </c>
      <c r="N986">
        <v>2615.6406066244381</v>
      </c>
      <c r="O986">
        <v>2647.0282939039312</v>
      </c>
      <c r="P986">
        <v>2771.4386237174158</v>
      </c>
      <c r="Q986">
        <v>2993.153713614809</v>
      </c>
      <c r="R986">
        <v>3115.8730158730159</v>
      </c>
      <c r="S986" t="s">
        <v>10573</v>
      </c>
      <c r="T986" t="s">
        <v>322</v>
      </c>
      <c r="U986" t="s">
        <v>10574</v>
      </c>
      <c r="V986" t="s">
        <v>49</v>
      </c>
      <c r="W986">
        <v>338996155</v>
      </c>
      <c r="X986">
        <v>339500751</v>
      </c>
      <c r="Y986">
        <v>340560751</v>
      </c>
      <c r="Z986">
        <v>341660751</v>
      </c>
      <c r="AA986">
        <v>343660751</v>
      </c>
      <c r="AB986">
        <v>44334605425.377602</v>
      </c>
      <c r="AC986">
        <v>16949807.75</v>
      </c>
      <c r="AD986">
        <v>44933404684.931664</v>
      </c>
      <c r="AE986">
        <v>16975037.550000001</v>
      </c>
      <c r="AF986">
        <v>47192160952.180481</v>
      </c>
      <c r="AG986">
        <v>17028037.550000001</v>
      </c>
      <c r="AH986">
        <v>51132157282.603729</v>
      </c>
      <c r="AI986">
        <v>17083037.550000001</v>
      </c>
      <c r="AJ986">
        <v>53540163032.777786</v>
      </c>
      <c r="AK986">
        <v>17183037.550000001</v>
      </c>
    </row>
    <row r="987" spans="1:37" x14ac:dyDescent="0.35">
      <c r="A987" t="s">
        <v>10575</v>
      </c>
      <c r="B987">
        <v>25.44</v>
      </c>
      <c r="C987" t="s">
        <v>313</v>
      </c>
      <c r="D987" t="s">
        <v>10576</v>
      </c>
      <c r="E987" t="s">
        <v>10577</v>
      </c>
      <c r="F987">
        <v>0.05</v>
      </c>
      <c r="G987" t="s">
        <v>10578</v>
      </c>
      <c r="H987">
        <v>20.3</v>
      </c>
      <c r="I987">
        <v>10.15</v>
      </c>
      <c r="J987" t="s">
        <v>10579</v>
      </c>
      <c r="K987" t="s">
        <v>10580</v>
      </c>
      <c r="L987" t="s">
        <v>10581</v>
      </c>
      <c r="M987" t="s">
        <v>10582</v>
      </c>
      <c r="N987">
        <v>2615.6406066244381</v>
      </c>
      <c r="O987">
        <v>2647.0282939039312</v>
      </c>
      <c r="P987">
        <v>2771.4386237174158</v>
      </c>
      <c r="Q987">
        <v>2993.153713614809</v>
      </c>
      <c r="R987">
        <v>3115.8730158730159</v>
      </c>
      <c r="S987" t="s">
        <v>10583</v>
      </c>
      <c r="T987" t="s">
        <v>10584</v>
      </c>
      <c r="U987" t="s">
        <v>10585</v>
      </c>
      <c r="V987" t="s">
        <v>49</v>
      </c>
      <c r="W987">
        <v>338996155</v>
      </c>
      <c r="X987">
        <v>339500751</v>
      </c>
      <c r="Y987">
        <v>340560751</v>
      </c>
      <c r="Z987">
        <v>341660751</v>
      </c>
      <c r="AA987">
        <v>343660751</v>
      </c>
      <c r="AB987">
        <v>44334605425.377602</v>
      </c>
      <c r="AC987">
        <v>16949807.75</v>
      </c>
      <c r="AD987">
        <v>44933404684.931664</v>
      </c>
      <c r="AE987">
        <v>16975037.550000001</v>
      </c>
      <c r="AF987">
        <v>47192160952.180481</v>
      </c>
      <c r="AG987">
        <v>17028037.550000001</v>
      </c>
      <c r="AH987">
        <v>51132157282.603729</v>
      </c>
      <c r="AI987">
        <v>17083037.550000001</v>
      </c>
      <c r="AJ987">
        <v>53540163032.777786</v>
      </c>
      <c r="AK987">
        <v>17183037.550000001</v>
      </c>
    </row>
    <row r="988" spans="1:37" x14ac:dyDescent="0.35">
      <c r="A988" t="s">
        <v>10586</v>
      </c>
      <c r="B988">
        <v>29.88</v>
      </c>
      <c r="C988" t="s">
        <v>313</v>
      </c>
      <c r="D988" t="s">
        <v>10587</v>
      </c>
      <c r="E988" t="s">
        <v>10588</v>
      </c>
      <c r="F988">
        <v>0.05</v>
      </c>
      <c r="G988" t="s">
        <v>10589</v>
      </c>
      <c r="H988">
        <v>20.3</v>
      </c>
      <c r="I988">
        <v>10.3</v>
      </c>
      <c r="J988" t="s">
        <v>10590</v>
      </c>
      <c r="K988" t="s">
        <v>10591</v>
      </c>
      <c r="L988" t="s">
        <v>10592</v>
      </c>
      <c r="M988" t="s">
        <v>10593</v>
      </c>
      <c r="N988">
        <v>2615.6406066244381</v>
      </c>
      <c r="O988">
        <v>2647.0282939039312</v>
      </c>
      <c r="P988">
        <v>2771.4386237174158</v>
      </c>
      <c r="Q988">
        <v>2993.153713614809</v>
      </c>
      <c r="R988">
        <v>3115.8730158730159</v>
      </c>
      <c r="S988" t="s">
        <v>10594</v>
      </c>
      <c r="T988" t="s">
        <v>10595</v>
      </c>
      <c r="U988" t="s">
        <v>10596</v>
      </c>
      <c r="V988" t="s">
        <v>49</v>
      </c>
      <c r="W988">
        <v>338996155</v>
      </c>
      <c r="X988">
        <v>339500751</v>
      </c>
      <c r="Y988">
        <v>340560751</v>
      </c>
      <c r="Z988">
        <v>341660751</v>
      </c>
      <c r="AA988">
        <v>343660751</v>
      </c>
      <c r="AB988">
        <v>44334605425.377602</v>
      </c>
      <c r="AC988">
        <v>16949807.75</v>
      </c>
      <c r="AD988">
        <v>44933404684.931664</v>
      </c>
      <c r="AE988">
        <v>16975037.550000001</v>
      </c>
      <c r="AF988">
        <v>47192160952.180481</v>
      </c>
      <c r="AG988">
        <v>17028037.550000001</v>
      </c>
      <c r="AH988">
        <v>51132157282.603729</v>
      </c>
      <c r="AI988">
        <v>17083037.550000001</v>
      </c>
      <c r="AJ988">
        <v>53540163032.777786</v>
      </c>
      <c r="AK988">
        <v>17183037.550000001</v>
      </c>
    </row>
    <row r="989" spans="1:37" x14ac:dyDescent="0.35">
      <c r="A989" t="s">
        <v>10597</v>
      </c>
      <c r="B989">
        <v>18.8</v>
      </c>
      <c r="C989" t="s">
        <v>313</v>
      </c>
      <c r="D989" t="s">
        <v>10598</v>
      </c>
      <c r="E989" t="s">
        <v>10599</v>
      </c>
      <c r="F989">
        <v>0.05</v>
      </c>
      <c r="G989" t="s">
        <v>10600</v>
      </c>
      <c r="H989">
        <v>30.4</v>
      </c>
      <c r="I989">
        <v>10.3</v>
      </c>
      <c r="J989" t="s">
        <v>10601</v>
      </c>
      <c r="K989" t="s">
        <v>10602</v>
      </c>
      <c r="L989" t="s">
        <v>10603</v>
      </c>
      <c r="M989" t="s">
        <v>10604</v>
      </c>
      <c r="N989">
        <v>2615.6406066244381</v>
      </c>
      <c r="O989">
        <v>2647.0282939039312</v>
      </c>
      <c r="P989">
        <v>2771.4386237174158</v>
      </c>
      <c r="Q989">
        <v>2993.153713614809</v>
      </c>
      <c r="R989">
        <v>3115.8730158730159</v>
      </c>
      <c r="S989" t="s">
        <v>10605</v>
      </c>
      <c r="T989" t="s">
        <v>10606</v>
      </c>
      <c r="U989" t="s">
        <v>10607</v>
      </c>
      <c r="V989" t="s">
        <v>49</v>
      </c>
      <c r="W989">
        <v>338996155</v>
      </c>
      <c r="X989">
        <v>339500751</v>
      </c>
      <c r="Y989">
        <v>340560751</v>
      </c>
      <c r="Z989">
        <v>341660751</v>
      </c>
      <c r="AA989">
        <v>343660751</v>
      </c>
      <c r="AB989">
        <v>44334605425.377602</v>
      </c>
      <c r="AC989">
        <v>16949807.75</v>
      </c>
      <c r="AD989">
        <v>44933404684.931664</v>
      </c>
      <c r="AE989">
        <v>16975037.550000001</v>
      </c>
      <c r="AF989">
        <v>47192160952.180481</v>
      </c>
      <c r="AG989">
        <v>17028037.550000001</v>
      </c>
      <c r="AH989">
        <v>51132157282.603729</v>
      </c>
      <c r="AI989">
        <v>17083037.550000001</v>
      </c>
      <c r="AJ989">
        <v>53540163032.777786</v>
      </c>
      <c r="AK989">
        <v>17183037.550000001</v>
      </c>
    </row>
    <row r="990" spans="1:37" x14ac:dyDescent="0.35">
      <c r="A990" t="s">
        <v>10608</v>
      </c>
      <c r="B990">
        <v>20.16</v>
      </c>
      <c r="C990" t="s">
        <v>313</v>
      </c>
      <c r="D990" t="s">
        <v>10609</v>
      </c>
      <c r="E990" t="s">
        <v>10610</v>
      </c>
      <c r="F990">
        <v>0.05</v>
      </c>
      <c r="G990" t="s">
        <v>10611</v>
      </c>
      <c r="H990">
        <v>0.3</v>
      </c>
      <c r="I990">
        <v>10.3</v>
      </c>
      <c r="J990" t="s">
        <v>10612</v>
      </c>
      <c r="K990" t="s">
        <v>10613</v>
      </c>
      <c r="L990" t="s">
        <v>10614</v>
      </c>
      <c r="M990" t="s">
        <v>10615</v>
      </c>
      <c r="N990">
        <v>2615.6406066244381</v>
      </c>
      <c r="O990">
        <v>2647.0282939039312</v>
      </c>
      <c r="P990">
        <v>2771.4386237174158</v>
      </c>
      <c r="Q990">
        <v>2993.153713614809</v>
      </c>
      <c r="R990">
        <v>3115.8730158730159</v>
      </c>
      <c r="S990" t="s">
        <v>10616</v>
      </c>
      <c r="T990" t="s">
        <v>10617</v>
      </c>
      <c r="U990" t="s">
        <v>10618</v>
      </c>
      <c r="V990" t="s">
        <v>49</v>
      </c>
      <c r="W990">
        <v>338996155</v>
      </c>
      <c r="X990">
        <v>339500751</v>
      </c>
      <c r="Y990">
        <v>340560751</v>
      </c>
      <c r="Z990">
        <v>341660751</v>
      </c>
      <c r="AA990">
        <v>343660751</v>
      </c>
      <c r="AB990">
        <v>44334605425.377602</v>
      </c>
      <c r="AC990">
        <v>16949807.75</v>
      </c>
      <c r="AD990">
        <v>44933404684.931664</v>
      </c>
      <c r="AE990">
        <v>16975037.550000001</v>
      </c>
      <c r="AF990">
        <v>47192160952.180481</v>
      </c>
      <c r="AG990">
        <v>17028037.550000001</v>
      </c>
      <c r="AH990">
        <v>51132157282.603729</v>
      </c>
      <c r="AI990">
        <v>17083037.550000001</v>
      </c>
      <c r="AJ990">
        <v>53540163032.777786</v>
      </c>
      <c r="AK990">
        <v>17183037.550000001</v>
      </c>
    </row>
    <row r="991" spans="1:37" x14ac:dyDescent="0.35">
      <c r="A991" t="s">
        <v>10619</v>
      </c>
      <c r="B991">
        <v>17.920000000000002</v>
      </c>
      <c r="C991" t="s">
        <v>313</v>
      </c>
      <c r="D991" t="s">
        <v>10620</v>
      </c>
      <c r="E991" t="s">
        <v>10621</v>
      </c>
      <c r="F991">
        <v>0.05</v>
      </c>
      <c r="G991" t="s">
        <v>10622</v>
      </c>
      <c r="H991">
        <v>0.5</v>
      </c>
      <c r="I991">
        <v>25.3</v>
      </c>
      <c r="J991" t="s">
        <v>10623</v>
      </c>
      <c r="K991" t="s">
        <v>10624</v>
      </c>
      <c r="L991" t="s">
        <v>10625</v>
      </c>
      <c r="M991" t="s">
        <v>10626</v>
      </c>
      <c r="N991">
        <v>2615.6406066244381</v>
      </c>
      <c r="O991">
        <v>2647.0282939039312</v>
      </c>
      <c r="P991">
        <v>2771.4386237174158</v>
      </c>
      <c r="Q991">
        <v>2993.153713614809</v>
      </c>
      <c r="R991">
        <v>3115.8730158730159</v>
      </c>
      <c r="S991" t="s">
        <v>10627</v>
      </c>
      <c r="T991" t="s">
        <v>10628</v>
      </c>
      <c r="U991" t="s">
        <v>10629</v>
      </c>
      <c r="V991" t="s">
        <v>49</v>
      </c>
      <c r="W991">
        <v>338996155</v>
      </c>
      <c r="X991">
        <v>339500751</v>
      </c>
      <c r="Y991">
        <v>340560751</v>
      </c>
      <c r="Z991">
        <v>341660751</v>
      </c>
      <c r="AA991">
        <v>343660751</v>
      </c>
      <c r="AB991">
        <v>44334605425.377602</v>
      </c>
      <c r="AC991">
        <v>16949807.75</v>
      </c>
      <c r="AD991">
        <v>44933404684.931664</v>
      </c>
      <c r="AE991">
        <v>16975037.550000001</v>
      </c>
      <c r="AF991">
        <v>47192160952.180481</v>
      </c>
      <c r="AG991">
        <v>17028037.550000001</v>
      </c>
      <c r="AH991">
        <v>51132157282.603729</v>
      </c>
      <c r="AI991">
        <v>17083037.550000001</v>
      </c>
      <c r="AJ991">
        <v>53540163032.777786</v>
      </c>
      <c r="AK991">
        <v>17183037.550000001</v>
      </c>
    </row>
    <row r="992" spans="1:37" x14ac:dyDescent="0.35">
      <c r="A992" t="s">
        <v>10630</v>
      </c>
      <c r="B992">
        <v>20.96</v>
      </c>
      <c r="C992" t="s">
        <v>313</v>
      </c>
      <c r="D992" t="s">
        <v>10631</v>
      </c>
      <c r="E992" t="s">
        <v>10632</v>
      </c>
      <c r="F992">
        <v>0.05</v>
      </c>
      <c r="G992" t="s">
        <v>10633</v>
      </c>
      <c r="H992">
        <v>0.25</v>
      </c>
      <c r="I992">
        <v>10.3</v>
      </c>
      <c r="J992" t="s">
        <v>10634</v>
      </c>
      <c r="K992" t="s">
        <v>10635</v>
      </c>
      <c r="L992" t="s">
        <v>10636</v>
      </c>
      <c r="M992" t="s">
        <v>10637</v>
      </c>
      <c r="N992">
        <v>2615.6406066244381</v>
      </c>
      <c r="O992">
        <v>2647.0282939039312</v>
      </c>
      <c r="P992">
        <v>2771.4386237174158</v>
      </c>
      <c r="Q992">
        <v>2993.153713614809</v>
      </c>
      <c r="R992">
        <v>3115.8730158730159</v>
      </c>
      <c r="S992" t="s">
        <v>10638</v>
      </c>
      <c r="T992" t="s">
        <v>10639</v>
      </c>
      <c r="U992" t="s">
        <v>10640</v>
      </c>
      <c r="V992" t="s">
        <v>49</v>
      </c>
      <c r="W992">
        <v>338996155</v>
      </c>
      <c r="X992">
        <v>339500751</v>
      </c>
      <c r="Y992">
        <v>340560751</v>
      </c>
      <c r="Z992">
        <v>341660751</v>
      </c>
      <c r="AA992">
        <v>343660751</v>
      </c>
      <c r="AB992">
        <v>44334605425.377602</v>
      </c>
      <c r="AC992">
        <v>16949807.75</v>
      </c>
      <c r="AD992">
        <v>44933404684.931664</v>
      </c>
      <c r="AE992">
        <v>16975037.550000001</v>
      </c>
      <c r="AF992">
        <v>47192160952.180481</v>
      </c>
      <c r="AG992">
        <v>17028037.550000001</v>
      </c>
      <c r="AH992">
        <v>51132157282.603729</v>
      </c>
      <c r="AI992">
        <v>17083037.550000001</v>
      </c>
      <c r="AJ992">
        <v>53540163032.777786</v>
      </c>
      <c r="AK992">
        <v>17183037.550000001</v>
      </c>
    </row>
    <row r="993" spans="1:37" x14ac:dyDescent="0.35">
      <c r="A993" t="s">
        <v>10641</v>
      </c>
      <c r="B993">
        <v>109.28</v>
      </c>
      <c r="C993" t="s">
        <v>313</v>
      </c>
      <c r="D993" t="s">
        <v>10642</v>
      </c>
      <c r="E993" t="s">
        <v>10643</v>
      </c>
      <c r="F993">
        <v>0.05</v>
      </c>
      <c r="G993" t="s">
        <v>10644</v>
      </c>
      <c r="H993">
        <v>0.3</v>
      </c>
      <c r="I993">
        <v>5.0999999999999996</v>
      </c>
      <c r="J993" t="s">
        <v>10645</v>
      </c>
      <c r="K993" t="s">
        <v>10646</v>
      </c>
      <c r="L993" t="s">
        <v>10647</v>
      </c>
      <c r="M993" t="s">
        <v>10648</v>
      </c>
      <c r="N993">
        <v>2615.6406066244381</v>
      </c>
      <c r="O993">
        <v>2647.0282939039312</v>
      </c>
      <c r="P993">
        <v>2771.4386237174158</v>
      </c>
      <c r="Q993">
        <v>2993.153713614809</v>
      </c>
      <c r="R993">
        <v>3115.8730158730159</v>
      </c>
      <c r="S993" t="s">
        <v>10649</v>
      </c>
      <c r="T993" t="s">
        <v>10650</v>
      </c>
      <c r="U993" t="s">
        <v>10651</v>
      </c>
      <c r="V993" t="s">
        <v>49</v>
      </c>
      <c r="W993">
        <v>338996155</v>
      </c>
      <c r="X993">
        <v>339500751</v>
      </c>
      <c r="Y993">
        <v>340560751</v>
      </c>
      <c r="Z993">
        <v>341660751</v>
      </c>
      <c r="AA993">
        <v>343660751</v>
      </c>
      <c r="AB993">
        <v>44334605425.377602</v>
      </c>
      <c r="AC993">
        <v>16949807.75</v>
      </c>
      <c r="AD993">
        <v>44933404684.931664</v>
      </c>
      <c r="AE993">
        <v>16975037.550000001</v>
      </c>
      <c r="AF993">
        <v>47192160952.180481</v>
      </c>
      <c r="AG993">
        <v>17028037.550000001</v>
      </c>
      <c r="AH993">
        <v>51132157282.603729</v>
      </c>
      <c r="AI993">
        <v>17083037.550000001</v>
      </c>
      <c r="AJ993">
        <v>53540163032.777786</v>
      </c>
      <c r="AK993">
        <v>17183037.550000001</v>
      </c>
    </row>
    <row r="994" spans="1:37" x14ac:dyDescent="0.35">
      <c r="A994" t="s">
        <v>10652</v>
      </c>
      <c r="B994">
        <v>109.28</v>
      </c>
      <c r="C994" t="s">
        <v>313</v>
      </c>
      <c r="D994" t="s">
        <v>10653</v>
      </c>
      <c r="E994" t="s">
        <v>10654</v>
      </c>
      <c r="F994">
        <v>0.05</v>
      </c>
      <c r="G994" t="s">
        <v>10655</v>
      </c>
      <c r="H994">
        <v>0.3</v>
      </c>
      <c r="I994">
        <v>10.199999999999999</v>
      </c>
      <c r="J994" t="s">
        <v>10656</v>
      </c>
      <c r="K994" t="s">
        <v>10657</v>
      </c>
      <c r="L994" t="s">
        <v>10658</v>
      </c>
      <c r="M994" t="s">
        <v>10659</v>
      </c>
      <c r="N994">
        <v>2615.6406066244381</v>
      </c>
      <c r="O994">
        <v>2647.0282939039312</v>
      </c>
      <c r="P994">
        <v>2771.4386237174158</v>
      </c>
      <c r="Q994">
        <v>2993.153713614809</v>
      </c>
      <c r="R994">
        <v>3115.8730158730159</v>
      </c>
      <c r="S994" t="s">
        <v>10660</v>
      </c>
      <c r="T994" t="s">
        <v>10661</v>
      </c>
      <c r="U994" t="s">
        <v>10662</v>
      </c>
      <c r="V994" t="s">
        <v>49</v>
      </c>
      <c r="W994">
        <v>338996155</v>
      </c>
      <c r="X994">
        <v>339500751</v>
      </c>
      <c r="Y994">
        <v>340560751</v>
      </c>
      <c r="Z994">
        <v>341660751</v>
      </c>
      <c r="AA994">
        <v>343660751</v>
      </c>
      <c r="AB994">
        <v>44334605425.377602</v>
      </c>
      <c r="AC994">
        <v>16949807.75</v>
      </c>
      <c r="AD994">
        <v>44933404684.931664</v>
      </c>
      <c r="AE994">
        <v>16975037.550000001</v>
      </c>
      <c r="AF994">
        <v>47192160952.180481</v>
      </c>
      <c r="AG994">
        <v>17028037.550000001</v>
      </c>
      <c r="AH994">
        <v>51132157282.603729</v>
      </c>
      <c r="AI994">
        <v>17083037.550000001</v>
      </c>
      <c r="AJ994">
        <v>53540163032.777786</v>
      </c>
      <c r="AK994">
        <v>17183037.550000001</v>
      </c>
    </row>
    <row r="995" spans="1:37" x14ac:dyDescent="0.35">
      <c r="A995" t="s">
        <v>10663</v>
      </c>
      <c r="B995">
        <v>116.56</v>
      </c>
      <c r="C995" t="s">
        <v>313</v>
      </c>
      <c r="D995" t="s">
        <v>10664</v>
      </c>
      <c r="E995" t="s">
        <v>10665</v>
      </c>
      <c r="F995">
        <v>0.05</v>
      </c>
      <c r="G995" t="s">
        <v>10666</v>
      </c>
      <c r="H995">
        <v>0.3</v>
      </c>
      <c r="I995">
        <v>10.199999999999999</v>
      </c>
      <c r="J995" t="s">
        <v>10667</v>
      </c>
      <c r="K995" t="s">
        <v>10668</v>
      </c>
      <c r="L995" t="s">
        <v>10669</v>
      </c>
      <c r="M995" t="s">
        <v>10670</v>
      </c>
      <c r="N995">
        <v>2615.6406066244381</v>
      </c>
      <c r="O995">
        <v>2647.0282939039312</v>
      </c>
      <c r="P995">
        <v>2771.4386237174158</v>
      </c>
      <c r="Q995">
        <v>2993.153713614809</v>
      </c>
      <c r="R995">
        <v>3115.8730158730159</v>
      </c>
      <c r="S995" t="s">
        <v>10671</v>
      </c>
      <c r="T995" t="s">
        <v>10672</v>
      </c>
      <c r="U995" t="s">
        <v>10673</v>
      </c>
      <c r="V995" t="s">
        <v>49</v>
      </c>
      <c r="W995">
        <v>338996155</v>
      </c>
      <c r="X995">
        <v>339500751</v>
      </c>
      <c r="Y995">
        <v>340560751</v>
      </c>
      <c r="Z995">
        <v>341660751</v>
      </c>
      <c r="AA995">
        <v>343660751</v>
      </c>
      <c r="AB995">
        <v>44334605425.377602</v>
      </c>
      <c r="AC995">
        <v>16949807.75</v>
      </c>
      <c r="AD995">
        <v>44933404684.931664</v>
      </c>
      <c r="AE995">
        <v>16975037.550000001</v>
      </c>
      <c r="AF995">
        <v>47192160952.180481</v>
      </c>
      <c r="AG995">
        <v>17028037.550000001</v>
      </c>
      <c r="AH995">
        <v>51132157282.603729</v>
      </c>
      <c r="AI995">
        <v>17083037.550000001</v>
      </c>
      <c r="AJ995">
        <v>53540163032.777786</v>
      </c>
      <c r="AK995">
        <v>17183037.550000001</v>
      </c>
    </row>
    <row r="996" spans="1:37" x14ac:dyDescent="0.35">
      <c r="A996" t="s">
        <v>10674</v>
      </c>
      <c r="B996">
        <v>10.08</v>
      </c>
      <c r="C996" t="s">
        <v>313</v>
      </c>
      <c r="D996" t="s">
        <v>10675</v>
      </c>
      <c r="E996" t="s">
        <v>10676</v>
      </c>
      <c r="F996">
        <v>0.05</v>
      </c>
      <c r="G996" t="s">
        <v>10677</v>
      </c>
      <c r="H996">
        <v>25.3</v>
      </c>
      <c r="I996">
        <v>8.1</v>
      </c>
      <c r="J996" t="s">
        <v>10678</v>
      </c>
      <c r="K996" t="s">
        <v>10679</v>
      </c>
      <c r="L996" t="s">
        <v>10680</v>
      </c>
      <c r="M996" t="s">
        <v>10681</v>
      </c>
      <c r="N996">
        <v>2615.6406066244381</v>
      </c>
      <c r="O996">
        <v>2647.0282939039312</v>
      </c>
      <c r="P996">
        <v>2771.4386237174158</v>
      </c>
      <c r="Q996">
        <v>2993.153713614809</v>
      </c>
      <c r="R996">
        <v>3115.8730158730159</v>
      </c>
      <c r="S996" t="s">
        <v>10682</v>
      </c>
      <c r="T996" t="s">
        <v>10683</v>
      </c>
      <c r="U996" t="s">
        <v>10684</v>
      </c>
      <c r="V996" t="s">
        <v>49</v>
      </c>
      <c r="W996">
        <v>338996155</v>
      </c>
      <c r="X996">
        <v>339500751</v>
      </c>
      <c r="Y996">
        <v>340560751</v>
      </c>
      <c r="Z996">
        <v>341660751</v>
      </c>
      <c r="AA996">
        <v>343660751</v>
      </c>
      <c r="AB996">
        <v>44334605425.377602</v>
      </c>
      <c r="AC996">
        <v>16949807.75</v>
      </c>
      <c r="AD996">
        <v>44933404684.931664</v>
      </c>
      <c r="AE996">
        <v>16975037.550000001</v>
      </c>
      <c r="AF996">
        <v>47192160952.180481</v>
      </c>
      <c r="AG996">
        <v>17028037.550000001</v>
      </c>
      <c r="AH996">
        <v>51132157282.603729</v>
      </c>
      <c r="AI996">
        <v>17083037.550000001</v>
      </c>
      <c r="AJ996">
        <v>53540163032.777786</v>
      </c>
      <c r="AK996">
        <v>17183037.550000001</v>
      </c>
    </row>
    <row r="997" spans="1:37" x14ac:dyDescent="0.35">
      <c r="A997" t="s">
        <v>10685</v>
      </c>
      <c r="B997">
        <v>14.88</v>
      </c>
      <c r="C997" t="s">
        <v>313</v>
      </c>
      <c r="D997" t="s">
        <v>10686</v>
      </c>
      <c r="E997" t="s">
        <v>10687</v>
      </c>
      <c r="F997">
        <v>0.05</v>
      </c>
      <c r="G997" t="s">
        <v>10688</v>
      </c>
      <c r="H997">
        <v>0.3</v>
      </c>
      <c r="I997">
        <v>10.3</v>
      </c>
      <c r="J997" t="s">
        <v>10689</v>
      </c>
      <c r="K997" t="s">
        <v>10690</v>
      </c>
      <c r="L997" t="s">
        <v>10691</v>
      </c>
      <c r="M997" t="s">
        <v>10692</v>
      </c>
      <c r="N997">
        <v>2615.6406066244381</v>
      </c>
      <c r="O997">
        <v>2647.0282939039312</v>
      </c>
      <c r="P997">
        <v>2771.4386237174158</v>
      </c>
      <c r="Q997">
        <v>2993.153713614809</v>
      </c>
      <c r="R997">
        <v>3115.8730158730159</v>
      </c>
      <c r="S997" t="s">
        <v>10693</v>
      </c>
      <c r="T997" t="s">
        <v>10694</v>
      </c>
      <c r="U997" t="s">
        <v>10695</v>
      </c>
      <c r="V997" t="s">
        <v>49</v>
      </c>
      <c r="W997">
        <v>338996155</v>
      </c>
      <c r="X997">
        <v>339500751</v>
      </c>
      <c r="Y997">
        <v>340560751</v>
      </c>
      <c r="Z997">
        <v>341660751</v>
      </c>
      <c r="AA997">
        <v>343660751</v>
      </c>
      <c r="AB997">
        <v>44334605425.377602</v>
      </c>
      <c r="AC997">
        <v>16949807.75</v>
      </c>
      <c r="AD997">
        <v>44933404684.931664</v>
      </c>
      <c r="AE997">
        <v>16975037.550000001</v>
      </c>
      <c r="AF997">
        <v>47192160952.180481</v>
      </c>
      <c r="AG997">
        <v>17028037.550000001</v>
      </c>
      <c r="AH997">
        <v>51132157282.603729</v>
      </c>
      <c r="AI997">
        <v>17083037.550000001</v>
      </c>
      <c r="AJ997">
        <v>53540163032.777786</v>
      </c>
      <c r="AK997">
        <v>17183037.550000001</v>
      </c>
    </row>
    <row r="998" spans="1:37" x14ac:dyDescent="0.35">
      <c r="A998" t="s">
        <v>10696</v>
      </c>
      <c r="B998">
        <v>11.04</v>
      </c>
      <c r="C998" t="s">
        <v>313</v>
      </c>
      <c r="D998" t="s">
        <v>10697</v>
      </c>
      <c r="E998" t="s">
        <v>10698</v>
      </c>
      <c r="F998">
        <v>0.05</v>
      </c>
      <c r="G998" t="s">
        <v>10699</v>
      </c>
      <c r="H998">
        <v>0.3</v>
      </c>
      <c r="I998">
        <v>10.25</v>
      </c>
      <c r="J998" t="s">
        <v>10700</v>
      </c>
      <c r="K998" t="s">
        <v>10701</v>
      </c>
      <c r="L998" t="s">
        <v>10702</v>
      </c>
      <c r="M998" t="s">
        <v>10703</v>
      </c>
      <c r="N998">
        <v>2615.6406066244381</v>
      </c>
      <c r="O998">
        <v>2647.0282939039312</v>
      </c>
      <c r="P998">
        <v>2771.4386237174158</v>
      </c>
      <c r="Q998">
        <v>2993.153713614809</v>
      </c>
      <c r="R998">
        <v>3115.8730158730159</v>
      </c>
      <c r="S998" t="s">
        <v>10704</v>
      </c>
      <c r="T998" t="s">
        <v>10705</v>
      </c>
      <c r="U998" t="s">
        <v>10706</v>
      </c>
      <c r="V998" t="s">
        <v>49</v>
      </c>
      <c r="W998">
        <v>338996155</v>
      </c>
      <c r="X998">
        <v>339500751</v>
      </c>
      <c r="Y998">
        <v>340560751</v>
      </c>
      <c r="Z998">
        <v>341660751</v>
      </c>
      <c r="AA998">
        <v>343660751</v>
      </c>
      <c r="AB998">
        <v>44334605425.377602</v>
      </c>
      <c r="AC998">
        <v>16949807.75</v>
      </c>
      <c r="AD998">
        <v>44933404684.931664</v>
      </c>
      <c r="AE998">
        <v>16975037.550000001</v>
      </c>
      <c r="AF998">
        <v>47192160952.180481</v>
      </c>
      <c r="AG998">
        <v>17028037.550000001</v>
      </c>
      <c r="AH998">
        <v>51132157282.603729</v>
      </c>
      <c r="AI998">
        <v>17083037.550000001</v>
      </c>
      <c r="AJ998">
        <v>53540163032.777786</v>
      </c>
      <c r="AK998">
        <v>17183037.550000001</v>
      </c>
    </row>
    <row r="999" spans="1:37" x14ac:dyDescent="0.35">
      <c r="A999" t="s">
        <v>10707</v>
      </c>
      <c r="B999">
        <v>12</v>
      </c>
      <c r="C999" t="s">
        <v>313</v>
      </c>
      <c r="D999" t="s">
        <v>10708</v>
      </c>
      <c r="E999" t="s">
        <v>10709</v>
      </c>
      <c r="F999">
        <v>0.05</v>
      </c>
      <c r="G999" t="s">
        <v>10710</v>
      </c>
      <c r="H999">
        <v>0.25</v>
      </c>
      <c r="I999">
        <v>10.3</v>
      </c>
      <c r="J999" t="s">
        <v>10711</v>
      </c>
      <c r="K999" t="s">
        <v>10712</v>
      </c>
      <c r="L999" t="s">
        <v>10713</v>
      </c>
      <c r="M999" t="s">
        <v>10714</v>
      </c>
      <c r="N999">
        <v>2615.6406066244381</v>
      </c>
      <c r="O999">
        <v>2647.0282939039312</v>
      </c>
      <c r="P999">
        <v>2771.4386237174158</v>
      </c>
      <c r="Q999">
        <v>2993.153713614809</v>
      </c>
      <c r="R999">
        <v>3115.8730158730159</v>
      </c>
      <c r="S999" t="s">
        <v>10715</v>
      </c>
      <c r="T999" t="s">
        <v>10520</v>
      </c>
      <c r="U999" t="s">
        <v>10716</v>
      </c>
      <c r="V999" t="s">
        <v>49</v>
      </c>
      <c r="W999">
        <v>338996155</v>
      </c>
      <c r="X999">
        <v>339500751</v>
      </c>
      <c r="Y999">
        <v>340560751</v>
      </c>
      <c r="Z999">
        <v>341660751</v>
      </c>
      <c r="AA999">
        <v>343660751</v>
      </c>
      <c r="AB999">
        <v>44334605425.377602</v>
      </c>
      <c r="AC999">
        <v>16949807.75</v>
      </c>
      <c r="AD999">
        <v>44933404684.931664</v>
      </c>
      <c r="AE999">
        <v>16975037.550000001</v>
      </c>
      <c r="AF999">
        <v>47192160952.180481</v>
      </c>
      <c r="AG999">
        <v>17028037.550000001</v>
      </c>
      <c r="AH999">
        <v>51132157282.603729</v>
      </c>
      <c r="AI999">
        <v>17083037.550000001</v>
      </c>
      <c r="AJ999">
        <v>53540163032.777786</v>
      </c>
      <c r="AK999">
        <v>17183037.550000001</v>
      </c>
    </row>
    <row r="1000" spans="1:37" x14ac:dyDescent="0.35">
      <c r="A1000" t="s">
        <v>10717</v>
      </c>
      <c r="B1000">
        <v>14.64</v>
      </c>
      <c r="C1000" t="s">
        <v>313</v>
      </c>
      <c r="D1000" t="s">
        <v>10718</v>
      </c>
      <c r="E1000" t="s">
        <v>10719</v>
      </c>
      <c r="F1000">
        <v>0.05</v>
      </c>
      <c r="G1000" t="s">
        <v>10720</v>
      </c>
      <c r="H1000">
        <v>30.5</v>
      </c>
      <c r="I1000">
        <v>10.3</v>
      </c>
      <c r="J1000" t="s">
        <v>10721</v>
      </c>
      <c r="K1000" t="s">
        <v>10722</v>
      </c>
      <c r="L1000" t="s">
        <v>10723</v>
      </c>
      <c r="M1000" t="s">
        <v>10724</v>
      </c>
      <c r="N1000">
        <v>2615.6406066244381</v>
      </c>
      <c r="O1000">
        <v>2647.0282939039312</v>
      </c>
      <c r="P1000">
        <v>2771.4386237174158</v>
      </c>
      <c r="Q1000">
        <v>2993.153713614809</v>
      </c>
      <c r="R1000">
        <v>3115.8730158730159</v>
      </c>
      <c r="S1000" t="s">
        <v>10725</v>
      </c>
      <c r="T1000" t="s">
        <v>10726</v>
      </c>
      <c r="U1000" t="s">
        <v>10727</v>
      </c>
      <c r="V1000" t="s">
        <v>49</v>
      </c>
      <c r="W1000">
        <v>338996155</v>
      </c>
      <c r="X1000">
        <v>339500751</v>
      </c>
      <c r="Y1000">
        <v>340560751</v>
      </c>
      <c r="Z1000">
        <v>341660751</v>
      </c>
      <c r="AA1000">
        <v>343660751</v>
      </c>
      <c r="AB1000">
        <v>44334605425.377602</v>
      </c>
      <c r="AC1000">
        <v>16949807.75</v>
      </c>
      <c r="AD1000">
        <v>44933404684.931664</v>
      </c>
      <c r="AE1000">
        <v>16975037.550000001</v>
      </c>
      <c r="AF1000">
        <v>47192160952.180481</v>
      </c>
      <c r="AG1000">
        <v>17028037.550000001</v>
      </c>
      <c r="AH1000">
        <v>51132157282.603729</v>
      </c>
      <c r="AI1000">
        <v>17083037.550000001</v>
      </c>
      <c r="AJ1000">
        <v>53540163032.777786</v>
      </c>
      <c r="AK1000">
        <v>17183037.550000001</v>
      </c>
    </row>
    <row r="1001" spans="1:37" x14ac:dyDescent="0.35">
      <c r="A1001" t="s">
        <v>10728</v>
      </c>
      <c r="B1001">
        <v>18.96</v>
      </c>
      <c r="C1001" t="s">
        <v>313</v>
      </c>
      <c r="D1001" t="s">
        <v>10729</v>
      </c>
      <c r="E1001" t="s">
        <v>10730</v>
      </c>
      <c r="F1001">
        <v>0.05</v>
      </c>
      <c r="G1001" t="s">
        <v>10731</v>
      </c>
      <c r="H1001">
        <v>30.5</v>
      </c>
      <c r="I1001">
        <v>10.3</v>
      </c>
      <c r="J1001" t="s">
        <v>10732</v>
      </c>
      <c r="K1001" t="s">
        <v>10733</v>
      </c>
      <c r="L1001" t="s">
        <v>10734</v>
      </c>
      <c r="M1001" t="s">
        <v>10735</v>
      </c>
      <c r="N1001">
        <v>2615.6406066244381</v>
      </c>
      <c r="O1001">
        <v>2647.0282939039312</v>
      </c>
      <c r="P1001">
        <v>2771.4386237174158</v>
      </c>
      <c r="Q1001">
        <v>2993.153713614809</v>
      </c>
      <c r="R1001">
        <v>3115.8730158730159</v>
      </c>
      <c r="S1001" t="s">
        <v>10736</v>
      </c>
      <c r="T1001" t="s">
        <v>10737</v>
      </c>
      <c r="U1001" t="s">
        <v>10532</v>
      </c>
      <c r="V1001" t="s">
        <v>49</v>
      </c>
      <c r="W1001">
        <v>338996155</v>
      </c>
      <c r="X1001">
        <v>339500751</v>
      </c>
      <c r="Y1001">
        <v>340560751</v>
      </c>
      <c r="Z1001">
        <v>341660751</v>
      </c>
      <c r="AA1001">
        <v>343660751</v>
      </c>
      <c r="AB1001">
        <v>44334605425.377602</v>
      </c>
      <c r="AC1001">
        <v>16949807.75</v>
      </c>
      <c r="AD1001">
        <v>44933404684.931664</v>
      </c>
      <c r="AE1001">
        <v>16975037.550000001</v>
      </c>
      <c r="AF1001">
        <v>47192160952.180481</v>
      </c>
      <c r="AG1001">
        <v>17028037.550000001</v>
      </c>
      <c r="AH1001">
        <v>51132157282.603729</v>
      </c>
      <c r="AI1001">
        <v>17083037.550000001</v>
      </c>
      <c r="AJ1001">
        <v>53540163032.777786</v>
      </c>
      <c r="AK1001">
        <v>17183037.550000001</v>
      </c>
    </row>
    <row r="1002" spans="1:37" x14ac:dyDescent="0.35">
      <c r="A1002" t="s">
        <v>10738</v>
      </c>
      <c r="B1002">
        <v>76.319999999999993</v>
      </c>
      <c r="C1002" t="s">
        <v>313</v>
      </c>
      <c r="D1002" t="s">
        <v>10739</v>
      </c>
      <c r="E1002" t="s">
        <v>10740</v>
      </c>
      <c r="F1002">
        <v>0.05</v>
      </c>
      <c r="G1002" t="s">
        <v>10741</v>
      </c>
      <c r="H1002">
        <v>0.3</v>
      </c>
      <c r="I1002">
        <v>10.3</v>
      </c>
      <c r="J1002" t="s">
        <v>10742</v>
      </c>
      <c r="K1002" t="s">
        <v>10743</v>
      </c>
      <c r="L1002" t="s">
        <v>10744</v>
      </c>
      <c r="M1002" t="s">
        <v>10745</v>
      </c>
      <c r="N1002">
        <v>2615.6406066244381</v>
      </c>
      <c r="O1002">
        <v>2647.0282939039312</v>
      </c>
      <c r="P1002">
        <v>2771.4386237174158</v>
      </c>
      <c r="Q1002">
        <v>2993.153713614809</v>
      </c>
      <c r="R1002">
        <v>3115.8730158730159</v>
      </c>
      <c r="S1002" t="s">
        <v>10746</v>
      </c>
      <c r="T1002" t="s">
        <v>10747</v>
      </c>
      <c r="U1002" t="s">
        <v>10748</v>
      </c>
      <c r="V1002" t="s">
        <v>49</v>
      </c>
      <c r="W1002">
        <v>338996155</v>
      </c>
      <c r="X1002">
        <v>339500751</v>
      </c>
      <c r="Y1002">
        <v>340560751</v>
      </c>
      <c r="Z1002">
        <v>341660751</v>
      </c>
      <c r="AA1002">
        <v>343660751</v>
      </c>
      <c r="AB1002">
        <v>44334605425.377602</v>
      </c>
      <c r="AC1002">
        <v>16949807.75</v>
      </c>
      <c r="AD1002">
        <v>44933404684.931664</v>
      </c>
      <c r="AE1002">
        <v>16975037.550000001</v>
      </c>
      <c r="AF1002">
        <v>47192160952.180481</v>
      </c>
      <c r="AG1002">
        <v>17028037.550000001</v>
      </c>
      <c r="AH1002">
        <v>51132157282.603729</v>
      </c>
      <c r="AI1002">
        <v>17083037.550000001</v>
      </c>
      <c r="AJ1002">
        <v>53540163032.777786</v>
      </c>
      <c r="AK1002">
        <v>17183037.550000001</v>
      </c>
    </row>
    <row r="1003" spans="1:37" x14ac:dyDescent="0.35">
      <c r="A1003" t="s">
        <v>10749</v>
      </c>
      <c r="B1003">
        <v>67.2</v>
      </c>
      <c r="C1003" t="s">
        <v>313</v>
      </c>
      <c r="D1003" t="s">
        <v>10750</v>
      </c>
      <c r="E1003" t="s">
        <v>10751</v>
      </c>
      <c r="F1003">
        <v>0.05</v>
      </c>
      <c r="G1003" t="s">
        <v>10752</v>
      </c>
      <c r="H1003">
        <v>0.3</v>
      </c>
      <c r="I1003">
        <v>10.3</v>
      </c>
      <c r="J1003" t="s">
        <v>10753</v>
      </c>
      <c r="K1003" t="s">
        <v>10754</v>
      </c>
      <c r="L1003" t="s">
        <v>10755</v>
      </c>
      <c r="M1003" t="s">
        <v>10756</v>
      </c>
      <c r="N1003">
        <v>2615.6406066244381</v>
      </c>
      <c r="O1003">
        <v>2647.0282939039312</v>
      </c>
      <c r="P1003">
        <v>2771.4386237174158</v>
      </c>
      <c r="Q1003">
        <v>2993.153713614809</v>
      </c>
      <c r="R1003">
        <v>3115.8730158730159</v>
      </c>
      <c r="S1003" t="s">
        <v>10757</v>
      </c>
      <c r="T1003" t="s">
        <v>10758</v>
      </c>
      <c r="U1003" t="s">
        <v>10759</v>
      </c>
      <c r="V1003" t="s">
        <v>49</v>
      </c>
      <c r="W1003">
        <v>338996155</v>
      </c>
      <c r="X1003">
        <v>339500751</v>
      </c>
      <c r="Y1003">
        <v>340560751</v>
      </c>
      <c r="Z1003">
        <v>341660751</v>
      </c>
      <c r="AA1003">
        <v>343660751</v>
      </c>
      <c r="AB1003">
        <v>44334605425.377602</v>
      </c>
      <c r="AC1003">
        <v>16949807.75</v>
      </c>
      <c r="AD1003">
        <v>44933404684.931664</v>
      </c>
      <c r="AE1003">
        <v>16975037.550000001</v>
      </c>
      <c r="AF1003">
        <v>47192160952.180481</v>
      </c>
      <c r="AG1003">
        <v>17028037.550000001</v>
      </c>
      <c r="AH1003">
        <v>51132157282.603729</v>
      </c>
      <c r="AI1003">
        <v>17083037.550000001</v>
      </c>
      <c r="AJ1003">
        <v>53540163032.777786</v>
      </c>
      <c r="AK1003">
        <v>17183037.550000001</v>
      </c>
    </row>
    <row r="1004" spans="1:37" x14ac:dyDescent="0.35">
      <c r="A1004" t="s">
        <v>10760</v>
      </c>
      <c r="B1004">
        <v>15.12</v>
      </c>
      <c r="C1004" t="s">
        <v>313</v>
      </c>
      <c r="D1004" t="s">
        <v>10761</v>
      </c>
      <c r="E1004" t="s">
        <v>10762</v>
      </c>
      <c r="F1004">
        <v>0.05</v>
      </c>
      <c r="G1004" t="s">
        <v>10763</v>
      </c>
      <c r="H1004">
        <v>0.3</v>
      </c>
      <c r="I1004">
        <v>10.199999999999999</v>
      </c>
      <c r="J1004" t="s">
        <v>10764</v>
      </c>
      <c r="K1004" t="s">
        <v>10765</v>
      </c>
      <c r="L1004" t="s">
        <v>10766</v>
      </c>
      <c r="M1004" t="s">
        <v>10767</v>
      </c>
      <c r="N1004">
        <v>2615.6406066244381</v>
      </c>
      <c r="O1004">
        <v>2647.0282939039312</v>
      </c>
      <c r="P1004">
        <v>2771.4386237174158</v>
      </c>
      <c r="Q1004">
        <v>2993.153713614809</v>
      </c>
      <c r="R1004">
        <v>3115.8730158730159</v>
      </c>
      <c r="S1004" t="s">
        <v>10768</v>
      </c>
      <c r="T1004" t="s">
        <v>7059</v>
      </c>
      <c r="U1004" t="s">
        <v>10769</v>
      </c>
      <c r="V1004" t="s">
        <v>49</v>
      </c>
      <c r="W1004">
        <v>338996155</v>
      </c>
      <c r="X1004">
        <v>339500751</v>
      </c>
      <c r="Y1004">
        <v>340560751</v>
      </c>
      <c r="Z1004">
        <v>341660751</v>
      </c>
      <c r="AA1004">
        <v>343660751</v>
      </c>
      <c r="AB1004">
        <v>44334605425.377602</v>
      </c>
      <c r="AC1004">
        <v>16949807.75</v>
      </c>
      <c r="AD1004">
        <v>44933404684.931664</v>
      </c>
      <c r="AE1004">
        <v>16975037.550000001</v>
      </c>
      <c r="AF1004">
        <v>47192160952.180481</v>
      </c>
      <c r="AG1004">
        <v>17028037.550000001</v>
      </c>
      <c r="AH1004">
        <v>51132157282.603729</v>
      </c>
      <c r="AI1004">
        <v>17083037.550000001</v>
      </c>
      <c r="AJ1004">
        <v>53540163032.777786</v>
      </c>
      <c r="AK1004">
        <v>17183037.550000001</v>
      </c>
    </row>
    <row r="1005" spans="1:37" x14ac:dyDescent="0.35">
      <c r="A1005" t="s">
        <v>10770</v>
      </c>
      <c r="B1005">
        <v>10.08</v>
      </c>
      <c r="C1005" t="s">
        <v>313</v>
      </c>
      <c r="D1005" t="s">
        <v>10566</v>
      </c>
      <c r="E1005" t="s">
        <v>10771</v>
      </c>
      <c r="F1005">
        <v>0.05</v>
      </c>
      <c r="G1005" t="s">
        <v>10772</v>
      </c>
      <c r="H1005">
        <v>0.2</v>
      </c>
      <c r="I1005">
        <v>0.1</v>
      </c>
      <c r="J1005" t="s">
        <v>10773</v>
      </c>
      <c r="K1005" t="s">
        <v>10774</v>
      </c>
      <c r="L1005" t="s">
        <v>10775</v>
      </c>
      <c r="M1005" t="s">
        <v>10776</v>
      </c>
      <c r="N1005">
        <v>2615.6406066244381</v>
      </c>
      <c r="O1005">
        <v>2647.0282939039312</v>
      </c>
      <c r="P1005">
        <v>2771.4386237174158</v>
      </c>
      <c r="Q1005">
        <v>2993.153713614809</v>
      </c>
      <c r="R1005">
        <v>3115.8730158730159</v>
      </c>
      <c r="S1005" t="s">
        <v>10777</v>
      </c>
      <c r="T1005" t="s">
        <v>10778</v>
      </c>
      <c r="U1005" t="s">
        <v>10779</v>
      </c>
      <c r="V1005" t="s">
        <v>49</v>
      </c>
      <c r="W1005">
        <v>338996155</v>
      </c>
      <c r="X1005">
        <v>339500751</v>
      </c>
      <c r="Y1005">
        <v>340560751</v>
      </c>
      <c r="Z1005">
        <v>341660751</v>
      </c>
      <c r="AA1005">
        <v>343660751</v>
      </c>
      <c r="AB1005">
        <v>44334605425.377602</v>
      </c>
      <c r="AC1005">
        <v>16949807.75</v>
      </c>
      <c r="AD1005">
        <v>44933404684.931664</v>
      </c>
      <c r="AE1005">
        <v>16975037.550000001</v>
      </c>
      <c r="AF1005">
        <v>47192160952.180481</v>
      </c>
      <c r="AG1005">
        <v>17028037.550000001</v>
      </c>
      <c r="AH1005">
        <v>51132157282.603729</v>
      </c>
      <c r="AI1005">
        <v>17083037.550000001</v>
      </c>
      <c r="AJ1005">
        <v>53540163032.777786</v>
      </c>
      <c r="AK1005">
        <v>17183037.550000001</v>
      </c>
    </row>
    <row r="1006" spans="1:37" x14ac:dyDescent="0.35">
      <c r="A1006" t="s">
        <v>10780</v>
      </c>
      <c r="B1006">
        <v>10.08</v>
      </c>
      <c r="C1006" t="s">
        <v>313</v>
      </c>
      <c r="D1006" t="s">
        <v>10781</v>
      </c>
      <c r="E1006" t="s">
        <v>10782</v>
      </c>
      <c r="F1006">
        <v>0.05</v>
      </c>
      <c r="G1006" t="s">
        <v>10783</v>
      </c>
      <c r="H1006">
        <v>0.25</v>
      </c>
      <c r="I1006">
        <v>10.3</v>
      </c>
      <c r="J1006" t="s">
        <v>10784</v>
      </c>
      <c r="K1006" t="s">
        <v>10785</v>
      </c>
      <c r="L1006" t="s">
        <v>10786</v>
      </c>
      <c r="M1006" t="s">
        <v>10787</v>
      </c>
      <c r="N1006">
        <v>2615.6406066244381</v>
      </c>
      <c r="O1006">
        <v>2647.0282939039312</v>
      </c>
      <c r="P1006">
        <v>2771.4386237174158</v>
      </c>
      <c r="Q1006">
        <v>2993.153713614809</v>
      </c>
      <c r="R1006">
        <v>3115.8730158730159</v>
      </c>
      <c r="S1006" t="s">
        <v>10788</v>
      </c>
      <c r="T1006" t="s">
        <v>10789</v>
      </c>
      <c r="U1006" t="s">
        <v>10790</v>
      </c>
      <c r="V1006" t="s">
        <v>49</v>
      </c>
      <c r="W1006">
        <v>338996155</v>
      </c>
      <c r="X1006">
        <v>339500751</v>
      </c>
      <c r="Y1006">
        <v>340560751</v>
      </c>
      <c r="Z1006">
        <v>341660751</v>
      </c>
      <c r="AA1006">
        <v>343660751</v>
      </c>
      <c r="AB1006">
        <v>44334605425.377602</v>
      </c>
      <c r="AC1006">
        <v>16949807.75</v>
      </c>
      <c r="AD1006">
        <v>44933404684.931664</v>
      </c>
      <c r="AE1006">
        <v>16975037.550000001</v>
      </c>
      <c r="AF1006">
        <v>47192160952.180481</v>
      </c>
      <c r="AG1006">
        <v>17028037.550000001</v>
      </c>
      <c r="AH1006">
        <v>51132157282.603729</v>
      </c>
      <c r="AI1006">
        <v>17083037.550000001</v>
      </c>
      <c r="AJ1006">
        <v>53540163032.777786</v>
      </c>
      <c r="AK1006">
        <v>17183037.550000001</v>
      </c>
    </row>
    <row r="1007" spans="1:37" x14ac:dyDescent="0.35">
      <c r="A1007" t="s">
        <v>10791</v>
      </c>
      <c r="B1007">
        <v>14.88</v>
      </c>
      <c r="C1007" t="s">
        <v>313</v>
      </c>
      <c r="D1007" t="s">
        <v>10792</v>
      </c>
      <c r="E1007" t="s">
        <v>10793</v>
      </c>
      <c r="F1007">
        <v>0.05</v>
      </c>
      <c r="G1007" t="s">
        <v>10794</v>
      </c>
      <c r="H1007">
        <v>0.25</v>
      </c>
      <c r="I1007">
        <v>0.1</v>
      </c>
      <c r="J1007" t="s">
        <v>10795</v>
      </c>
      <c r="K1007" t="s">
        <v>10796</v>
      </c>
      <c r="L1007" t="s">
        <v>10797</v>
      </c>
      <c r="M1007" t="s">
        <v>10798</v>
      </c>
      <c r="N1007">
        <v>2615.6406066244381</v>
      </c>
      <c r="O1007">
        <v>2647.0282939039312</v>
      </c>
      <c r="P1007">
        <v>2771.4386237174158</v>
      </c>
      <c r="Q1007">
        <v>2993.153713614809</v>
      </c>
      <c r="R1007">
        <v>3115.8730158730159</v>
      </c>
      <c r="S1007" t="s">
        <v>10799</v>
      </c>
      <c r="T1007" t="s">
        <v>6630</v>
      </c>
      <c r="U1007" t="s">
        <v>10800</v>
      </c>
      <c r="V1007" t="s">
        <v>49</v>
      </c>
      <c r="W1007">
        <v>338996155</v>
      </c>
      <c r="X1007">
        <v>339500751</v>
      </c>
      <c r="Y1007">
        <v>340560751</v>
      </c>
      <c r="Z1007">
        <v>341660751</v>
      </c>
      <c r="AA1007">
        <v>343660751</v>
      </c>
      <c r="AB1007">
        <v>44334605425.377602</v>
      </c>
      <c r="AC1007">
        <v>16949807.75</v>
      </c>
      <c r="AD1007">
        <v>44933404684.931664</v>
      </c>
      <c r="AE1007">
        <v>16975037.550000001</v>
      </c>
      <c r="AF1007">
        <v>47192160952.180481</v>
      </c>
      <c r="AG1007">
        <v>17028037.550000001</v>
      </c>
      <c r="AH1007">
        <v>51132157282.603729</v>
      </c>
      <c r="AI1007">
        <v>17083037.550000001</v>
      </c>
      <c r="AJ1007">
        <v>53540163032.777786</v>
      </c>
      <c r="AK1007">
        <v>17183037.550000001</v>
      </c>
    </row>
    <row r="1008" spans="1:37" x14ac:dyDescent="0.35">
      <c r="A1008" t="s">
        <v>10801</v>
      </c>
      <c r="B1008">
        <v>14.88</v>
      </c>
      <c r="C1008" t="s">
        <v>313</v>
      </c>
      <c r="D1008" t="s">
        <v>10802</v>
      </c>
      <c r="E1008" t="s">
        <v>10803</v>
      </c>
      <c r="F1008">
        <v>0.05</v>
      </c>
      <c r="G1008" t="s">
        <v>10804</v>
      </c>
      <c r="H1008">
        <v>0.3</v>
      </c>
      <c r="I1008">
        <v>0.15</v>
      </c>
      <c r="J1008" t="s">
        <v>10805</v>
      </c>
      <c r="K1008" t="s">
        <v>10806</v>
      </c>
      <c r="L1008" t="s">
        <v>10807</v>
      </c>
      <c r="M1008" t="s">
        <v>10808</v>
      </c>
      <c r="N1008">
        <v>2615.6406066244381</v>
      </c>
      <c r="O1008">
        <v>2647.0282939039312</v>
      </c>
      <c r="P1008">
        <v>2771.4386237174158</v>
      </c>
      <c r="Q1008">
        <v>2993.153713614809</v>
      </c>
      <c r="R1008">
        <v>3115.8730158730159</v>
      </c>
      <c r="S1008" t="s">
        <v>10809</v>
      </c>
      <c r="T1008" t="s">
        <v>10810</v>
      </c>
      <c r="U1008" t="s">
        <v>10510</v>
      </c>
      <c r="V1008" t="s">
        <v>49</v>
      </c>
      <c r="W1008">
        <v>338996155</v>
      </c>
      <c r="X1008">
        <v>339500751</v>
      </c>
      <c r="Y1008">
        <v>340560751</v>
      </c>
      <c r="Z1008">
        <v>341660751</v>
      </c>
      <c r="AA1008">
        <v>343660751</v>
      </c>
      <c r="AB1008">
        <v>44334605425.377602</v>
      </c>
      <c r="AC1008">
        <v>16949807.75</v>
      </c>
      <c r="AD1008">
        <v>44933404684.931664</v>
      </c>
      <c r="AE1008">
        <v>16975037.550000001</v>
      </c>
      <c r="AF1008">
        <v>47192160952.180481</v>
      </c>
      <c r="AG1008">
        <v>17028037.550000001</v>
      </c>
      <c r="AH1008">
        <v>51132157282.603729</v>
      </c>
      <c r="AI1008">
        <v>17083037.550000001</v>
      </c>
      <c r="AJ1008">
        <v>53540163032.777786</v>
      </c>
      <c r="AK1008">
        <v>17183037.550000001</v>
      </c>
    </row>
    <row r="1009" spans="1:37" x14ac:dyDescent="0.35">
      <c r="A1009" t="s">
        <v>10811</v>
      </c>
      <c r="B1009">
        <v>10.08</v>
      </c>
      <c r="C1009" t="s">
        <v>313</v>
      </c>
      <c r="D1009" t="s">
        <v>10812</v>
      </c>
      <c r="E1009" t="s">
        <v>10813</v>
      </c>
      <c r="F1009">
        <v>0.05</v>
      </c>
      <c r="G1009" t="s">
        <v>10814</v>
      </c>
      <c r="H1009">
        <v>0.25</v>
      </c>
      <c r="I1009">
        <v>0.1</v>
      </c>
      <c r="J1009" t="s">
        <v>10815</v>
      </c>
      <c r="K1009" t="s">
        <v>10816</v>
      </c>
      <c r="L1009" t="s">
        <v>10817</v>
      </c>
      <c r="M1009" t="s">
        <v>10818</v>
      </c>
      <c r="N1009">
        <v>2615.6406066244381</v>
      </c>
      <c r="O1009">
        <v>2647.0282939039312</v>
      </c>
      <c r="P1009">
        <v>2771.4386237174158</v>
      </c>
      <c r="Q1009">
        <v>2993.153713614809</v>
      </c>
      <c r="R1009">
        <v>3115.8730158730159</v>
      </c>
      <c r="S1009" t="s">
        <v>10819</v>
      </c>
      <c r="T1009" t="s">
        <v>10820</v>
      </c>
      <c r="U1009" t="s">
        <v>10821</v>
      </c>
      <c r="V1009" t="s">
        <v>49</v>
      </c>
      <c r="W1009">
        <v>338996155</v>
      </c>
      <c r="X1009">
        <v>339500751</v>
      </c>
      <c r="Y1009">
        <v>340560751</v>
      </c>
      <c r="Z1009">
        <v>341660751</v>
      </c>
      <c r="AA1009">
        <v>343660751</v>
      </c>
      <c r="AB1009">
        <v>44334605425.377602</v>
      </c>
      <c r="AC1009">
        <v>16949807.75</v>
      </c>
      <c r="AD1009">
        <v>44933404684.931664</v>
      </c>
      <c r="AE1009">
        <v>16975037.550000001</v>
      </c>
      <c r="AF1009">
        <v>47192160952.180481</v>
      </c>
      <c r="AG1009">
        <v>17028037.550000001</v>
      </c>
      <c r="AH1009">
        <v>51132157282.603729</v>
      </c>
      <c r="AI1009">
        <v>17083037.550000001</v>
      </c>
      <c r="AJ1009">
        <v>53540163032.777786</v>
      </c>
      <c r="AK1009">
        <v>17183037.550000001</v>
      </c>
    </row>
    <row r="1010" spans="1:37" x14ac:dyDescent="0.35">
      <c r="A1010" t="s">
        <v>10822</v>
      </c>
      <c r="B1010">
        <v>9.1199999999999992</v>
      </c>
      <c r="C1010" t="s">
        <v>313</v>
      </c>
      <c r="D1010" t="s">
        <v>10823</v>
      </c>
      <c r="E1010" t="s">
        <v>10824</v>
      </c>
      <c r="F1010">
        <v>0.05</v>
      </c>
      <c r="G1010" t="s">
        <v>10825</v>
      </c>
      <c r="H1010">
        <v>0.3</v>
      </c>
      <c r="I1010">
        <v>0.26</v>
      </c>
      <c r="J1010" t="s">
        <v>10826</v>
      </c>
      <c r="K1010" t="s">
        <v>10827</v>
      </c>
      <c r="L1010" t="s">
        <v>10828</v>
      </c>
      <c r="M1010" t="s">
        <v>10829</v>
      </c>
      <c r="N1010">
        <v>2615.6406066244381</v>
      </c>
      <c r="O1010">
        <v>2647.0282939039312</v>
      </c>
      <c r="P1010">
        <v>2771.4386237174158</v>
      </c>
      <c r="Q1010">
        <v>2993.153713614809</v>
      </c>
      <c r="R1010">
        <v>3115.8730158730159</v>
      </c>
      <c r="S1010" t="s">
        <v>10830</v>
      </c>
      <c r="T1010" t="s">
        <v>10831</v>
      </c>
      <c r="U1010" t="s">
        <v>10832</v>
      </c>
      <c r="V1010" t="s">
        <v>49</v>
      </c>
      <c r="W1010">
        <v>338996155</v>
      </c>
      <c r="X1010">
        <v>339500751</v>
      </c>
      <c r="Y1010">
        <v>340560751</v>
      </c>
      <c r="Z1010">
        <v>341660751</v>
      </c>
      <c r="AA1010">
        <v>343660751</v>
      </c>
      <c r="AB1010">
        <v>44334605425.377602</v>
      </c>
      <c r="AC1010">
        <v>16949807.75</v>
      </c>
      <c r="AD1010">
        <v>44933404684.931664</v>
      </c>
      <c r="AE1010">
        <v>16975037.550000001</v>
      </c>
      <c r="AF1010">
        <v>47192160952.180481</v>
      </c>
      <c r="AG1010">
        <v>17028037.550000001</v>
      </c>
      <c r="AH1010">
        <v>51132157282.603729</v>
      </c>
      <c r="AI1010">
        <v>17083037.550000001</v>
      </c>
      <c r="AJ1010">
        <v>53540163032.777786</v>
      </c>
      <c r="AK1010">
        <v>17183037.550000001</v>
      </c>
    </row>
    <row r="1011" spans="1:37" x14ac:dyDescent="0.35">
      <c r="A1011" t="s">
        <v>10833</v>
      </c>
      <c r="B1011">
        <v>9.1199999999999992</v>
      </c>
      <c r="C1011" t="s">
        <v>313</v>
      </c>
      <c r="D1011" t="s">
        <v>10834</v>
      </c>
      <c r="E1011" t="s">
        <v>10835</v>
      </c>
      <c r="F1011">
        <v>0.05</v>
      </c>
      <c r="G1011" t="s">
        <v>10836</v>
      </c>
      <c r="H1011">
        <v>20.3</v>
      </c>
      <c r="I1011">
        <v>0.25</v>
      </c>
      <c r="J1011" t="s">
        <v>10837</v>
      </c>
      <c r="K1011" t="s">
        <v>10838</v>
      </c>
      <c r="L1011" t="s">
        <v>10839</v>
      </c>
      <c r="M1011" t="s">
        <v>10840</v>
      </c>
      <c r="N1011">
        <v>2615.6406066244381</v>
      </c>
      <c r="O1011">
        <v>2647.0282939039312</v>
      </c>
      <c r="P1011">
        <v>2771.4386237174158</v>
      </c>
      <c r="Q1011">
        <v>2993.153713614809</v>
      </c>
      <c r="R1011">
        <v>3115.8730158730159</v>
      </c>
      <c r="S1011" t="s">
        <v>10841</v>
      </c>
      <c r="T1011" t="s">
        <v>10842</v>
      </c>
      <c r="U1011" t="s">
        <v>10843</v>
      </c>
      <c r="V1011" t="s">
        <v>49</v>
      </c>
      <c r="W1011">
        <v>338996155</v>
      </c>
      <c r="X1011">
        <v>339500751</v>
      </c>
      <c r="Y1011">
        <v>340560751</v>
      </c>
      <c r="Z1011">
        <v>341660751</v>
      </c>
      <c r="AA1011">
        <v>343660751</v>
      </c>
      <c r="AB1011">
        <v>44334605425.377602</v>
      </c>
      <c r="AC1011">
        <v>16949807.75</v>
      </c>
      <c r="AD1011">
        <v>44933404684.931664</v>
      </c>
      <c r="AE1011">
        <v>16975037.550000001</v>
      </c>
      <c r="AF1011">
        <v>47192160952.180481</v>
      </c>
      <c r="AG1011">
        <v>17028037.550000001</v>
      </c>
      <c r="AH1011">
        <v>51132157282.603729</v>
      </c>
      <c r="AI1011">
        <v>17083037.550000001</v>
      </c>
      <c r="AJ1011">
        <v>53540163032.777786</v>
      </c>
      <c r="AK1011">
        <v>17183037.550000001</v>
      </c>
    </row>
    <row r="1012" spans="1:37" x14ac:dyDescent="0.35">
      <c r="A1012" t="s">
        <v>10844</v>
      </c>
      <c r="B1012">
        <v>9.1199999999999992</v>
      </c>
      <c r="C1012" t="s">
        <v>313</v>
      </c>
      <c r="D1012" t="s">
        <v>10845</v>
      </c>
      <c r="E1012" t="s">
        <v>10846</v>
      </c>
      <c r="F1012">
        <v>0.05</v>
      </c>
      <c r="G1012" t="s">
        <v>10847</v>
      </c>
      <c r="H1012">
        <v>0.3</v>
      </c>
      <c r="I1012">
        <v>10.25</v>
      </c>
      <c r="J1012" t="s">
        <v>10848</v>
      </c>
      <c r="K1012" t="s">
        <v>10849</v>
      </c>
      <c r="L1012" t="s">
        <v>10850</v>
      </c>
      <c r="M1012" t="s">
        <v>10851</v>
      </c>
      <c r="N1012">
        <v>2615.6406066244381</v>
      </c>
      <c r="O1012">
        <v>2647.0282939039312</v>
      </c>
      <c r="P1012">
        <v>2771.4386237174158</v>
      </c>
      <c r="Q1012">
        <v>2993.153713614809</v>
      </c>
      <c r="R1012">
        <v>3115.8730158730159</v>
      </c>
      <c r="S1012" t="s">
        <v>10852</v>
      </c>
      <c r="T1012" t="s">
        <v>10853</v>
      </c>
      <c r="U1012" t="s">
        <v>10854</v>
      </c>
      <c r="V1012" t="s">
        <v>49</v>
      </c>
      <c r="W1012">
        <v>338996155</v>
      </c>
      <c r="X1012">
        <v>339500751</v>
      </c>
      <c r="Y1012">
        <v>340560751</v>
      </c>
      <c r="Z1012">
        <v>341660751</v>
      </c>
      <c r="AA1012">
        <v>343660751</v>
      </c>
      <c r="AB1012">
        <v>44334605425.377602</v>
      </c>
      <c r="AC1012">
        <v>16949807.75</v>
      </c>
      <c r="AD1012">
        <v>44933404684.931664</v>
      </c>
      <c r="AE1012">
        <v>16975037.550000001</v>
      </c>
      <c r="AF1012">
        <v>47192160952.180481</v>
      </c>
      <c r="AG1012">
        <v>17028037.550000001</v>
      </c>
      <c r="AH1012">
        <v>51132157282.603729</v>
      </c>
      <c r="AI1012">
        <v>17083037.550000001</v>
      </c>
      <c r="AJ1012">
        <v>53540163032.777786</v>
      </c>
      <c r="AK1012">
        <v>17183037.550000001</v>
      </c>
    </row>
    <row r="1013" spans="1:37" x14ac:dyDescent="0.35">
      <c r="A1013" t="s">
        <v>10855</v>
      </c>
      <c r="B1013">
        <v>83.04</v>
      </c>
      <c r="C1013" t="s">
        <v>313</v>
      </c>
      <c r="D1013" t="s">
        <v>10856</v>
      </c>
      <c r="E1013" t="s">
        <v>10857</v>
      </c>
      <c r="F1013">
        <v>0.05</v>
      </c>
      <c r="G1013" t="s">
        <v>10858</v>
      </c>
      <c r="H1013">
        <v>0.3</v>
      </c>
      <c r="I1013">
        <v>10.25</v>
      </c>
      <c r="J1013" t="s">
        <v>10859</v>
      </c>
      <c r="K1013" t="s">
        <v>10860</v>
      </c>
      <c r="L1013" t="s">
        <v>10861</v>
      </c>
      <c r="M1013" t="s">
        <v>10862</v>
      </c>
      <c r="N1013">
        <v>2615.6406066244381</v>
      </c>
      <c r="O1013">
        <v>2647.0282939039312</v>
      </c>
      <c r="P1013">
        <v>2771.4386237174158</v>
      </c>
      <c r="Q1013">
        <v>2993.153713614809</v>
      </c>
      <c r="R1013">
        <v>3115.8730158730159</v>
      </c>
      <c r="S1013" t="s">
        <v>10863</v>
      </c>
      <c r="T1013" t="s">
        <v>10864</v>
      </c>
      <c r="U1013" t="s">
        <v>10865</v>
      </c>
      <c r="V1013" t="s">
        <v>49</v>
      </c>
      <c r="W1013">
        <v>338996155</v>
      </c>
      <c r="X1013">
        <v>339500751</v>
      </c>
      <c r="Y1013">
        <v>340560751</v>
      </c>
      <c r="Z1013">
        <v>341660751</v>
      </c>
      <c r="AA1013">
        <v>343660751</v>
      </c>
      <c r="AB1013">
        <v>44334605425.377602</v>
      </c>
      <c r="AC1013">
        <v>16949807.75</v>
      </c>
      <c r="AD1013">
        <v>44933404684.931664</v>
      </c>
      <c r="AE1013">
        <v>16975037.550000001</v>
      </c>
      <c r="AF1013">
        <v>47192160952.180481</v>
      </c>
      <c r="AG1013">
        <v>17028037.550000001</v>
      </c>
      <c r="AH1013">
        <v>51132157282.603729</v>
      </c>
      <c r="AI1013">
        <v>17083037.550000001</v>
      </c>
      <c r="AJ1013">
        <v>53540163032.777786</v>
      </c>
      <c r="AK1013">
        <v>17183037.550000001</v>
      </c>
    </row>
    <row r="1014" spans="1:37" x14ac:dyDescent="0.35">
      <c r="A1014" t="s">
        <v>10866</v>
      </c>
      <c r="B1014">
        <v>38.880000000000003</v>
      </c>
      <c r="C1014" t="s">
        <v>313</v>
      </c>
      <c r="D1014" t="s">
        <v>10867</v>
      </c>
      <c r="E1014" t="s">
        <v>10868</v>
      </c>
      <c r="F1014">
        <v>0.05</v>
      </c>
      <c r="G1014" t="s">
        <v>10869</v>
      </c>
      <c r="H1014">
        <v>0.25</v>
      </c>
      <c r="I1014">
        <v>0.1</v>
      </c>
      <c r="J1014" t="s">
        <v>10870</v>
      </c>
      <c r="K1014" t="s">
        <v>10871</v>
      </c>
      <c r="L1014" t="s">
        <v>10872</v>
      </c>
      <c r="M1014" t="s">
        <v>10873</v>
      </c>
      <c r="N1014">
        <v>2615.6406066244381</v>
      </c>
      <c r="O1014">
        <v>2647.0282939039312</v>
      </c>
      <c r="P1014">
        <v>2771.4386237174158</v>
      </c>
      <c r="Q1014">
        <v>2993.153713614809</v>
      </c>
      <c r="R1014">
        <v>3115.8730158730159</v>
      </c>
      <c r="S1014" t="s">
        <v>10874</v>
      </c>
      <c r="T1014" t="s">
        <v>10875</v>
      </c>
      <c r="U1014" t="s">
        <v>10521</v>
      </c>
      <c r="V1014" t="s">
        <v>49</v>
      </c>
      <c r="W1014">
        <v>338996155</v>
      </c>
      <c r="X1014">
        <v>339500751</v>
      </c>
      <c r="Y1014">
        <v>340560751</v>
      </c>
      <c r="Z1014">
        <v>341660751</v>
      </c>
      <c r="AA1014">
        <v>343660751</v>
      </c>
      <c r="AB1014">
        <v>44334605425.377602</v>
      </c>
      <c r="AC1014">
        <v>16949807.75</v>
      </c>
      <c r="AD1014">
        <v>44933404684.931664</v>
      </c>
      <c r="AE1014">
        <v>16975037.550000001</v>
      </c>
      <c r="AF1014">
        <v>47192160952.180481</v>
      </c>
      <c r="AG1014">
        <v>17028037.550000001</v>
      </c>
      <c r="AH1014">
        <v>51132157282.603729</v>
      </c>
      <c r="AI1014">
        <v>17083037.550000001</v>
      </c>
      <c r="AJ1014">
        <v>53540163032.777786</v>
      </c>
      <c r="AK1014">
        <v>17183037.550000001</v>
      </c>
    </row>
    <row r="1015" spans="1:37" x14ac:dyDescent="0.35">
      <c r="A1015" t="s">
        <v>10876</v>
      </c>
      <c r="B1015">
        <v>24.3</v>
      </c>
      <c r="C1015" t="s">
        <v>313</v>
      </c>
      <c r="D1015" t="s">
        <v>10877</v>
      </c>
      <c r="E1015" t="s">
        <v>10878</v>
      </c>
      <c r="F1015">
        <v>0.05</v>
      </c>
      <c r="G1015" t="s">
        <v>10879</v>
      </c>
      <c r="H1015">
        <v>20.3</v>
      </c>
      <c r="I1015">
        <v>10.15</v>
      </c>
      <c r="J1015" t="s">
        <v>10880</v>
      </c>
      <c r="K1015" t="s">
        <v>10881</v>
      </c>
      <c r="L1015" t="s">
        <v>10882</v>
      </c>
      <c r="M1015" t="s">
        <v>10883</v>
      </c>
      <c r="N1015">
        <v>2615.6406066244381</v>
      </c>
      <c r="O1015">
        <v>2647.0282939039312</v>
      </c>
      <c r="P1015">
        <v>2771.4386237174158</v>
      </c>
      <c r="Q1015">
        <v>2993.153713614809</v>
      </c>
      <c r="R1015">
        <v>3115.8730158730159</v>
      </c>
      <c r="S1015" t="s">
        <v>10884</v>
      </c>
      <c r="T1015" t="s">
        <v>10885</v>
      </c>
      <c r="U1015" t="s">
        <v>10886</v>
      </c>
      <c r="V1015" t="s">
        <v>49</v>
      </c>
      <c r="W1015">
        <v>338996155</v>
      </c>
      <c r="X1015">
        <v>339500751</v>
      </c>
      <c r="Y1015">
        <v>340560751</v>
      </c>
      <c r="Z1015">
        <v>341660751</v>
      </c>
      <c r="AA1015">
        <v>343660751</v>
      </c>
      <c r="AB1015">
        <v>44334605425.377602</v>
      </c>
      <c r="AC1015">
        <v>16949807.75</v>
      </c>
      <c r="AD1015">
        <v>44933404684.931664</v>
      </c>
      <c r="AE1015">
        <v>16975037.550000001</v>
      </c>
      <c r="AF1015">
        <v>47192160952.180481</v>
      </c>
      <c r="AG1015">
        <v>17028037.550000001</v>
      </c>
      <c r="AH1015">
        <v>51132157282.603729</v>
      </c>
      <c r="AI1015">
        <v>17083037.550000001</v>
      </c>
      <c r="AJ1015">
        <v>53540163032.777786</v>
      </c>
      <c r="AK1015">
        <v>17183037.550000001</v>
      </c>
    </row>
    <row r="1016" spans="1:37" x14ac:dyDescent="0.35">
      <c r="A1016" t="s">
        <v>10887</v>
      </c>
      <c r="B1016">
        <v>48.96</v>
      </c>
      <c r="C1016" t="s">
        <v>4081</v>
      </c>
      <c r="D1016" t="s">
        <v>10888</v>
      </c>
      <c r="E1016" t="s">
        <v>10889</v>
      </c>
      <c r="F1016">
        <v>0.06</v>
      </c>
      <c r="G1016" t="s">
        <v>10890</v>
      </c>
      <c r="H1016">
        <v>1.55</v>
      </c>
      <c r="I1016">
        <v>0.01</v>
      </c>
      <c r="J1016" t="s">
        <v>10891</v>
      </c>
      <c r="K1016" t="s">
        <v>10892</v>
      </c>
      <c r="L1016" t="s">
        <v>10893</v>
      </c>
      <c r="M1016" t="s">
        <v>10894</v>
      </c>
      <c r="N1016">
        <v>447.71026175538009</v>
      </c>
      <c r="O1016">
        <v>453.08278489644471</v>
      </c>
      <c r="P1016">
        <v>474.37767578657753</v>
      </c>
      <c r="Q1016">
        <v>512.32788984950378</v>
      </c>
      <c r="R1016">
        <v>533.33333333333337</v>
      </c>
      <c r="S1016" t="s">
        <v>10895</v>
      </c>
      <c r="T1016" t="s">
        <v>10896</v>
      </c>
      <c r="U1016" t="s">
        <v>10897</v>
      </c>
      <c r="V1016" t="s">
        <v>49</v>
      </c>
      <c r="W1016">
        <v>338996155</v>
      </c>
      <c r="X1016">
        <v>339500751</v>
      </c>
      <c r="Y1016">
        <v>340560751</v>
      </c>
      <c r="Z1016">
        <v>341660751</v>
      </c>
      <c r="AA1016">
        <v>343660751</v>
      </c>
      <c r="AB1016">
        <v>9106323437.347044</v>
      </c>
      <c r="AC1016">
        <v>20339769.300000001</v>
      </c>
      <c r="AD1016">
        <v>9229316744.250864</v>
      </c>
      <c r="AE1016">
        <v>20370045.059999999</v>
      </c>
      <c r="AF1016">
        <v>9693265051.4106808</v>
      </c>
      <c r="AG1016">
        <v>20433645.059999999</v>
      </c>
      <c r="AH1016">
        <v>10502539896.253599</v>
      </c>
      <c r="AI1016">
        <v>20499645.059999999</v>
      </c>
      <c r="AJ1016">
        <v>10997144032</v>
      </c>
      <c r="AK1016">
        <v>20619645.059999999</v>
      </c>
    </row>
    <row r="1017" spans="1:37" x14ac:dyDescent="0.35">
      <c r="A1017" t="s">
        <v>10898</v>
      </c>
      <c r="B1017">
        <v>48.96</v>
      </c>
      <c r="C1017" t="s">
        <v>4081</v>
      </c>
      <c r="D1017" t="s">
        <v>10899</v>
      </c>
      <c r="E1017" t="s">
        <v>10900</v>
      </c>
      <c r="F1017">
        <v>0.06</v>
      </c>
      <c r="G1017" t="s">
        <v>10901</v>
      </c>
      <c r="H1017">
        <v>2.0499999999999998</v>
      </c>
      <c r="I1017">
        <v>0.01</v>
      </c>
      <c r="J1017" t="s">
        <v>10902</v>
      </c>
      <c r="K1017" t="s">
        <v>10903</v>
      </c>
      <c r="L1017" t="s">
        <v>10904</v>
      </c>
      <c r="M1017" t="s">
        <v>10905</v>
      </c>
      <c r="N1017">
        <v>447.71026175538009</v>
      </c>
      <c r="O1017">
        <v>453.08278489644471</v>
      </c>
      <c r="P1017">
        <v>474.37767578657753</v>
      </c>
      <c r="Q1017">
        <v>512.32788984950378</v>
      </c>
      <c r="R1017">
        <v>533.33333333333337</v>
      </c>
      <c r="S1017" t="s">
        <v>10906</v>
      </c>
      <c r="T1017" t="s">
        <v>10907</v>
      </c>
      <c r="U1017" t="s">
        <v>10908</v>
      </c>
      <c r="V1017" t="s">
        <v>49</v>
      </c>
      <c r="W1017">
        <v>338996155</v>
      </c>
      <c r="X1017">
        <v>339500751</v>
      </c>
      <c r="Y1017">
        <v>340560751</v>
      </c>
      <c r="Z1017">
        <v>341660751</v>
      </c>
      <c r="AA1017">
        <v>343660751</v>
      </c>
      <c r="AB1017">
        <v>9106323437.347044</v>
      </c>
      <c r="AC1017">
        <v>20339769.300000001</v>
      </c>
      <c r="AD1017">
        <v>9229316744.250864</v>
      </c>
      <c r="AE1017">
        <v>20370045.059999999</v>
      </c>
      <c r="AF1017">
        <v>9693265051.4106808</v>
      </c>
      <c r="AG1017">
        <v>20433645.059999999</v>
      </c>
      <c r="AH1017">
        <v>10502539896.253599</v>
      </c>
      <c r="AI1017">
        <v>20499645.059999999</v>
      </c>
      <c r="AJ1017">
        <v>10997144032</v>
      </c>
      <c r="AK1017">
        <v>20619645.059999999</v>
      </c>
    </row>
    <row r="1018" spans="1:37" x14ac:dyDescent="0.35">
      <c r="A1018" t="s">
        <v>10909</v>
      </c>
      <c r="B1018">
        <v>9.1199999999999992</v>
      </c>
      <c r="C1018" t="s">
        <v>313</v>
      </c>
      <c r="D1018" t="s">
        <v>10910</v>
      </c>
      <c r="E1018" t="s">
        <v>10911</v>
      </c>
      <c r="F1018">
        <v>0.05</v>
      </c>
      <c r="G1018" t="s">
        <v>10912</v>
      </c>
      <c r="H1018">
        <v>20.3</v>
      </c>
      <c r="I1018">
        <v>8.3000000000000007</v>
      </c>
      <c r="J1018" t="s">
        <v>10913</v>
      </c>
      <c r="K1018" t="s">
        <v>10914</v>
      </c>
      <c r="L1018" t="s">
        <v>10915</v>
      </c>
      <c r="M1018" t="s">
        <v>10916</v>
      </c>
      <c r="N1018">
        <v>2615.6406066244381</v>
      </c>
      <c r="O1018">
        <v>2647.0282939039312</v>
      </c>
      <c r="P1018">
        <v>2771.4386237174158</v>
      </c>
      <c r="Q1018">
        <v>2993.153713614809</v>
      </c>
      <c r="R1018">
        <v>3115.8730158730159</v>
      </c>
      <c r="S1018" t="s">
        <v>10917</v>
      </c>
      <c r="T1018" t="s">
        <v>10918</v>
      </c>
      <c r="U1018" t="s">
        <v>10919</v>
      </c>
      <c r="V1018" t="s">
        <v>49</v>
      </c>
      <c r="W1018">
        <v>338996155</v>
      </c>
      <c r="X1018">
        <v>339500751</v>
      </c>
      <c r="Y1018">
        <v>340560751</v>
      </c>
      <c r="Z1018">
        <v>341660751</v>
      </c>
      <c r="AA1018">
        <v>343660751</v>
      </c>
      <c r="AB1018">
        <v>44334605425.377602</v>
      </c>
      <c r="AC1018">
        <v>16949807.75</v>
      </c>
      <c r="AD1018">
        <v>44933404684.931664</v>
      </c>
      <c r="AE1018">
        <v>16975037.550000001</v>
      </c>
      <c r="AF1018">
        <v>47192160952.180481</v>
      </c>
      <c r="AG1018">
        <v>17028037.550000001</v>
      </c>
      <c r="AH1018">
        <v>51132157282.603729</v>
      </c>
      <c r="AI1018">
        <v>17083037.550000001</v>
      </c>
      <c r="AJ1018">
        <v>53540163032.777786</v>
      </c>
      <c r="AK1018">
        <v>17183037.550000001</v>
      </c>
    </row>
    <row r="1019" spans="1:37" x14ac:dyDescent="0.35">
      <c r="A1019" t="s">
        <v>10920</v>
      </c>
      <c r="B1019">
        <v>10.08</v>
      </c>
      <c r="C1019" t="s">
        <v>313</v>
      </c>
      <c r="D1019" t="s">
        <v>10921</v>
      </c>
      <c r="E1019" t="s">
        <v>10922</v>
      </c>
      <c r="F1019">
        <v>0.05</v>
      </c>
      <c r="G1019" t="s">
        <v>10923</v>
      </c>
      <c r="H1019">
        <v>15.2</v>
      </c>
      <c r="I1019">
        <v>10.3</v>
      </c>
      <c r="J1019" t="s">
        <v>10924</v>
      </c>
      <c r="K1019" t="s">
        <v>10925</v>
      </c>
      <c r="L1019" t="s">
        <v>10926</v>
      </c>
      <c r="M1019" t="s">
        <v>10927</v>
      </c>
      <c r="N1019">
        <v>2615.6406066244381</v>
      </c>
      <c r="O1019">
        <v>2647.0282939039312</v>
      </c>
      <c r="P1019">
        <v>2771.4386237174158</v>
      </c>
      <c r="Q1019">
        <v>2993.153713614809</v>
      </c>
      <c r="R1019">
        <v>3115.8730158730159</v>
      </c>
      <c r="S1019" t="s">
        <v>10928</v>
      </c>
      <c r="T1019" t="s">
        <v>10929</v>
      </c>
      <c r="U1019" t="s">
        <v>10930</v>
      </c>
      <c r="V1019" t="s">
        <v>49</v>
      </c>
      <c r="W1019">
        <v>338996155</v>
      </c>
      <c r="X1019">
        <v>339500751</v>
      </c>
      <c r="Y1019">
        <v>340560751</v>
      </c>
      <c r="Z1019">
        <v>341660751</v>
      </c>
      <c r="AA1019">
        <v>343660751</v>
      </c>
      <c r="AB1019">
        <v>44334605425.377602</v>
      </c>
      <c r="AC1019">
        <v>16949807.75</v>
      </c>
      <c r="AD1019">
        <v>44933404684.931664</v>
      </c>
      <c r="AE1019">
        <v>16975037.550000001</v>
      </c>
      <c r="AF1019">
        <v>47192160952.180481</v>
      </c>
      <c r="AG1019">
        <v>17028037.550000001</v>
      </c>
      <c r="AH1019">
        <v>51132157282.603729</v>
      </c>
      <c r="AI1019">
        <v>17083037.550000001</v>
      </c>
      <c r="AJ1019">
        <v>53540163032.777786</v>
      </c>
      <c r="AK1019">
        <v>17183037.550000001</v>
      </c>
    </row>
    <row r="1020" spans="1:37" x14ac:dyDescent="0.35">
      <c r="A1020" t="s">
        <v>10931</v>
      </c>
      <c r="B1020">
        <v>48.96</v>
      </c>
      <c r="C1020" t="s">
        <v>4081</v>
      </c>
      <c r="D1020" t="s">
        <v>10932</v>
      </c>
      <c r="E1020" t="s">
        <v>10933</v>
      </c>
      <c r="F1020">
        <v>0.06</v>
      </c>
      <c r="G1020" t="s">
        <v>10934</v>
      </c>
      <c r="H1020">
        <v>0.15</v>
      </c>
      <c r="I1020">
        <v>0.12</v>
      </c>
      <c r="J1020" t="s">
        <v>10935</v>
      </c>
      <c r="K1020" t="s">
        <v>10936</v>
      </c>
      <c r="L1020" t="s">
        <v>10937</v>
      </c>
      <c r="M1020" t="s">
        <v>10938</v>
      </c>
      <c r="N1020">
        <v>447.71026175538009</v>
      </c>
      <c r="O1020">
        <v>453.08278489644471</v>
      </c>
      <c r="P1020">
        <v>474.37767578657753</v>
      </c>
      <c r="Q1020">
        <v>512.32788984950378</v>
      </c>
      <c r="R1020">
        <v>533.33333333333337</v>
      </c>
      <c r="S1020" t="s">
        <v>10939</v>
      </c>
      <c r="T1020" t="s">
        <v>10940</v>
      </c>
      <c r="U1020" t="s">
        <v>10908</v>
      </c>
      <c r="V1020" t="s">
        <v>49</v>
      </c>
      <c r="W1020">
        <v>338996155</v>
      </c>
      <c r="X1020">
        <v>339500751</v>
      </c>
      <c r="Y1020">
        <v>340560751</v>
      </c>
      <c r="Z1020">
        <v>341660751</v>
      </c>
      <c r="AA1020">
        <v>343660751</v>
      </c>
      <c r="AB1020">
        <v>9106323437.347044</v>
      </c>
      <c r="AC1020">
        <v>20339769.300000001</v>
      </c>
      <c r="AD1020">
        <v>9229316744.250864</v>
      </c>
      <c r="AE1020">
        <v>20370045.059999999</v>
      </c>
      <c r="AF1020">
        <v>9693265051.4106808</v>
      </c>
      <c r="AG1020">
        <v>20433645.059999999</v>
      </c>
      <c r="AH1020">
        <v>10502539896.253599</v>
      </c>
      <c r="AI1020">
        <v>20499645.059999999</v>
      </c>
      <c r="AJ1020">
        <v>10997144032</v>
      </c>
      <c r="AK1020">
        <v>20619645.059999999</v>
      </c>
    </row>
    <row r="1021" spans="1:37" x14ac:dyDescent="0.35">
      <c r="A1021" t="s">
        <v>10941</v>
      </c>
      <c r="B1021">
        <v>26.48</v>
      </c>
      <c r="C1021" t="s">
        <v>313</v>
      </c>
      <c r="D1021" t="s">
        <v>10566</v>
      </c>
      <c r="E1021" t="s">
        <v>10942</v>
      </c>
      <c r="F1021">
        <v>0.05</v>
      </c>
      <c r="G1021" t="s">
        <v>10943</v>
      </c>
      <c r="H1021">
        <v>0.3</v>
      </c>
      <c r="I1021">
        <v>10.3</v>
      </c>
      <c r="J1021" t="s">
        <v>10944</v>
      </c>
      <c r="K1021" t="s">
        <v>10945</v>
      </c>
      <c r="L1021" t="s">
        <v>10946</v>
      </c>
      <c r="M1021" t="s">
        <v>10947</v>
      </c>
      <c r="N1021">
        <v>2615.6406066244381</v>
      </c>
      <c r="O1021">
        <v>2647.0282939039312</v>
      </c>
      <c r="P1021">
        <v>2771.4386237174158</v>
      </c>
      <c r="Q1021">
        <v>2993.153713614809</v>
      </c>
      <c r="R1021">
        <v>3115.8730158730159</v>
      </c>
      <c r="S1021" t="s">
        <v>10948</v>
      </c>
      <c r="T1021" t="s">
        <v>10949</v>
      </c>
      <c r="U1021" t="s">
        <v>10629</v>
      </c>
      <c r="V1021" t="s">
        <v>49</v>
      </c>
      <c r="W1021">
        <v>338996155</v>
      </c>
      <c r="X1021">
        <v>339500751</v>
      </c>
      <c r="Y1021">
        <v>340560751</v>
      </c>
      <c r="Z1021">
        <v>341660751</v>
      </c>
      <c r="AA1021">
        <v>343660751</v>
      </c>
      <c r="AB1021">
        <v>44334605425.377602</v>
      </c>
      <c r="AC1021">
        <v>16949807.75</v>
      </c>
      <c r="AD1021">
        <v>44933404684.931664</v>
      </c>
      <c r="AE1021">
        <v>16975037.550000001</v>
      </c>
      <c r="AF1021">
        <v>47192160952.180481</v>
      </c>
      <c r="AG1021">
        <v>17028037.550000001</v>
      </c>
      <c r="AH1021">
        <v>51132157282.603729</v>
      </c>
      <c r="AI1021">
        <v>17083037.550000001</v>
      </c>
      <c r="AJ1021">
        <v>53540163032.777786</v>
      </c>
      <c r="AK1021">
        <v>17183037.550000001</v>
      </c>
    </row>
    <row r="1022" spans="1:37" x14ac:dyDescent="0.35">
      <c r="A1022" t="s">
        <v>10950</v>
      </c>
      <c r="B1022">
        <v>115.02</v>
      </c>
      <c r="C1022" t="s">
        <v>4081</v>
      </c>
      <c r="D1022" t="s">
        <v>10951</v>
      </c>
      <c r="E1022" t="s">
        <v>10952</v>
      </c>
      <c r="F1022">
        <v>0.06</v>
      </c>
      <c r="G1022" t="s">
        <v>10953</v>
      </c>
      <c r="H1022">
        <v>0.15</v>
      </c>
      <c r="I1022">
        <v>0.05</v>
      </c>
      <c r="J1022" t="s">
        <v>10954</v>
      </c>
      <c r="K1022" t="s">
        <v>10955</v>
      </c>
      <c r="L1022" t="s">
        <v>10956</v>
      </c>
      <c r="M1022" t="s">
        <v>10957</v>
      </c>
      <c r="N1022">
        <v>447.71026175538009</v>
      </c>
      <c r="O1022">
        <v>453.08278489644471</v>
      </c>
      <c r="P1022">
        <v>474.37767578657753</v>
      </c>
      <c r="Q1022">
        <v>512.32788984950378</v>
      </c>
      <c r="R1022">
        <v>533.33333333333337</v>
      </c>
      <c r="S1022" t="s">
        <v>10958</v>
      </c>
      <c r="T1022" t="s">
        <v>10959</v>
      </c>
      <c r="U1022" t="s">
        <v>10960</v>
      </c>
      <c r="V1022" t="s">
        <v>49</v>
      </c>
      <c r="W1022">
        <v>338996155</v>
      </c>
      <c r="X1022">
        <v>339500751</v>
      </c>
      <c r="Y1022">
        <v>340560751</v>
      </c>
      <c r="Z1022">
        <v>341660751</v>
      </c>
      <c r="AA1022">
        <v>343660751</v>
      </c>
      <c r="AB1022">
        <v>9106323437.347044</v>
      </c>
      <c r="AC1022">
        <v>20339769.300000001</v>
      </c>
      <c r="AD1022">
        <v>9229316744.250864</v>
      </c>
      <c r="AE1022">
        <v>20370045.059999999</v>
      </c>
      <c r="AF1022">
        <v>9693265051.4106808</v>
      </c>
      <c r="AG1022">
        <v>20433645.059999999</v>
      </c>
      <c r="AH1022">
        <v>10502539896.253599</v>
      </c>
      <c r="AI1022">
        <v>20499645.059999999</v>
      </c>
      <c r="AJ1022">
        <v>10997144032</v>
      </c>
      <c r="AK1022">
        <v>20619645.059999999</v>
      </c>
    </row>
    <row r="1023" spans="1:37" x14ac:dyDescent="0.35">
      <c r="A1023" t="s">
        <v>10961</v>
      </c>
      <c r="B1023">
        <v>115.02</v>
      </c>
      <c r="C1023" t="s">
        <v>4081</v>
      </c>
      <c r="D1023" t="s">
        <v>10962</v>
      </c>
      <c r="E1023" t="s">
        <v>10963</v>
      </c>
      <c r="F1023">
        <v>0.06</v>
      </c>
      <c r="G1023" t="s">
        <v>10964</v>
      </c>
      <c r="H1023">
        <v>0.15</v>
      </c>
      <c r="I1023">
        <v>7.1</v>
      </c>
      <c r="J1023" t="s">
        <v>10965</v>
      </c>
      <c r="K1023" t="s">
        <v>10966</v>
      </c>
      <c r="L1023" t="s">
        <v>10967</v>
      </c>
      <c r="M1023" t="s">
        <v>10968</v>
      </c>
      <c r="N1023">
        <v>447.71026175538009</v>
      </c>
      <c r="O1023">
        <v>453.08278489644471</v>
      </c>
      <c r="P1023">
        <v>474.37767578657753</v>
      </c>
      <c r="Q1023">
        <v>512.32788984950378</v>
      </c>
      <c r="R1023">
        <v>533.33333333333337</v>
      </c>
      <c r="S1023" t="s">
        <v>10969</v>
      </c>
      <c r="T1023" t="s">
        <v>10970</v>
      </c>
      <c r="U1023" t="s">
        <v>10971</v>
      </c>
      <c r="V1023" t="s">
        <v>49</v>
      </c>
      <c r="W1023">
        <v>338996155</v>
      </c>
      <c r="X1023">
        <v>339500751</v>
      </c>
      <c r="Y1023">
        <v>340560751</v>
      </c>
      <c r="Z1023">
        <v>341660751</v>
      </c>
      <c r="AA1023">
        <v>343660751</v>
      </c>
      <c r="AB1023">
        <v>9106323437.347044</v>
      </c>
      <c r="AC1023">
        <v>20339769.300000001</v>
      </c>
      <c r="AD1023">
        <v>9229316744.250864</v>
      </c>
      <c r="AE1023">
        <v>20370045.059999999</v>
      </c>
      <c r="AF1023">
        <v>9693265051.4106808</v>
      </c>
      <c r="AG1023">
        <v>20433645.059999999</v>
      </c>
      <c r="AH1023">
        <v>10502539896.253599</v>
      </c>
      <c r="AI1023">
        <v>20499645.059999999</v>
      </c>
      <c r="AJ1023">
        <v>10997144032</v>
      </c>
      <c r="AK1023">
        <v>20619645.059999999</v>
      </c>
    </row>
    <row r="1024" spans="1:37" x14ac:dyDescent="0.35">
      <c r="A1024" t="s">
        <v>10972</v>
      </c>
      <c r="B1024">
        <v>115.02</v>
      </c>
      <c r="C1024" t="s">
        <v>4081</v>
      </c>
      <c r="D1024" t="s">
        <v>10973</v>
      </c>
      <c r="E1024" t="s">
        <v>10974</v>
      </c>
      <c r="F1024">
        <v>0.06</v>
      </c>
      <c r="G1024" t="s">
        <v>10975</v>
      </c>
      <c r="H1024">
        <v>0.25</v>
      </c>
      <c r="I1024">
        <v>0.5</v>
      </c>
      <c r="J1024" t="s">
        <v>10976</v>
      </c>
      <c r="K1024" t="s">
        <v>10977</v>
      </c>
      <c r="L1024" t="s">
        <v>10978</v>
      </c>
      <c r="M1024" t="s">
        <v>10979</v>
      </c>
      <c r="N1024">
        <v>447.71026175538009</v>
      </c>
      <c r="O1024">
        <v>453.08278489644471</v>
      </c>
      <c r="P1024">
        <v>474.37767578657753</v>
      </c>
      <c r="Q1024">
        <v>512.32788984950378</v>
      </c>
      <c r="R1024">
        <v>533.33333333333337</v>
      </c>
      <c r="S1024" t="s">
        <v>10980</v>
      </c>
      <c r="T1024" t="s">
        <v>10981</v>
      </c>
      <c r="U1024" t="s">
        <v>10865</v>
      </c>
      <c r="V1024" t="s">
        <v>49</v>
      </c>
      <c r="W1024">
        <v>338996155</v>
      </c>
      <c r="X1024">
        <v>339500751</v>
      </c>
      <c r="Y1024">
        <v>340560751</v>
      </c>
      <c r="Z1024">
        <v>341660751</v>
      </c>
      <c r="AA1024">
        <v>343660751</v>
      </c>
      <c r="AB1024">
        <v>9106323437.347044</v>
      </c>
      <c r="AC1024">
        <v>20339769.300000001</v>
      </c>
      <c r="AD1024">
        <v>9229316744.250864</v>
      </c>
      <c r="AE1024">
        <v>20370045.059999999</v>
      </c>
      <c r="AF1024">
        <v>9693265051.4106808</v>
      </c>
      <c r="AG1024">
        <v>20433645.059999999</v>
      </c>
      <c r="AH1024">
        <v>10502539896.253599</v>
      </c>
      <c r="AI1024">
        <v>20499645.059999999</v>
      </c>
      <c r="AJ1024">
        <v>10997144032</v>
      </c>
      <c r="AK1024">
        <v>20619645.059999999</v>
      </c>
    </row>
    <row r="1025" spans="1:37" x14ac:dyDescent="0.35">
      <c r="A1025" t="s">
        <v>10982</v>
      </c>
      <c r="B1025">
        <v>115.02</v>
      </c>
      <c r="C1025" t="s">
        <v>313</v>
      </c>
      <c r="D1025" t="s">
        <v>10983</v>
      </c>
      <c r="E1025" t="s">
        <v>10984</v>
      </c>
      <c r="F1025">
        <v>0.05</v>
      </c>
      <c r="G1025" t="s">
        <v>10985</v>
      </c>
      <c r="H1025">
        <v>0.3</v>
      </c>
      <c r="I1025">
        <v>0.1</v>
      </c>
      <c r="J1025" t="s">
        <v>10986</v>
      </c>
      <c r="K1025" t="s">
        <v>10987</v>
      </c>
      <c r="L1025" t="s">
        <v>10988</v>
      </c>
      <c r="M1025" t="s">
        <v>10989</v>
      </c>
      <c r="N1025">
        <v>2615.6406066244381</v>
      </c>
      <c r="O1025">
        <v>2647.0282939039312</v>
      </c>
      <c r="P1025">
        <v>2771.4386237174158</v>
      </c>
      <c r="Q1025">
        <v>2993.153713614809</v>
      </c>
      <c r="R1025">
        <v>3115.8730158730159</v>
      </c>
      <c r="S1025" t="s">
        <v>10990</v>
      </c>
      <c r="T1025" t="s">
        <v>10991</v>
      </c>
      <c r="U1025" t="s">
        <v>10843</v>
      </c>
      <c r="V1025" t="s">
        <v>49</v>
      </c>
      <c r="W1025">
        <v>338996155</v>
      </c>
      <c r="X1025">
        <v>339500751</v>
      </c>
      <c r="Y1025">
        <v>340560751</v>
      </c>
      <c r="Z1025">
        <v>341660751</v>
      </c>
      <c r="AA1025">
        <v>343660751</v>
      </c>
      <c r="AB1025">
        <v>44334605425.377602</v>
      </c>
      <c r="AC1025">
        <v>16949807.75</v>
      </c>
      <c r="AD1025">
        <v>44933404684.931664</v>
      </c>
      <c r="AE1025">
        <v>16975037.550000001</v>
      </c>
      <c r="AF1025">
        <v>47192160952.180481</v>
      </c>
      <c r="AG1025">
        <v>17028037.550000001</v>
      </c>
      <c r="AH1025">
        <v>51132157282.603729</v>
      </c>
      <c r="AI1025">
        <v>17083037.550000001</v>
      </c>
      <c r="AJ1025">
        <v>53540163032.777786</v>
      </c>
      <c r="AK1025">
        <v>17183037.550000001</v>
      </c>
    </row>
    <row r="1026" spans="1:37" x14ac:dyDescent="0.35">
      <c r="A1026" t="s">
        <v>10992</v>
      </c>
      <c r="B1026">
        <v>98</v>
      </c>
      <c r="C1026" t="s">
        <v>313</v>
      </c>
      <c r="D1026" t="s">
        <v>10993</v>
      </c>
      <c r="E1026" t="s">
        <v>10994</v>
      </c>
      <c r="F1026">
        <v>0.05</v>
      </c>
      <c r="G1026" t="s">
        <v>10995</v>
      </c>
      <c r="H1026">
        <v>0.3</v>
      </c>
      <c r="I1026">
        <v>15.2</v>
      </c>
      <c r="J1026" t="s">
        <v>10996</v>
      </c>
      <c r="K1026" t="s">
        <v>10997</v>
      </c>
      <c r="L1026" t="s">
        <v>10998</v>
      </c>
      <c r="M1026" t="s">
        <v>10999</v>
      </c>
      <c r="N1026">
        <v>2615.6406066244381</v>
      </c>
      <c r="O1026">
        <v>2647.0282939039312</v>
      </c>
      <c r="P1026">
        <v>2771.4386237174158</v>
      </c>
      <c r="Q1026">
        <v>2993.153713614809</v>
      </c>
      <c r="R1026">
        <v>3115.8730158730159</v>
      </c>
      <c r="S1026" t="s">
        <v>11000</v>
      </c>
      <c r="T1026" t="s">
        <v>11001</v>
      </c>
      <c r="U1026" t="s">
        <v>10865</v>
      </c>
      <c r="V1026" t="s">
        <v>49</v>
      </c>
      <c r="W1026">
        <v>338996155</v>
      </c>
      <c r="X1026">
        <v>339500751</v>
      </c>
      <c r="Y1026">
        <v>340560751</v>
      </c>
      <c r="Z1026">
        <v>341660751</v>
      </c>
      <c r="AA1026">
        <v>343660751</v>
      </c>
      <c r="AB1026">
        <v>44334605425.377602</v>
      </c>
      <c r="AC1026">
        <v>16949807.75</v>
      </c>
      <c r="AD1026">
        <v>44933404684.931664</v>
      </c>
      <c r="AE1026">
        <v>16975037.550000001</v>
      </c>
      <c r="AF1026">
        <v>47192160952.180481</v>
      </c>
      <c r="AG1026">
        <v>17028037.550000001</v>
      </c>
      <c r="AH1026">
        <v>51132157282.603729</v>
      </c>
      <c r="AI1026">
        <v>17083037.550000001</v>
      </c>
      <c r="AJ1026">
        <v>53540163032.777786</v>
      </c>
      <c r="AK1026">
        <v>17183037.550000001</v>
      </c>
    </row>
    <row r="1027" spans="1:37" x14ac:dyDescent="0.35">
      <c r="A1027" t="s">
        <v>11002</v>
      </c>
      <c r="B1027">
        <v>98</v>
      </c>
      <c r="C1027" t="s">
        <v>313</v>
      </c>
      <c r="D1027" t="s">
        <v>11003</v>
      </c>
      <c r="E1027" t="s">
        <v>11004</v>
      </c>
      <c r="F1027">
        <v>0.05</v>
      </c>
      <c r="G1027" t="s">
        <v>11005</v>
      </c>
      <c r="H1027">
        <v>0.3</v>
      </c>
      <c r="I1027">
        <v>10.15</v>
      </c>
      <c r="J1027" t="s">
        <v>11006</v>
      </c>
      <c r="K1027" t="s">
        <v>11007</v>
      </c>
      <c r="L1027" t="s">
        <v>11008</v>
      </c>
      <c r="M1027" t="s">
        <v>11009</v>
      </c>
      <c r="N1027">
        <v>2615.6406066244381</v>
      </c>
      <c r="O1027">
        <v>2647.0282939039312</v>
      </c>
      <c r="P1027">
        <v>2771.4386237174158</v>
      </c>
      <c r="Q1027">
        <v>2993.153713614809</v>
      </c>
      <c r="R1027">
        <v>3115.8730158730159</v>
      </c>
      <c r="S1027" t="s">
        <v>11010</v>
      </c>
      <c r="T1027" t="s">
        <v>11011</v>
      </c>
      <c r="U1027" t="s">
        <v>11012</v>
      </c>
      <c r="V1027" t="s">
        <v>49</v>
      </c>
      <c r="W1027">
        <v>338996155</v>
      </c>
      <c r="X1027">
        <v>339500751</v>
      </c>
      <c r="Y1027">
        <v>340560751</v>
      </c>
      <c r="Z1027">
        <v>341660751</v>
      </c>
      <c r="AA1027">
        <v>343660751</v>
      </c>
      <c r="AB1027">
        <v>44334605425.377602</v>
      </c>
      <c r="AC1027">
        <v>16949807.75</v>
      </c>
      <c r="AD1027">
        <v>44933404684.931664</v>
      </c>
      <c r="AE1027">
        <v>16975037.550000001</v>
      </c>
      <c r="AF1027">
        <v>47192160952.180481</v>
      </c>
      <c r="AG1027">
        <v>17028037.550000001</v>
      </c>
      <c r="AH1027">
        <v>51132157282.603729</v>
      </c>
      <c r="AI1027">
        <v>17083037.550000001</v>
      </c>
      <c r="AJ1027">
        <v>53540163032.777786</v>
      </c>
      <c r="AK1027">
        <v>17183037.550000001</v>
      </c>
    </row>
    <row r="1028" spans="1:37" x14ac:dyDescent="0.35">
      <c r="A1028" t="s">
        <v>11002</v>
      </c>
      <c r="B1028">
        <v>98</v>
      </c>
      <c r="C1028" t="s">
        <v>4081</v>
      </c>
      <c r="D1028" t="s">
        <v>11003</v>
      </c>
      <c r="E1028" t="s">
        <v>11004</v>
      </c>
      <c r="F1028">
        <v>0.06</v>
      </c>
      <c r="G1028" t="s">
        <v>11005</v>
      </c>
      <c r="H1028">
        <v>0.3</v>
      </c>
      <c r="I1028">
        <v>10.15</v>
      </c>
      <c r="J1028" t="s">
        <v>11006</v>
      </c>
      <c r="K1028" t="s">
        <v>11007</v>
      </c>
      <c r="L1028" t="s">
        <v>11008</v>
      </c>
      <c r="M1028" t="s">
        <v>11009</v>
      </c>
      <c r="N1028">
        <v>447.71026175538009</v>
      </c>
      <c r="O1028">
        <v>453.08278489644471</v>
      </c>
      <c r="P1028">
        <v>474.37767578657753</v>
      </c>
      <c r="Q1028">
        <v>512.32788984950378</v>
      </c>
      <c r="R1028">
        <v>533.33333333333337</v>
      </c>
      <c r="S1028" t="s">
        <v>11010</v>
      </c>
      <c r="T1028" t="s">
        <v>11011</v>
      </c>
      <c r="U1028" t="s">
        <v>11012</v>
      </c>
      <c r="V1028" t="s">
        <v>49</v>
      </c>
      <c r="W1028">
        <v>338996155</v>
      </c>
      <c r="X1028">
        <v>339500751</v>
      </c>
      <c r="Y1028">
        <v>340560751</v>
      </c>
      <c r="Z1028">
        <v>341660751</v>
      </c>
      <c r="AA1028">
        <v>343660751</v>
      </c>
      <c r="AB1028">
        <v>9106323437.347044</v>
      </c>
      <c r="AC1028">
        <v>20339769.300000001</v>
      </c>
      <c r="AD1028">
        <v>9229316744.250864</v>
      </c>
      <c r="AE1028">
        <v>20370045.059999999</v>
      </c>
      <c r="AF1028">
        <v>9693265051.4106808</v>
      </c>
      <c r="AG1028">
        <v>20433645.059999999</v>
      </c>
      <c r="AH1028">
        <v>10502539896.253599</v>
      </c>
      <c r="AI1028">
        <v>20499645.059999999</v>
      </c>
      <c r="AJ1028">
        <v>10997144032</v>
      </c>
      <c r="AK1028">
        <v>20619645.059999999</v>
      </c>
    </row>
    <row r="1029" spans="1:37" x14ac:dyDescent="0.35">
      <c r="A1029" t="s">
        <v>11013</v>
      </c>
      <c r="B1029">
        <v>98</v>
      </c>
      <c r="C1029" t="s">
        <v>4081</v>
      </c>
      <c r="D1029" t="s">
        <v>11014</v>
      </c>
      <c r="E1029" t="s">
        <v>11015</v>
      </c>
      <c r="F1029">
        <v>0.06</v>
      </c>
      <c r="G1029" t="s">
        <v>11016</v>
      </c>
      <c r="H1029">
        <v>0.25</v>
      </c>
      <c r="I1029">
        <v>0.1</v>
      </c>
      <c r="J1029" t="s">
        <v>11017</v>
      </c>
      <c r="K1029" t="s">
        <v>11018</v>
      </c>
      <c r="L1029" t="s">
        <v>11019</v>
      </c>
      <c r="M1029" t="s">
        <v>11020</v>
      </c>
      <c r="N1029">
        <v>447.71026175538009</v>
      </c>
      <c r="O1029">
        <v>453.08278489644471</v>
      </c>
      <c r="P1029">
        <v>474.37767578657753</v>
      </c>
      <c r="Q1029">
        <v>512.32788984950378</v>
      </c>
      <c r="R1029">
        <v>533.33333333333337</v>
      </c>
      <c r="S1029" t="s">
        <v>11021</v>
      </c>
      <c r="T1029" t="s">
        <v>11022</v>
      </c>
      <c r="U1029" t="s">
        <v>11023</v>
      </c>
      <c r="V1029" t="s">
        <v>49</v>
      </c>
      <c r="W1029">
        <v>338996155</v>
      </c>
      <c r="X1029">
        <v>339500751</v>
      </c>
      <c r="Y1029">
        <v>340560751</v>
      </c>
      <c r="Z1029">
        <v>341660751</v>
      </c>
      <c r="AA1029">
        <v>343660751</v>
      </c>
      <c r="AB1029">
        <v>9106323437.347044</v>
      </c>
      <c r="AC1029">
        <v>20339769.300000001</v>
      </c>
      <c r="AD1029">
        <v>9229316744.250864</v>
      </c>
      <c r="AE1029">
        <v>20370045.059999999</v>
      </c>
      <c r="AF1029">
        <v>9693265051.4106808</v>
      </c>
      <c r="AG1029">
        <v>20433645.059999999</v>
      </c>
      <c r="AH1029">
        <v>10502539896.253599</v>
      </c>
      <c r="AI1029">
        <v>20499645.059999999</v>
      </c>
      <c r="AJ1029">
        <v>10997144032</v>
      </c>
      <c r="AK1029">
        <v>20619645.059999999</v>
      </c>
    </row>
    <row r="1030" spans="1:37" x14ac:dyDescent="0.35">
      <c r="A1030" t="s">
        <v>11024</v>
      </c>
      <c r="B1030">
        <v>98</v>
      </c>
      <c r="C1030" t="s">
        <v>4081</v>
      </c>
      <c r="D1030" t="s">
        <v>11025</v>
      </c>
      <c r="E1030" t="s">
        <v>11026</v>
      </c>
      <c r="F1030">
        <v>0.06</v>
      </c>
      <c r="G1030" t="s">
        <v>11027</v>
      </c>
      <c r="H1030">
        <v>0.2</v>
      </c>
      <c r="I1030">
        <v>0.01</v>
      </c>
      <c r="J1030" t="s">
        <v>11028</v>
      </c>
      <c r="K1030" t="s">
        <v>11029</v>
      </c>
      <c r="L1030" t="s">
        <v>11030</v>
      </c>
      <c r="M1030" t="s">
        <v>11031</v>
      </c>
      <c r="N1030">
        <v>447.71026175538009</v>
      </c>
      <c r="O1030">
        <v>453.08278489644471</v>
      </c>
      <c r="P1030">
        <v>474.37767578657753</v>
      </c>
      <c r="Q1030">
        <v>512.32788984950378</v>
      </c>
      <c r="R1030">
        <v>533.33333333333337</v>
      </c>
      <c r="S1030" t="s">
        <v>11032</v>
      </c>
      <c r="T1030" t="s">
        <v>11033</v>
      </c>
      <c r="U1030" t="s">
        <v>11034</v>
      </c>
      <c r="V1030" t="s">
        <v>49</v>
      </c>
      <c r="W1030">
        <v>338996155</v>
      </c>
      <c r="X1030">
        <v>339500751</v>
      </c>
      <c r="Y1030">
        <v>340560751</v>
      </c>
      <c r="Z1030">
        <v>341660751</v>
      </c>
      <c r="AA1030">
        <v>343660751</v>
      </c>
      <c r="AB1030">
        <v>9106323437.347044</v>
      </c>
      <c r="AC1030">
        <v>20339769.300000001</v>
      </c>
      <c r="AD1030">
        <v>9229316744.250864</v>
      </c>
      <c r="AE1030">
        <v>20370045.059999999</v>
      </c>
      <c r="AF1030">
        <v>9693265051.4106808</v>
      </c>
      <c r="AG1030">
        <v>20433645.059999999</v>
      </c>
      <c r="AH1030">
        <v>10502539896.253599</v>
      </c>
      <c r="AI1030">
        <v>20499645.059999999</v>
      </c>
      <c r="AJ1030">
        <v>10997144032</v>
      </c>
      <c r="AK1030">
        <v>20619645.059999999</v>
      </c>
    </row>
    <row r="1031" spans="1:37" x14ac:dyDescent="0.35">
      <c r="A1031" t="s">
        <v>11035</v>
      </c>
      <c r="B1031">
        <v>98</v>
      </c>
      <c r="C1031" t="s">
        <v>4081</v>
      </c>
      <c r="D1031" t="s">
        <v>11036</v>
      </c>
      <c r="E1031" t="s">
        <v>11037</v>
      </c>
      <c r="F1031">
        <v>0.06</v>
      </c>
      <c r="G1031" t="s">
        <v>11038</v>
      </c>
      <c r="H1031">
        <v>0.15</v>
      </c>
      <c r="I1031">
        <v>0.05</v>
      </c>
      <c r="J1031" t="s">
        <v>11039</v>
      </c>
      <c r="K1031" t="s">
        <v>11040</v>
      </c>
      <c r="L1031" t="s">
        <v>11041</v>
      </c>
      <c r="M1031" t="s">
        <v>11042</v>
      </c>
      <c r="N1031">
        <v>447.71026175538009</v>
      </c>
      <c r="O1031">
        <v>453.08278489644471</v>
      </c>
      <c r="P1031">
        <v>474.37767578657753</v>
      </c>
      <c r="Q1031">
        <v>512.32788984950378</v>
      </c>
      <c r="R1031">
        <v>533.33333333333337</v>
      </c>
      <c r="S1031" t="s">
        <v>11043</v>
      </c>
      <c r="T1031" t="s">
        <v>11044</v>
      </c>
      <c r="U1031" t="s">
        <v>11045</v>
      </c>
      <c r="V1031" t="s">
        <v>49</v>
      </c>
      <c r="W1031">
        <v>338996155</v>
      </c>
      <c r="X1031">
        <v>339500751</v>
      </c>
      <c r="Y1031">
        <v>340560751</v>
      </c>
      <c r="Z1031">
        <v>341660751</v>
      </c>
      <c r="AA1031">
        <v>343660751</v>
      </c>
      <c r="AB1031">
        <v>9106323437.347044</v>
      </c>
      <c r="AC1031">
        <v>20339769.300000001</v>
      </c>
      <c r="AD1031">
        <v>9229316744.250864</v>
      </c>
      <c r="AE1031">
        <v>20370045.059999999</v>
      </c>
      <c r="AF1031">
        <v>9693265051.4106808</v>
      </c>
      <c r="AG1031">
        <v>20433645.059999999</v>
      </c>
      <c r="AH1031">
        <v>10502539896.253599</v>
      </c>
      <c r="AI1031">
        <v>20499645.059999999</v>
      </c>
      <c r="AJ1031">
        <v>10997144032</v>
      </c>
      <c r="AK1031">
        <v>20619645.059999999</v>
      </c>
    </row>
    <row r="1032" spans="1:37" x14ac:dyDescent="0.35">
      <c r="A1032" t="s">
        <v>11046</v>
      </c>
      <c r="B1032">
        <v>25.45</v>
      </c>
      <c r="C1032" t="s">
        <v>313</v>
      </c>
      <c r="D1032" t="s">
        <v>11047</v>
      </c>
      <c r="E1032" t="s">
        <v>11048</v>
      </c>
      <c r="F1032">
        <v>0.05</v>
      </c>
      <c r="G1032" t="s">
        <v>11049</v>
      </c>
      <c r="H1032">
        <v>0.3</v>
      </c>
      <c r="I1032">
        <v>10.4</v>
      </c>
      <c r="J1032" t="s">
        <v>11050</v>
      </c>
      <c r="K1032" t="s">
        <v>11051</v>
      </c>
      <c r="L1032" t="s">
        <v>11052</v>
      </c>
      <c r="M1032" t="s">
        <v>11053</v>
      </c>
      <c r="N1032">
        <v>2615.6406066244381</v>
      </c>
      <c r="O1032">
        <v>2647.0282939039312</v>
      </c>
      <c r="P1032">
        <v>2771.4386237174158</v>
      </c>
      <c r="Q1032">
        <v>2993.153713614809</v>
      </c>
      <c r="R1032">
        <v>3115.8730158730159</v>
      </c>
      <c r="S1032" t="s">
        <v>11054</v>
      </c>
      <c r="T1032" t="s">
        <v>10639</v>
      </c>
      <c r="U1032" t="s">
        <v>10629</v>
      </c>
      <c r="V1032" t="s">
        <v>49</v>
      </c>
      <c r="W1032">
        <v>338996155</v>
      </c>
      <c r="X1032">
        <v>339500751</v>
      </c>
      <c r="Y1032">
        <v>340560751</v>
      </c>
      <c r="Z1032">
        <v>341660751</v>
      </c>
      <c r="AA1032">
        <v>343660751</v>
      </c>
      <c r="AB1032">
        <v>44334605425.377602</v>
      </c>
      <c r="AC1032">
        <v>16949807.75</v>
      </c>
      <c r="AD1032">
        <v>44933404684.931664</v>
      </c>
      <c r="AE1032">
        <v>16975037.550000001</v>
      </c>
      <c r="AF1032">
        <v>47192160952.180481</v>
      </c>
      <c r="AG1032">
        <v>17028037.550000001</v>
      </c>
      <c r="AH1032">
        <v>51132157282.603729</v>
      </c>
      <c r="AI1032">
        <v>17083037.550000001</v>
      </c>
      <c r="AJ1032">
        <v>53540163032.777786</v>
      </c>
      <c r="AK1032">
        <v>17183037.550000001</v>
      </c>
    </row>
    <row r="1033" spans="1:37" x14ac:dyDescent="0.35">
      <c r="A1033" t="s">
        <v>11055</v>
      </c>
      <c r="B1033">
        <v>20.45</v>
      </c>
      <c r="C1033" t="s">
        <v>313</v>
      </c>
      <c r="D1033" t="s">
        <v>11056</v>
      </c>
      <c r="E1033" t="s">
        <v>11057</v>
      </c>
      <c r="F1033">
        <v>0.05</v>
      </c>
      <c r="G1033" t="s">
        <v>11058</v>
      </c>
      <c r="H1033">
        <v>0.3</v>
      </c>
      <c r="I1033">
        <v>20.3</v>
      </c>
      <c r="J1033" t="s">
        <v>11059</v>
      </c>
      <c r="K1033" t="s">
        <v>11060</v>
      </c>
      <c r="L1033" t="s">
        <v>11061</v>
      </c>
      <c r="M1033" t="s">
        <v>11062</v>
      </c>
      <c r="N1033">
        <v>2615.6406066244381</v>
      </c>
      <c r="O1033">
        <v>2647.0282939039312</v>
      </c>
      <c r="P1033">
        <v>2771.4386237174158</v>
      </c>
      <c r="Q1033">
        <v>2993.153713614809</v>
      </c>
      <c r="R1033">
        <v>3115.8730158730159</v>
      </c>
      <c r="S1033" t="s">
        <v>11063</v>
      </c>
      <c r="T1033" t="s">
        <v>11064</v>
      </c>
      <c r="U1033" t="s">
        <v>11065</v>
      </c>
      <c r="V1033" t="s">
        <v>49</v>
      </c>
      <c r="W1033">
        <v>338996155</v>
      </c>
      <c r="X1033">
        <v>339500751</v>
      </c>
      <c r="Y1033">
        <v>340560751</v>
      </c>
      <c r="Z1033">
        <v>341660751</v>
      </c>
      <c r="AA1033">
        <v>343660751</v>
      </c>
      <c r="AB1033">
        <v>44334605425.377602</v>
      </c>
      <c r="AC1033">
        <v>16949807.75</v>
      </c>
      <c r="AD1033">
        <v>44933404684.931664</v>
      </c>
      <c r="AE1033">
        <v>16975037.550000001</v>
      </c>
      <c r="AF1033">
        <v>47192160952.180481</v>
      </c>
      <c r="AG1033">
        <v>17028037.550000001</v>
      </c>
      <c r="AH1033">
        <v>51132157282.603729</v>
      </c>
      <c r="AI1033">
        <v>17083037.550000001</v>
      </c>
      <c r="AJ1033">
        <v>53540163032.777786</v>
      </c>
      <c r="AK1033">
        <v>17183037.550000001</v>
      </c>
    </row>
    <row r="1034" spans="1:37" x14ac:dyDescent="0.35">
      <c r="A1034" t="s">
        <v>11066</v>
      </c>
      <c r="B1034">
        <v>20.45</v>
      </c>
      <c r="C1034" t="s">
        <v>313</v>
      </c>
      <c r="D1034" t="s">
        <v>11067</v>
      </c>
      <c r="E1034" t="s">
        <v>11068</v>
      </c>
      <c r="F1034">
        <v>0.05</v>
      </c>
      <c r="G1034" t="s">
        <v>11069</v>
      </c>
      <c r="H1034">
        <v>0.3</v>
      </c>
      <c r="I1034">
        <v>0.1</v>
      </c>
      <c r="J1034" t="s">
        <v>11070</v>
      </c>
      <c r="K1034" t="s">
        <v>11071</v>
      </c>
      <c r="L1034" t="s">
        <v>11072</v>
      </c>
      <c r="M1034" t="s">
        <v>11073</v>
      </c>
      <c r="N1034">
        <v>2615.6406066244381</v>
      </c>
      <c r="O1034">
        <v>2647.0282939039312</v>
      </c>
      <c r="P1034">
        <v>2771.4386237174158</v>
      </c>
      <c r="Q1034">
        <v>2993.153713614809</v>
      </c>
      <c r="R1034">
        <v>3115.8730158730159</v>
      </c>
      <c r="S1034" t="s">
        <v>11074</v>
      </c>
      <c r="T1034" t="s">
        <v>11075</v>
      </c>
      <c r="U1034" t="s">
        <v>11076</v>
      </c>
      <c r="V1034" t="s">
        <v>49</v>
      </c>
      <c r="W1034">
        <v>338996155</v>
      </c>
      <c r="X1034">
        <v>339500751</v>
      </c>
      <c r="Y1034">
        <v>340560751</v>
      </c>
      <c r="Z1034">
        <v>341660751</v>
      </c>
      <c r="AA1034">
        <v>343660751</v>
      </c>
      <c r="AB1034">
        <v>44334605425.377602</v>
      </c>
      <c r="AC1034">
        <v>16949807.75</v>
      </c>
      <c r="AD1034">
        <v>44933404684.931664</v>
      </c>
      <c r="AE1034">
        <v>16975037.550000001</v>
      </c>
      <c r="AF1034">
        <v>47192160952.180481</v>
      </c>
      <c r="AG1034">
        <v>17028037.550000001</v>
      </c>
      <c r="AH1034">
        <v>51132157282.603729</v>
      </c>
      <c r="AI1034">
        <v>17083037.550000001</v>
      </c>
      <c r="AJ1034">
        <v>53540163032.777786</v>
      </c>
      <c r="AK1034">
        <v>17183037.550000001</v>
      </c>
    </row>
    <row r="1035" spans="1:37" x14ac:dyDescent="0.35">
      <c r="A1035" t="s">
        <v>11077</v>
      </c>
      <c r="B1035">
        <v>20.45</v>
      </c>
      <c r="C1035" t="s">
        <v>313</v>
      </c>
      <c r="D1035" t="s">
        <v>11078</v>
      </c>
      <c r="E1035" t="s">
        <v>11079</v>
      </c>
      <c r="F1035">
        <v>0.05</v>
      </c>
      <c r="G1035" t="s">
        <v>11080</v>
      </c>
      <c r="H1035">
        <v>30.5</v>
      </c>
      <c r="I1035">
        <v>5.0999999999999996</v>
      </c>
      <c r="J1035" t="s">
        <v>11081</v>
      </c>
      <c r="K1035" t="s">
        <v>11082</v>
      </c>
      <c r="L1035" t="s">
        <v>11083</v>
      </c>
      <c r="M1035" t="s">
        <v>11084</v>
      </c>
      <c r="N1035">
        <v>2615.6406066244381</v>
      </c>
      <c r="O1035">
        <v>2647.0282939039312</v>
      </c>
      <c r="P1035">
        <v>2771.4386237174158</v>
      </c>
      <c r="Q1035">
        <v>2993.153713614809</v>
      </c>
      <c r="R1035">
        <v>3115.8730158730159</v>
      </c>
      <c r="S1035" t="s">
        <v>11085</v>
      </c>
      <c r="T1035" t="s">
        <v>11086</v>
      </c>
      <c r="U1035" t="s">
        <v>11087</v>
      </c>
      <c r="V1035" t="s">
        <v>49</v>
      </c>
      <c r="W1035">
        <v>338996155</v>
      </c>
      <c r="X1035">
        <v>339500751</v>
      </c>
      <c r="Y1035">
        <v>340560751</v>
      </c>
      <c r="Z1035">
        <v>341660751</v>
      </c>
      <c r="AA1035">
        <v>343660751</v>
      </c>
      <c r="AB1035">
        <v>44334605425.377602</v>
      </c>
      <c r="AC1035">
        <v>16949807.75</v>
      </c>
      <c r="AD1035">
        <v>44933404684.931664</v>
      </c>
      <c r="AE1035">
        <v>16975037.550000001</v>
      </c>
      <c r="AF1035">
        <v>47192160952.180481</v>
      </c>
      <c r="AG1035">
        <v>17028037.550000001</v>
      </c>
      <c r="AH1035">
        <v>51132157282.603729</v>
      </c>
      <c r="AI1035">
        <v>17083037.550000001</v>
      </c>
      <c r="AJ1035">
        <v>53540163032.777786</v>
      </c>
      <c r="AK1035">
        <v>17183037.550000001</v>
      </c>
    </row>
    <row r="1036" spans="1:37" x14ac:dyDescent="0.35">
      <c r="A1036" t="s">
        <v>11088</v>
      </c>
      <c r="B1036">
        <v>154</v>
      </c>
      <c r="C1036" t="s">
        <v>313</v>
      </c>
      <c r="D1036" t="s">
        <v>11089</v>
      </c>
      <c r="E1036" t="s">
        <v>11090</v>
      </c>
      <c r="F1036">
        <v>0.05</v>
      </c>
      <c r="G1036" t="s">
        <v>11091</v>
      </c>
      <c r="H1036">
        <v>0.3</v>
      </c>
      <c r="I1036">
        <v>20.3</v>
      </c>
      <c r="J1036" t="s">
        <v>11092</v>
      </c>
      <c r="K1036" t="s">
        <v>11093</v>
      </c>
      <c r="L1036" t="s">
        <v>11094</v>
      </c>
      <c r="M1036" t="s">
        <v>11095</v>
      </c>
      <c r="N1036">
        <v>2615.6406066244381</v>
      </c>
      <c r="O1036">
        <v>2647.0282939039312</v>
      </c>
      <c r="P1036">
        <v>2771.4386237174158</v>
      </c>
      <c r="Q1036">
        <v>2993.153713614809</v>
      </c>
      <c r="R1036">
        <v>3115.8730158730159</v>
      </c>
      <c r="S1036" t="s">
        <v>11096</v>
      </c>
      <c r="T1036" t="s">
        <v>11097</v>
      </c>
      <c r="U1036" t="s">
        <v>11076</v>
      </c>
      <c r="V1036" t="s">
        <v>49</v>
      </c>
      <c r="W1036">
        <v>338996155</v>
      </c>
      <c r="X1036">
        <v>339500751</v>
      </c>
      <c r="Y1036">
        <v>340560751</v>
      </c>
      <c r="Z1036">
        <v>341660751</v>
      </c>
      <c r="AA1036">
        <v>343660751</v>
      </c>
      <c r="AB1036">
        <v>44334605425.377602</v>
      </c>
      <c r="AC1036">
        <v>16949807.75</v>
      </c>
      <c r="AD1036">
        <v>44933404684.931664</v>
      </c>
      <c r="AE1036">
        <v>16975037.550000001</v>
      </c>
      <c r="AF1036">
        <v>47192160952.180481</v>
      </c>
      <c r="AG1036">
        <v>17028037.550000001</v>
      </c>
      <c r="AH1036">
        <v>51132157282.603729</v>
      </c>
      <c r="AI1036">
        <v>17083037.550000001</v>
      </c>
      <c r="AJ1036">
        <v>53540163032.777786</v>
      </c>
      <c r="AK1036">
        <v>17183037.550000001</v>
      </c>
    </row>
    <row r="1037" spans="1:37" x14ac:dyDescent="0.35">
      <c r="A1037" t="s">
        <v>11098</v>
      </c>
      <c r="B1037">
        <v>199.3</v>
      </c>
      <c r="C1037" t="s">
        <v>313</v>
      </c>
      <c r="D1037" t="s">
        <v>11099</v>
      </c>
      <c r="E1037" t="s">
        <v>11100</v>
      </c>
      <c r="F1037">
        <v>0.05</v>
      </c>
      <c r="G1037" t="s">
        <v>11101</v>
      </c>
      <c r="H1037">
        <v>0.2</v>
      </c>
      <c r="I1037">
        <v>10.3</v>
      </c>
      <c r="J1037" t="s">
        <v>11102</v>
      </c>
      <c r="K1037" t="s">
        <v>11103</v>
      </c>
      <c r="L1037" t="s">
        <v>11104</v>
      </c>
      <c r="M1037" t="s">
        <v>11105</v>
      </c>
      <c r="N1037">
        <v>2615.6406066244381</v>
      </c>
      <c r="O1037">
        <v>2647.0282939039312</v>
      </c>
      <c r="P1037">
        <v>2771.4386237174158</v>
      </c>
      <c r="Q1037">
        <v>2993.153713614809</v>
      </c>
      <c r="R1037">
        <v>3115.8730158730159</v>
      </c>
      <c r="S1037" t="s">
        <v>11106</v>
      </c>
      <c r="T1037" t="s">
        <v>11107</v>
      </c>
      <c r="U1037" t="s">
        <v>11108</v>
      </c>
      <c r="V1037" t="s">
        <v>49</v>
      </c>
      <c r="W1037">
        <v>338996155</v>
      </c>
      <c r="X1037">
        <v>339500751</v>
      </c>
      <c r="Y1037">
        <v>340560751</v>
      </c>
      <c r="Z1037">
        <v>341660751</v>
      </c>
      <c r="AA1037">
        <v>343660751</v>
      </c>
      <c r="AB1037">
        <v>44334605425.377602</v>
      </c>
      <c r="AC1037">
        <v>16949807.75</v>
      </c>
      <c r="AD1037">
        <v>44933404684.931664</v>
      </c>
      <c r="AE1037">
        <v>16975037.550000001</v>
      </c>
      <c r="AF1037">
        <v>47192160952.180481</v>
      </c>
      <c r="AG1037">
        <v>17028037.550000001</v>
      </c>
      <c r="AH1037">
        <v>51132157282.603729</v>
      </c>
      <c r="AI1037">
        <v>17083037.550000001</v>
      </c>
      <c r="AJ1037">
        <v>53540163032.777786</v>
      </c>
      <c r="AK1037">
        <v>17183037.550000001</v>
      </c>
    </row>
    <row r="1038" spans="1:37" x14ac:dyDescent="0.35">
      <c r="A1038" t="s">
        <v>11109</v>
      </c>
      <c r="B1038">
        <v>54.36</v>
      </c>
      <c r="C1038" t="s">
        <v>313</v>
      </c>
      <c r="D1038" t="s">
        <v>11110</v>
      </c>
      <c r="E1038" t="s">
        <v>11111</v>
      </c>
      <c r="F1038">
        <v>0.05</v>
      </c>
      <c r="G1038" t="s">
        <v>11112</v>
      </c>
      <c r="H1038">
        <v>0.2</v>
      </c>
      <c r="I1038">
        <v>0.1</v>
      </c>
      <c r="J1038" t="s">
        <v>11113</v>
      </c>
      <c r="K1038" t="s">
        <v>11114</v>
      </c>
      <c r="L1038" t="s">
        <v>11115</v>
      </c>
      <c r="M1038" t="s">
        <v>11116</v>
      </c>
      <c r="N1038">
        <v>2615.6406066244381</v>
      </c>
      <c r="O1038">
        <v>2647.0282939039312</v>
      </c>
      <c r="P1038">
        <v>2771.4386237174158</v>
      </c>
      <c r="Q1038">
        <v>2993.153713614809</v>
      </c>
      <c r="R1038">
        <v>3115.8730158730159</v>
      </c>
      <c r="S1038" t="s">
        <v>11117</v>
      </c>
      <c r="T1038" t="s">
        <v>11118</v>
      </c>
      <c r="U1038" t="s">
        <v>11119</v>
      </c>
      <c r="V1038" t="s">
        <v>49</v>
      </c>
      <c r="W1038">
        <v>338996155</v>
      </c>
      <c r="X1038">
        <v>339500751</v>
      </c>
      <c r="Y1038">
        <v>340560751</v>
      </c>
      <c r="Z1038">
        <v>341660751</v>
      </c>
      <c r="AA1038">
        <v>343660751</v>
      </c>
      <c r="AB1038">
        <v>44334605425.377602</v>
      </c>
      <c r="AC1038">
        <v>16949807.75</v>
      </c>
      <c r="AD1038">
        <v>44933404684.931664</v>
      </c>
      <c r="AE1038">
        <v>16975037.550000001</v>
      </c>
      <c r="AF1038">
        <v>47192160952.180481</v>
      </c>
      <c r="AG1038">
        <v>17028037.550000001</v>
      </c>
      <c r="AH1038">
        <v>51132157282.603729</v>
      </c>
      <c r="AI1038">
        <v>17083037.550000001</v>
      </c>
      <c r="AJ1038">
        <v>53540163032.777786</v>
      </c>
      <c r="AK1038">
        <v>17183037.550000001</v>
      </c>
    </row>
    <row r="1039" spans="1:37" x14ac:dyDescent="0.35">
      <c r="A1039" t="s">
        <v>11120</v>
      </c>
      <c r="B1039">
        <v>56.88</v>
      </c>
      <c r="C1039" t="s">
        <v>313</v>
      </c>
      <c r="D1039" t="s">
        <v>11121</v>
      </c>
      <c r="E1039" t="s">
        <v>11122</v>
      </c>
      <c r="F1039">
        <v>0.05</v>
      </c>
      <c r="G1039" t="s">
        <v>11123</v>
      </c>
      <c r="H1039">
        <v>0.25</v>
      </c>
      <c r="I1039">
        <v>10.3</v>
      </c>
      <c r="J1039" t="s">
        <v>11124</v>
      </c>
      <c r="K1039" t="s">
        <v>11125</v>
      </c>
      <c r="L1039" t="s">
        <v>11126</v>
      </c>
      <c r="M1039" t="s">
        <v>11127</v>
      </c>
      <c r="N1039">
        <v>2615.6406066244381</v>
      </c>
      <c r="O1039">
        <v>2647.0282939039312</v>
      </c>
      <c r="P1039">
        <v>2771.4386237174158</v>
      </c>
      <c r="Q1039">
        <v>2993.153713614809</v>
      </c>
      <c r="R1039">
        <v>3115.8730158730159</v>
      </c>
      <c r="S1039" t="s">
        <v>11128</v>
      </c>
      <c r="T1039" t="s">
        <v>11129</v>
      </c>
      <c r="U1039" t="s">
        <v>11130</v>
      </c>
      <c r="V1039" t="s">
        <v>49</v>
      </c>
      <c r="W1039">
        <v>338996155</v>
      </c>
      <c r="X1039">
        <v>339500751</v>
      </c>
      <c r="Y1039">
        <v>340560751</v>
      </c>
      <c r="Z1039">
        <v>341660751</v>
      </c>
      <c r="AA1039">
        <v>343660751</v>
      </c>
      <c r="AB1039">
        <v>44334605425.377602</v>
      </c>
      <c r="AC1039">
        <v>16949807.75</v>
      </c>
      <c r="AD1039">
        <v>44933404684.931664</v>
      </c>
      <c r="AE1039">
        <v>16975037.550000001</v>
      </c>
      <c r="AF1039">
        <v>47192160952.180481</v>
      </c>
      <c r="AG1039">
        <v>17028037.550000001</v>
      </c>
      <c r="AH1039">
        <v>51132157282.603729</v>
      </c>
      <c r="AI1039">
        <v>17083037.550000001</v>
      </c>
      <c r="AJ1039">
        <v>53540163032.777786</v>
      </c>
      <c r="AK1039">
        <v>17183037.550000001</v>
      </c>
    </row>
    <row r="1040" spans="1:37" x14ac:dyDescent="0.35">
      <c r="A1040" t="s">
        <v>11131</v>
      </c>
      <c r="B1040">
        <v>54.36</v>
      </c>
      <c r="C1040" t="s">
        <v>313</v>
      </c>
      <c r="D1040" t="s">
        <v>11132</v>
      </c>
      <c r="E1040" t="s">
        <v>11133</v>
      </c>
      <c r="F1040">
        <v>0.05</v>
      </c>
      <c r="G1040" t="s">
        <v>11134</v>
      </c>
      <c r="H1040">
        <v>15.2</v>
      </c>
      <c r="I1040">
        <v>10.3</v>
      </c>
      <c r="J1040" t="s">
        <v>11135</v>
      </c>
      <c r="K1040" t="s">
        <v>11136</v>
      </c>
      <c r="L1040" t="s">
        <v>11137</v>
      </c>
      <c r="M1040" t="s">
        <v>11138</v>
      </c>
      <c r="N1040">
        <v>2615.6406066244381</v>
      </c>
      <c r="O1040">
        <v>2647.0282939039312</v>
      </c>
      <c r="P1040">
        <v>2771.4386237174158</v>
      </c>
      <c r="Q1040">
        <v>2993.153713614809</v>
      </c>
      <c r="R1040">
        <v>3115.8730158730159</v>
      </c>
      <c r="S1040" t="s">
        <v>11139</v>
      </c>
      <c r="T1040" t="s">
        <v>11140</v>
      </c>
      <c r="U1040" t="s">
        <v>11108</v>
      </c>
      <c r="V1040" t="s">
        <v>49</v>
      </c>
      <c r="W1040">
        <v>338996155</v>
      </c>
      <c r="X1040">
        <v>339500751</v>
      </c>
      <c r="Y1040">
        <v>340560751</v>
      </c>
      <c r="Z1040">
        <v>341660751</v>
      </c>
      <c r="AA1040">
        <v>343660751</v>
      </c>
      <c r="AB1040">
        <v>44334605425.377602</v>
      </c>
      <c r="AC1040">
        <v>16949807.75</v>
      </c>
      <c r="AD1040">
        <v>44933404684.931664</v>
      </c>
      <c r="AE1040">
        <v>16975037.550000001</v>
      </c>
      <c r="AF1040">
        <v>47192160952.180481</v>
      </c>
      <c r="AG1040">
        <v>17028037.550000001</v>
      </c>
      <c r="AH1040">
        <v>51132157282.603729</v>
      </c>
      <c r="AI1040">
        <v>17083037.550000001</v>
      </c>
      <c r="AJ1040">
        <v>53540163032.777786</v>
      </c>
      <c r="AK1040">
        <v>17183037.550000001</v>
      </c>
    </row>
    <row r="1041" spans="1:37" x14ac:dyDescent="0.35">
      <c r="A1041" t="s">
        <v>11141</v>
      </c>
      <c r="B1041">
        <v>54.36</v>
      </c>
      <c r="C1041" t="s">
        <v>313</v>
      </c>
      <c r="D1041" t="s">
        <v>11142</v>
      </c>
      <c r="E1041" t="s">
        <v>11143</v>
      </c>
      <c r="F1041">
        <v>0.05</v>
      </c>
      <c r="G1041" t="s">
        <v>11144</v>
      </c>
      <c r="H1041">
        <v>0.3</v>
      </c>
      <c r="I1041">
        <v>10.3</v>
      </c>
      <c r="J1041" t="s">
        <v>11145</v>
      </c>
      <c r="K1041" t="s">
        <v>11146</v>
      </c>
      <c r="L1041" t="s">
        <v>11147</v>
      </c>
      <c r="M1041" t="s">
        <v>11148</v>
      </c>
      <c r="N1041">
        <v>2615.6406066244381</v>
      </c>
      <c r="O1041">
        <v>2647.0282939039312</v>
      </c>
      <c r="P1041">
        <v>2771.4386237174158</v>
      </c>
      <c r="Q1041">
        <v>2993.153713614809</v>
      </c>
      <c r="R1041">
        <v>3115.8730158730159</v>
      </c>
      <c r="S1041" t="s">
        <v>11149</v>
      </c>
      <c r="T1041" t="s">
        <v>11150</v>
      </c>
      <c r="U1041" t="s">
        <v>11151</v>
      </c>
      <c r="V1041" t="s">
        <v>49</v>
      </c>
      <c r="W1041">
        <v>338996155</v>
      </c>
      <c r="X1041">
        <v>339500751</v>
      </c>
      <c r="Y1041">
        <v>340560751</v>
      </c>
      <c r="Z1041">
        <v>341660751</v>
      </c>
      <c r="AA1041">
        <v>343660751</v>
      </c>
      <c r="AB1041">
        <v>44334605425.377602</v>
      </c>
      <c r="AC1041">
        <v>16949807.75</v>
      </c>
      <c r="AD1041">
        <v>44933404684.931664</v>
      </c>
      <c r="AE1041">
        <v>16975037.550000001</v>
      </c>
      <c r="AF1041">
        <v>47192160952.180481</v>
      </c>
      <c r="AG1041">
        <v>17028037.550000001</v>
      </c>
      <c r="AH1041">
        <v>51132157282.603729</v>
      </c>
      <c r="AI1041">
        <v>17083037.550000001</v>
      </c>
      <c r="AJ1041">
        <v>53540163032.777786</v>
      </c>
      <c r="AK1041">
        <v>17183037.550000001</v>
      </c>
    </row>
    <row r="1042" spans="1:37" x14ac:dyDescent="0.35">
      <c r="A1042" t="s">
        <v>11152</v>
      </c>
      <c r="B1042">
        <v>95.76</v>
      </c>
      <c r="C1042" t="s">
        <v>313</v>
      </c>
      <c r="D1042" t="s">
        <v>11153</v>
      </c>
      <c r="E1042" t="s">
        <v>11154</v>
      </c>
      <c r="F1042">
        <v>0.05</v>
      </c>
      <c r="G1042" t="s">
        <v>11155</v>
      </c>
      <c r="H1042">
        <v>0.3</v>
      </c>
      <c r="I1042">
        <v>0.05</v>
      </c>
      <c r="J1042" t="s">
        <v>11156</v>
      </c>
      <c r="K1042" t="s">
        <v>11157</v>
      </c>
      <c r="L1042" t="s">
        <v>11158</v>
      </c>
      <c r="M1042" t="s">
        <v>11159</v>
      </c>
      <c r="N1042">
        <v>2615.6406066244381</v>
      </c>
      <c r="O1042">
        <v>2647.0282939039312</v>
      </c>
      <c r="P1042">
        <v>2771.4386237174158</v>
      </c>
      <c r="Q1042">
        <v>2993.153713614809</v>
      </c>
      <c r="R1042">
        <v>3115.8730158730159</v>
      </c>
      <c r="S1042" t="s">
        <v>11160</v>
      </c>
      <c r="T1042" t="s">
        <v>11161</v>
      </c>
      <c r="U1042" t="s">
        <v>11162</v>
      </c>
      <c r="V1042" t="s">
        <v>49</v>
      </c>
      <c r="W1042">
        <v>338996155</v>
      </c>
      <c r="X1042">
        <v>339500751</v>
      </c>
      <c r="Y1042">
        <v>340560751</v>
      </c>
      <c r="Z1042">
        <v>341660751</v>
      </c>
      <c r="AA1042">
        <v>343660751</v>
      </c>
      <c r="AB1042">
        <v>44334605425.377602</v>
      </c>
      <c r="AC1042">
        <v>16949807.75</v>
      </c>
      <c r="AD1042">
        <v>44933404684.931664</v>
      </c>
      <c r="AE1042">
        <v>16975037.550000001</v>
      </c>
      <c r="AF1042">
        <v>47192160952.180481</v>
      </c>
      <c r="AG1042">
        <v>17028037.550000001</v>
      </c>
      <c r="AH1042">
        <v>51132157282.603729</v>
      </c>
      <c r="AI1042">
        <v>17083037.550000001</v>
      </c>
      <c r="AJ1042">
        <v>53540163032.777786</v>
      </c>
      <c r="AK1042">
        <v>17183037.550000001</v>
      </c>
    </row>
    <row r="1043" spans="1:37" x14ac:dyDescent="0.35">
      <c r="A1043" t="s">
        <v>11163</v>
      </c>
      <c r="B1043">
        <v>41.04</v>
      </c>
      <c r="C1043" t="s">
        <v>313</v>
      </c>
      <c r="D1043" t="s">
        <v>11164</v>
      </c>
      <c r="E1043" t="s">
        <v>11165</v>
      </c>
      <c r="F1043">
        <v>0.05</v>
      </c>
      <c r="G1043" t="s">
        <v>11166</v>
      </c>
      <c r="H1043">
        <v>30.5</v>
      </c>
      <c r="I1043">
        <v>10.3</v>
      </c>
      <c r="J1043" t="s">
        <v>11167</v>
      </c>
      <c r="K1043" t="s">
        <v>11168</v>
      </c>
      <c r="L1043" t="s">
        <v>11169</v>
      </c>
      <c r="M1043" t="s">
        <v>11170</v>
      </c>
      <c r="N1043">
        <v>2615.6406066244381</v>
      </c>
      <c r="O1043">
        <v>2647.0282939039312</v>
      </c>
      <c r="P1043">
        <v>2771.4386237174158</v>
      </c>
      <c r="Q1043">
        <v>2993.153713614809</v>
      </c>
      <c r="R1043">
        <v>3115.8730158730159</v>
      </c>
      <c r="S1043" t="s">
        <v>11171</v>
      </c>
      <c r="T1043" t="s">
        <v>10531</v>
      </c>
      <c r="U1043" t="s">
        <v>11172</v>
      </c>
      <c r="V1043" t="s">
        <v>49</v>
      </c>
      <c r="W1043">
        <v>338996155</v>
      </c>
      <c r="X1043">
        <v>339500751</v>
      </c>
      <c r="Y1043">
        <v>340560751</v>
      </c>
      <c r="Z1043">
        <v>341660751</v>
      </c>
      <c r="AA1043">
        <v>343660751</v>
      </c>
      <c r="AB1043">
        <v>44334605425.377602</v>
      </c>
      <c r="AC1043">
        <v>16949807.75</v>
      </c>
      <c r="AD1043">
        <v>44933404684.931664</v>
      </c>
      <c r="AE1043">
        <v>16975037.550000001</v>
      </c>
      <c r="AF1043">
        <v>47192160952.180481</v>
      </c>
      <c r="AG1043">
        <v>17028037.550000001</v>
      </c>
      <c r="AH1043">
        <v>51132157282.603729</v>
      </c>
      <c r="AI1043">
        <v>17083037.550000001</v>
      </c>
      <c r="AJ1043">
        <v>53540163032.777786</v>
      </c>
      <c r="AK1043">
        <v>17183037.550000001</v>
      </c>
    </row>
    <row r="1044" spans="1:37" x14ac:dyDescent="0.35">
      <c r="A1044" t="s">
        <v>11173</v>
      </c>
      <c r="B1044">
        <v>41.04</v>
      </c>
      <c r="C1044" t="s">
        <v>313</v>
      </c>
      <c r="D1044" t="s">
        <v>11174</v>
      </c>
      <c r="E1044" t="s">
        <v>11175</v>
      </c>
      <c r="F1044">
        <v>0.05</v>
      </c>
      <c r="G1044" t="s">
        <v>11176</v>
      </c>
      <c r="H1044">
        <v>0.3</v>
      </c>
      <c r="I1044">
        <v>0.1</v>
      </c>
      <c r="J1044" t="s">
        <v>11177</v>
      </c>
      <c r="K1044" t="s">
        <v>11178</v>
      </c>
      <c r="L1044" t="s">
        <v>11179</v>
      </c>
      <c r="M1044" t="s">
        <v>11180</v>
      </c>
      <c r="N1044">
        <v>2615.6406066244381</v>
      </c>
      <c r="O1044">
        <v>2647.0282939039312</v>
      </c>
      <c r="P1044">
        <v>2771.4386237174158</v>
      </c>
      <c r="Q1044">
        <v>2993.153713614809</v>
      </c>
      <c r="R1044">
        <v>3115.8730158730159</v>
      </c>
      <c r="S1044" t="s">
        <v>11181</v>
      </c>
      <c r="T1044" t="s">
        <v>11182</v>
      </c>
      <c r="U1044" t="s">
        <v>11183</v>
      </c>
      <c r="V1044" t="s">
        <v>49</v>
      </c>
      <c r="W1044">
        <v>338996155</v>
      </c>
      <c r="X1044">
        <v>339500751</v>
      </c>
      <c r="Y1044">
        <v>340560751</v>
      </c>
      <c r="Z1044">
        <v>341660751</v>
      </c>
      <c r="AA1044">
        <v>343660751</v>
      </c>
      <c r="AB1044">
        <v>44334605425.377602</v>
      </c>
      <c r="AC1044">
        <v>16949807.75</v>
      </c>
      <c r="AD1044">
        <v>44933404684.931664</v>
      </c>
      <c r="AE1044">
        <v>16975037.550000001</v>
      </c>
      <c r="AF1044">
        <v>47192160952.180481</v>
      </c>
      <c r="AG1044">
        <v>17028037.550000001</v>
      </c>
      <c r="AH1044">
        <v>51132157282.603729</v>
      </c>
      <c r="AI1044">
        <v>17083037.550000001</v>
      </c>
      <c r="AJ1044">
        <v>53540163032.777786</v>
      </c>
      <c r="AK1044">
        <v>17183037.550000001</v>
      </c>
    </row>
    <row r="1045" spans="1:37" x14ac:dyDescent="0.35">
      <c r="A1045" t="s">
        <v>11184</v>
      </c>
      <c r="B1045">
        <v>41.04</v>
      </c>
      <c r="C1045" t="s">
        <v>313</v>
      </c>
      <c r="D1045" t="s">
        <v>11185</v>
      </c>
      <c r="E1045" t="s">
        <v>11186</v>
      </c>
      <c r="F1045">
        <v>0.05</v>
      </c>
      <c r="G1045" t="s">
        <v>11187</v>
      </c>
      <c r="H1045">
        <v>25.3</v>
      </c>
      <c r="I1045">
        <v>10.15</v>
      </c>
      <c r="J1045" t="s">
        <v>11188</v>
      </c>
      <c r="K1045" t="s">
        <v>11189</v>
      </c>
      <c r="L1045" t="s">
        <v>11190</v>
      </c>
      <c r="M1045" t="s">
        <v>11191</v>
      </c>
      <c r="N1045">
        <v>2615.6406066244381</v>
      </c>
      <c r="O1045">
        <v>2647.0282939039312</v>
      </c>
      <c r="P1045">
        <v>2771.4386237174158</v>
      </c>
      <c r="Q1045">
        <v>2993.153713614809</v>
      </c>
      <c r="R1045">
        <v>3115.8730158730159</v>
      </c>
      <c r="S1045" t="s">
        <v>11192</v>
      </c>
      <c r="T1045" t="s">
        <v>1867</v>
      </c>
      <c r="U1045" t="s">
        <v>11193</v>
      </c>
      <c r="V1045" t="s">
        <v>49</v>
      </c>
      <c r="W1045">
        <v>338996155</v>
      </c>
      <c r="X1045">
        <v>339500751</v>
      </c>
      <c r="Y1045">
        <v>340560751</v>
      </c>
      <c r="Z1045">
        <v>341660751</v>
      </c>
      <c r="AA1045">
        <v>343660751</v>
      </c>
      <c r="AB1045">
        <v>44334605425.377602</v>
      </c>
      <c r="AC1045">
        <v>16949807.75</v>
      </c>
      <c r="AD1045">
        <v>44933404684.931664</v>
      </c>
      <c r="AE1045">
        <v>16975037.550000001</v>
      </c>
      <c r="AF1045">
        <v>47192160952.180481</v>
      </c>
      <c r="AG1045">
        <v>17028037.550000001</v>
      </c>
      <c r="AH1045">
        <v>51132157282.603729</v>
      </c>
      <c r="AI1045">
        <v>17083037.550000001</v>
      </c>
      <c r="AJ1045">
        <v>53540163032.777786</v>
      </c>
      <c r="AK1045">
        <v>17183037.550000001</v>
      </c>
    </row>
    <row r="1046" spans="1:37" x14ac:dyDescent="0.35">
      <c r="A1046" t="s">
        <v>11194</v>
      </c>
      <c r="B1046">
        <v>27</v>
      </c>
      <c r="C1046" t="s">
        <v>487</v>
      </c>
      <c r="D1046" t="s">
        <v>11195</v>
      </c>
      <c r="E1046" t="s">
        <v>11196</v>
      </c>
      <c r="F1046">
        <v>2.8000000000000001E-2</v>
      </c>
      <c r="G1046" t="s">
        <v>11197</v>
      </c>
      <c r="H1046">
        <v>0.5</v>
      </c>
      <c r="I1046">
        <v>0.12</v>
      </c>
      <c r="J1046" t="s">
        <v>11198</v>
      </c>
      <c r="K1046" t="s">
        <v>3315</v>
      </c>
      <c r="L1046" t="s">
        <v>11199</v>
      </c>
      <c r="M1046" t="s">
        <v>11200</v>
      </c>
      <c r="N1046">
        <v>4761.448013576749</v>
      </c>
      <c r="O1046">
        <v>4818.5853897396701</v>
      </c>
      <c r="P1046">
        <v>5045.0589030574338</v>
      </c>
      <c r="Q1046">
        <v>5448.663615302029</v>
      </c>
      <c r="R1046">
        <v>5672.0588235294117</v>
      </c>
      <c r="S1046" t="s">
        <v>11201</v>
      </c>
      <c r="T1046" t="s">
        <v>11202</v>
      </c>
      <c r="U1046" t="s">
        <v>1304</v>
      </c>
      <c r="V1046" t="s">
        <v>94</v>
      </c>
      <c r="W1046">
        <v>265472419.80000001</v>
      </c>
      <c r="X1046">
        <v>266439117.80000001</v>
      </c>
      <c r="Y1046">
        <v>267499117.80000001</v>
      </c>
      <c r="Z1046">
        <v>268599117.80000001</v>
      </c>
      <c r="AA1046">
        <v>270179117.80000001</v>
      </c>
      <c r="AB1046">
        <v>35392927525.651443</v>
      </c>
      <c r="AC1046">
        <v>7433227.7544000009</v>
      </c>
      <c r="AD1046">
        <v>35948069928.013786</v>
      </c>
      <c r="AE1046">
        <v>7460295.2984000007</v>
      </c>
      <c r="AF1046">
        <v>37787366562.873177</v>
      </c>
      <c r="AG1046">
        <v>7489975.2984000007</v>
      </c>
      <c r="AH1046">
        <v>40978174727.254341</v>
      </c>
      <c r="AI1046">
        <v>7520775.2984000007</v>
      </c>
      <c r="AJ1046">
        <v>42909211773.424713</v>
      </c>
      <c r="AK1046">
        <v>7565015.2984000007</v>
      </c>
    </row>
    <row r="1047" spans="1:37" x14ac:dyDescent="0.35">
      <c r="A1047" t="s">
        <v>11203</v>
      </c>
      <c r="B1047">
        <v>71.040000000000006</v>
      </c>
      <c r="C1047" t="s">
        <v>4081</v>
      </c>
      <c r="D1047" t="s">
        <v>11204</v>
      </c>
      <c r="E1047" t="s">
        <v>11205</v>
      </c>
      <c r="F1047">
        <v>0.06</v>
      </c>
      <c r="G1047" t="s">
        <v>11206</v>
      </c>
      <c r="H1047">
        <v>0.3</v>
      </c>
      <c r="I1047">
        <v>0.05</v>
      </c>
      <c r="J1047" t="s">
        <v>11207</v>
      </c>
      <c r="K1047" t="s">
        <v>11208</v>
      </c>
      <c r="L1047" t="s">
        <v>11209</v>
      </c>
      <c r="M1047" t="s">
        <v>11210</v>
      </c>
      <c r="N1047">
        <v>447.71026175538009</v>
      </c>
      <c r="O1047">
        <v>453.08278489644471</v>
      </c>
      <c r="P1047">
        <v>474.37767578657753</v>
      </c>
      <c r="Q1047">
        <v>512.32788984950378</v>
      </c>
      <c r="R1047">
        <v>533.33333333333337</v>
      </c>
      <c r="S1047" t="s">
        <v>11211</v>
      </c>
      <c r="T1047" t="s">
        <v>10407</v>
      </c>
      <c r="U1047" t="s">
        <v>11212</v>
      </c>
      <c r="V1047" t="s">
        <v>49</v>
      </c>
      <c r="W1047">
        <v>338996155</v>
      </c>
      <c r="X1047">
        <v>339500751</v>
      </c>
      <c r="Y1047">
        <v>340560751</v>
      </c>
      <c r="Z1047">
        <v>341660751</v>
      </c>
      <c r="AA1047">
        <v>343660751</v>
      </c>
      <c r="AB1047">
        <v>9106323437.347044</v>
      </c>
      <c r="AC1047">
        <v>20339769.300000001</v>
      </c>
      <c r="AD1047">
        <v>9229316744.250864</v>
      </c>
      <c r="AE1047">
        <v>20370045.059999999</v>
      </c>
      <c r="AF1047">
        <v>9693265051.4106808</v>
      </c>
      <c r="AG1047">
        <v>20433645.059999999</v>
      </c>
      <c r="AH1047">
        <v>10502539896.253599</v>
      </c>
      <c r="AI1047">
        <v>20499645.059999999</v>
      </c>
      <c r="AJ1047">
        <v>10997144032</v>
      </c>
      <c r="AK1047">
        <v>20619645.059999999</v>
      </c>
    </row>
    <row r="1048" spans="1:37" x14ac:dyDescent="0.35">
      <c r="A1048" t="s">
        <v>11213</v>
      </c>
      <c r="B1048">
        <v>24.78</v>
      </c>
      <c r="C1048" t="s">
        <v>4081</v>
      </c>
      <c r="D1048" t="s">
        <v>11214</v>
      </c>
      <c r="E1048" t="s">
        <v>11215</v>
      </c>
      <c r="F1048">
        <v>0.06</v>
      </c>
      <c r="G1048" t="s">
        <v>11216</v>
      </c>
      <c r="H1048">
        <v>5.0999999999999996</v>
      </c>
      <c r="I1048">
        <v>0.12</v>
      </c>
      <c r="J1048" t="s">
        <v>11217</v>
      </c>
      <c r="K1048" t="s">
        <v>11218</v>
      </c>
      <c r="L1048" t="s">
        <v>11219</v>
      </c>
      <c r="M1048" t="s">
        <v>11220</v>
      </c>
      <c r="N1048">
        <v>447.71026175538009</v>
      </c>
      <c r="O1048">
        <v>453.08278489644471</v>
      </c>
      <c r="P1048">
        <v>474.37767578657753</v>
      </c>
      <c r="Q1048">
        <v>512.32788984950378</v>
      </c>
      <c r="R1048">
        <v>533.33333333333337</v>
      </c>
      <c r="S1048" t="s">
        <v>11221</v>
      </c>
      <c r="T1048" t="s">
        <v>11222</v>
      </c>
      <c r="U1048" t="s">
        <v>11223</v>
      </c>
      <c r="V1048" t="s">
        <v>49</v>
      </c>
      <c r="W1048">
        <v>338996155</v>
      </c>
      <c r="X1048">
        <v>339500751</v>
      </c>
      <c r="Y1048">
        <v>340560751</v>
      </c>
      <c r="Z1048">
        <v>341660751</v>
      </c>
      <c r="AA1048">
        <v>343660751</v>
      </c>
      <c r="AB1048">
        <v>9106323437.347044</v>
      </c>
      <c r="AC1048">
        <v>20339769.300000001</v>
      </c>
      <c r="AD1048">
        <v>9229316744.250864</v>
      </c>
      <c r="AE1048">
        <v>20370045.059999999</v>
      </c>
      <c r="AF1048">
        <v>9693265051.4106808</v>
      </c>
      <c r="AG1048">
        <v>20433645.059999999</v>
      </c>
      <c r="AH1048">
        <v>10502539896.253599</v>
      </c>
      <c r="AI1048">
        <v>20499645.059999999</v>
      </c>
      <c r="AJ1048">
        <v>10997144032</v>
      </c>
      <c r="AK1048">
        <v>20619645.059999999</v>
      </c>
    </row>
    <row r="1049" spans="1:37" x14ac:dyDescent="0.35">
      <c r="A1049" t="s">
        <v>11224</v>
      </c>
      <c r="B1049">
        <v>48.24</v>
      </c>
      <c r="C1049" t="s">
        <v>4081</v>
      </c>
      <c r="D1049" t="s">
        <v>11225</v>
      </c>
      <c r="E1049" t="s">
        <v>11226</v>
      </c>
      <c r="F1049">
        <v>0.06</v>
      </c>
      <c r="G1049" t="s">
        <v>11227</v>
      </c>
      <c r="H1049">
        <v>0.25</v>
      </c>
      <c r="I1049">
        <v>0.02</v>
      </c>
      <c r="J1049" t="s">
        <v>11228</v>
      </c>
      <c r="K1049" t="s">
        <v>11229</v>
      </c>
      <c r="L1049" t="s">
        <v>11230</v>
      </c>
      <c r="M1049" t="s">
        <v>11231</v>
      </c>
      <c r="N1049">
        <v>447.71026175538009</v>
      </c>
      <c r="O1049">
        <v>453.08278489644471</v>
      </c>
      <c r="P1049">
        <v>474.37767578657753</v>
      </c>
      <c r="Q1049">
        <v>512.32788984950378</v>
      </c>
      <c r="R1049">
        <v>533.33333333333337</v>
      </c>
      <c r="S1049" t="s">
        <v>11232</v>
      </c>
      <c r="T1049" t="s">
        <v>11233</v>
      </c>
      <c r="U1049" t="s">
        <v>11234</v>
      </c>
      <c r="V1049" t="s">
        <v>49</v>
      </c>
      <c r="W1049">
        <v>338996155</v>
      </c>
      <c r="X1049">
        <v>339500751</v>
      </c>
      <c r="Y1049">
        <v>340560751</v>
      </c>
      <c r="Z1049">
        <v>341660751</v>
      </c>
      <c r="AA1049">
        <v>343660751</v>
      </c>
      <c r="AB1049">
        <v>9106323437.347044</v>
      </c>
      <c r="AC1049">
        <v>20339769.300000001</v>
      </c>
      <c r="AD1049">
        <v>9229316744.250864</v>
      </c>
      <c r="AE1049">
        <v>20370045.059999999</v>
      </c>
      <c r="AF1049">
        <v>9693265051.4106808</v>
      </c>
      <c r="AG1049">
        <v>20433645.059999999</v>
      </c>
      <c r="AH1049">
        <v>10502539896.253599</v>
      </c>
      <c r="AI1049">
        <v>20499645.059999999</v>
      </c>
      <c r="AJ1049">
        <v>10997144032</v>
      </c>
      <c r="AK1049">
        <v>20619645.059999999</v>
      </c>
    </row>
    <row r="1050" spans="1:37" x14ac:dyDescent="0.35">
      <c r="A1050" t="s">
        <v>11235</v>
      </c>
      <c r="B1050">
        <v>33.840000000000003</v>
      </c>
      <c r="C1050" t="s">
        <v>4081</v>
      </c>
      <c r="D1050" t="s">
        <v>11236</v>
      </c>
      <c r="E1050" t="s">
        <v>11237</v>
      </c>
      <c r="F1050">
        <v>0.06</v>
      </c>
      <c r="G1050" t="s">
        <v>11238</v>
      </c>
      <c r="H1050">
        <v>0.3</v>
      </c>
      <c r="I1050">
        <v>0.15</v>
      </c>
      <c r="J1050" t="s">
        <v>11239</v>
      </c>
      <c r="K1050" t="s">
        <v>11240</v>
      </c>
      <c r="L1050" t="s">
        <v>11241</v>
      </c>
      <c r="M1050" t="s">
        <v>11242</v>
      </c>
      <c r="N1050">
        <v>447.71026175538009</v>
      </c>
      <c r="O1050">
        <v>453.08278489644471</v>
      </c>
      <c r="P1050">
        <v>474.37767578657753</v>
      </c>
      <c r="Q1050">
        <v>512.32788984950378</v>
      </c>
      <c r="R1050">
        <v>533.33333333333337</v>
      </c>
      <c r="S1050" t="s">
        <v>11243</v>
      </c>
      <c r="T1050" t="s">
        <v>11244</v>
      </c>
      <c r="U1050" t="s">
        <v>11245</v>
      </c>
      <c r="V1050" t="s">
        <v>49</v>
      </c>
      <c r="W1050">
        <v>338996155</v>
      </c>
      <c r="X1050">
        <v>339500751</v>
      </c>
      <c r="Y1050">
        <v>340560751</v>
      </c>
      <c r="Z1050">
        <v>341660751</v>
      </c>
      <c r="AA1050">
        <v>343660751</v>
      </c>
      <c r="AB1050">
        <v>9106323437.347044</v>
      </c>
      <c r="AC1050">
        <v>20339769.300000001</v>
      </c>
      <c r="AD1050">
        <v>9229316744.250864</v>
      </c>
      <c r="AE1050">
        <v>20370045.059999999</v>
      </c>
      <c r="AF1050">
        <v>9693265051.4106808</v>
      </c>
      <c r="AG1050">
        <v>20433645.059999999</v>
      </c>
      <c r="AH1050">
        <v>10502539896.253599</v>
      </c>
      <c r="AI1050">
        <v>20499645.059999999</v>
      </c>
      <c r="AJ1050">
        <v>10997144032</v>
      </c>
      <c r="AK1050">
        <v>20619645.059999999</v>
      </c>
    </row>
    <row r="1051" spans="1:37" x14ac:dyDescent="0.35">
      <c r="A1051" t="s">
        <v>11246</v>
      </c>
      <c r="B1051">
        <v>74.400000000000006</v>
      </c>
      <c r="C1051" t="s">
        <v>4081</v>
      </c>
      <c r="D1051" t="s">
        <v>11247</v>
      </c>
      <c r="E1051" t="s">
        <v>11248</v>
      </c>
      <c r="F1051">
        <v>0.06</v>
      </c>
      <c r="G1051" t="s">
        <v>11249</v>
      </c>
      <c r="H1051">
        <v>0.1</v>
      </c>
      <c r="I1051">
        <v>0.15</v>
      </c>
      <c r="J1051" t="s">
        <v>11250</v>
      </c>
      <c r="K1051" t="s">
        <v>11251</v>
      </c>
      <c r="L1051" t="s">
        <v>11252</v>
      </c>
      <c r="M1051" t="s">
        <v>11253</v>
      </c>
      <c r="N1051">
        <v>447.71026175538009</v>
      </c>
      <c r="O1051">
        <v>453.08278489644471</v>
      </c>
      <c r="P1051">
        <v>474.37767578657753</v>
      </c>
      <c r="Q1051">
        <v>512.32788984950378</v>
      </c>
      <c r="R1051">
        <v>533.33333333333337</v>
      </c>
      <c r="S1051" t="s">
        <v>11254</v>
      </c>
      <c r="T1051" t="s">
        <v>11255</v>
      </c>
      <c r="U1051" t="s">
        <v>11256</v>
      </c>
      <c r="V1051" t="s">
        <v>49</v>
      </c>
      <c r="W1051">
        <v>338996155</v>
      </c>
      <c r="X1051">
        <v>339500751</v>
      </c>
      <c r="Y1051">
        <v>340560751</v>
      </c>
      <c r="Z1051">
        <v>341660751</v>
      </c>
      <c r="AA1051">
        <v>343660751</v>
      </c>
      <c r="AB1051">
        <v>9106323437.347044</v>
      </c>
      <c r="AC1051">
        <v>20339769.300000001</v>
      </c>
      <c r="AD1051">
        <v>9229316744.250864</v>
      </c>
      <c r="AE1051">
        <v>20370045.059999999</v>
      </c>
      <c r="AF1051">
        <v>9693265051.4106808</v>
      </c>
      <c r="AG1051">
        <v>20433645.059999999</v>
      </c>
      <c r="AH1051">
        <v>10502539896.253599</v>
      </c>
      <c r="AI1051">
        <v>20499645.059999999</v>
      </c>
      <c r="AJ1051">
        <v>10997144032</v>
      </c>
      <c r="AK1051">
        <v>20619645.059999999</v>
      </c>
    </row>
    <row r="1052" spans="1:37" x14ac:dyDescent="0.35">
      <c r="A1052" t="s">
        <v>11257</v>
      </c>
      <c r="B1052">
        <v>135.36000000000001</v>
      </c>
      <c r="C1052" t="s">
        <v>4081</v>
      </c>
      <c r="D1052" t="s">
        <v>11258</v>
      </c>
      <c r="E1052" t="s">
        <v>11259</v>
      </c>
      <c r="F1052">
        <v>0.06</v>
      </c>
      <c r="G1052" t="s">
        <v>11260</v>
      </c>
      <c r="H1052">
        <v>0.25</v>
      </c>
      <c r="I1052">
        <v>5.0999999999999996</v>
      </c>
      <c r="J1052" t="s">
        <v>11261</v>
      </c>
      <c r="K1052" t="s">
        <v>11262</v>
      </c>
      <c r="L1052" t="s">
        <v>11263</v>
      </c>
      <c r="M1052" t="s">
        <v>11264</v>
      </c>
      <c r="N1052">
        <v>447.71026175538009</v>
      </c>
      <c r="O1052">
        <v>453.08278489644471</v>
      </c>
      <c r="P1052">
        <v>474.37767578657753</v>
      </c>
      <c r="Q1052">
        <v>512.32788984950378</v>
      </c>
      <c r="R1052">
        <v>533.33333333333337</v>
      </c>
      <c r="S1052" t="s">
        <v>11265</v>
      </c>
      <c r="T1052" t="s">
        <v>11266</v>
      </c>
      <c r="U1052" t="s">
        <v>11267</v>
      </c>
      <c r="V1052" t="s">
        <v>49</v>
      </c>
      <c r="W1052">
        <v>338996155</v>
      </c>
      <c r="X1052">
        <v>339500751</v>
      </c>
      <c r="Y1052">
        <v>340560751</v>
      </c>
      <c r="Z1052">
        <v>341660751</v>
      </c>
      <c r="AA1052">
        <v>343660751</v>
      </c>
      <c r="AB1052">
        <v>9106323437.347044</v>
      </c>
      <c r="AC1052">
        <v>20339769.300000001</v>
      </c>
      <c r="AD1052">
        <v>9229316744.250864</v>
      </c>
      <c r="AE1052">
        <v>20370045.059999999</v>
      </c>
      <c r="AF1052">
        <v>9693265051.4106808</v>
      </c>
      <c r="AG1052">
        <v>20433645.059999999</v>
      </c>
      <c r="AH1052">
        <v>10502539896.253599</v>
      </c>
      <c r="AI1052">
        <v>20499645.059999999</v>
      </c>
      <c r="AJ1052">
        <v>10997144032</v>
      </c>
      <c r="AK1052">
        <v>20619645.059999999</v>
      </c>
    </row>
    <row r="1053" spans="1:37" x14ac:dyDescent="0.35">
      <c r="A1053" t="s">
        <v>11268</v>
      </c>
      <c r="B1053">
        <v>135.36000000000001</v>
      </c>
      <c r="C1053" t="s">
        <v>4081</v>
      </c>
      <c r="D1053" t="s">
        <v>11269</v>
      </c>
      <c r="E1053" t="s">
        <v>11270</v>
      </c>
      <c r="F1053">
        <v>0.06</v>
      </c>
      <c r="G1053" t="s">
        <v>11271</v>
      </c>
      <c r="H1053">
        <v>0.1</v>
      </c>
      <c r="I1053">
        <v>5.0999999999999996</v>
      </c>
      <c r="J1053" t="s">
        <v>11272</v>
      </c>
      <c r="K1053" t="s">
        <v>11273</v>
      </c>
      <c r="L1053" t="s">
        <v>11274</v>
      </c>
      <c r="M1053" t="s">
        <v>11275</v>
      </c>
      <c r="N1053">
        <v>447.71026175538009</v>
      </c>
      <c r="O1053">
        <v>453.08278489644471</v>
      </c>
      <c r="P1053">
        <v>474.37767578657753</v>
      </c>
      <c r="Q1053">
        <v>512.32788984950378</v>
      </c>
      <c r="R1053">
        <v>533.33333333333337</v>
      </c>
      <c r="S1053" t="s">
        <v>11276</v>
      </c>
      <c r="T1053" t="s">
        <v>3242</v>
      </c>
      <c r="U1053" t="s">
        <v>11277</v>
      </c>
      <c r="V1053" t="s">
        <v>49</v>
      </c>
      <c r="W1053">
        <v>338996155</v>
      </c>
      <c r="X1053">
        <v>339500751</v>
      </c>
      <c r="Y1053">
        <v>340560751</v>
      </c>
      <c r="Z1053">
        <v>341660751</v>
      </c>
      <c r="AA1053">
        <v>343660751</v>
      </c>
      <c r="AB1053">
        <v>9106323437.347044</v>
      </c>
      <c r="AC1053">
        <v>20339769.300000001</v>
      </c>
      <c r="AD1053">
        <v>9229316744.250864</v>
      </c>
      <c r="AE1053">
        <v>20370045.059999999</v>
      </c>
      <c r="AF1053">
        <v>9693265051.4106808</v>
      </c>
      <c r="AG1053">
        <v>20433645.059999999</v>
      </c>
      <c r="AH1053">
        <v>10502539896.253599</v>
      </c>
      <c r="AI1053">
        <v>20499645.059999999</v>
      </c>
      <c r="AJ1053">
        <v>10997144032</v>
      </c>
      <c r="AK1053">
        <v>20619645.059999999</v>
      </c>
    </row>
    <row r="1054" spans="1:37" x14ac:dyDescent="0.35">
      <c r="A1054" t="s">
        <v>11278</v>
      </c>
      <c r="B1054">
        <v>144.96</v>
      </c>
      <c r="C1054" t="s">
        <v>4081</v>
      </c>
      <c r="D1054" t="s">
        <v>11279</v>
      </c>
      <c r="E1054" t="s">
        <v>11280</v>
      </c>
      <c r="F1054">
        <v>0.06</v>
      </c>
      <c r="G1054" t="s">
        <v>11281</v>
      </c>
      <c r="H1054">
        <v>10.199999999999999</v>
      </c>
      <c r="I1054">
        <v>0.15</v>
      </c>
      <c r="J1054" t="s">
        <v>11282</v>
      </c>
      <c r="K1054" t="s">
        <v>11283</v>
      </c>
      <c r="L1054" t="s">
        <v>11284</v>
      </c>
      <c r="M1054" t="s">
        <v>11285</v>
      </c>
      <c r="N1054">
        <v>447.71026175538009</v>
      </c>
      <c r="O1054">
        <v>453.08278489644471</v>
      </c>
      <c r="P1054">
        <v>474.37767578657753</v>
      </c>
      <c r="Q1054">
        <v>512.32788984950378</v>
      </c>
      <c r="R1054">
        <v>533.33333333333337</v>
      </c>
      <c r="S1054" t="s">
        <v>11286</v>
      </c>
      <c r="T1054" t="s">
        <v>11287</v>
      </c>
      <c r="U1054" t="s">
        <v>11288</v>
      </c>
      <c r="V1054" t="s">
        <v>49</v>
      </c>
      <c r="W1054">
        <v>338996155</v>
      </c>
      <c r="X1054">
        <v>339500751</v>
      </c>
      <c r="Y1054">
        <v>340560751</v>
      </c>
      <c r="Z1054">
        <v>341660751</v>
      </c>
      <c r="AA1054">
        <v>343660751</v>
      </c>
      <c r="AB1054">
        <v>9106323437.347044</v>
      </c>
      <c r="AC1054">
        <v>20339769.300000001</v>
      </c>
      <c r="AD1054">
        <v>9229316744.250864</v>
      </c>
      <c r="AE1054">
        <v>20370045.059999999</v>
      </c>
      <c r="AF1054">
        <v>9693265051.4106808</v>
      </c>
      <c r="AG1054">
        <v>20433645.059999999</v>
      </c>
      <c r="AH1054">
        <v>10502539896.253599</v>
      </c>
      <c r="AI1054">
        <v>20499645.059999999</v>
      </c>
      <c r="AJ1054">
        <v>10997144032</v>
      </c>
      <c r="AK1054">
        <v>20619645.059999999</v>
      </c>
    </row>
    <row r="1055" spans="1:37" x14ac:dyDescent="0.35">
      <c r="A1055" t="s">
        <v>11289</v>
      </c>
      <c r="B1055">
        <v>140.16</v>
      </c>
      <c r="C1055" t="s">
        <v>4081</v>
      </c>
      <c r="D1055" t="s">
        <v>11290</v>
      </c>
      <c r="E1055" t="s">
        <v>11291</v>
      </c>
      <c r="F1055">
        <v>0.06</v>
      </c>
      <c r="G1055" t="s">
        <v>11292</v>
      </c>
      <c r="H1055">
        <v>0.25</v>
      </c>
      <c r="I1055">
        <v>0.13</v>
      </c>
      <c r="J1055" t="s">
        <v>11293</v>
      </c>
      <c r="K1055" t="s">
        <v>11294</v>
      </c>
      <c r="L1055" t="s">
        <v>11295</v>
      </c>
      <c r="M1055" t="s">
        <v>11296</v>
      </c>
      <c r="N1055">
        <v>447.71026175538009</v>
      </c>
      <c r="O1055">
        <v>453.08278489644471</v>
      </c>
      <c r="P1055">
        <v>474.37767578657753</v>
      </c>
      <c r="Q1055">
        <v>512.32788984950378</v>
      </c>
      <c r="R1055">
        <v>533.33333333333337</v>
      </c>
      <c r="S1055" t="s">
        <v>11297</v>
      </c>
      <c r="T1055" t="s">
        <v>11298</v>
      </c>
      <c r="U1055" t="s">
        <v>11299</v>
      </c>
      <c r="V1055" t="s">
        <v>49</v>
      </c>
      <c r="W1055">
        <v>338996155</v>
      </c>
      <c r="X1055">
        <v>339500751</v>
      </c>
      <c r="Y1055">
        <v>340560751</v>
      </c>
      <c r="Z1055">
        <v>341660751</v>
      </c>
      <c r="AA1055">
        <v>343660751</v>
      </c>
      <c r="AB1055">
        <v>9106323437.347044</v>
      </c>
      <c r="AC1055">
        <v>20339769.300000001</v>
      </c>
      <c r="AD1055">
        <v>9229316744.250864</v>
      </c>
      <c r="AE1055">
        <v>20370045.059999999</v>
      </c>
      <c r="AF1055">
        <v>9693265051.4106808</v>
      </c>
      <c r="AG1055">
        <v>20433645.059999999</v>
      </c>
      <c r="AH1055">
        <v>10502539896.253599</v>
      </c>
      <c r="AI1055">
        <v>20499645.059999999</v>
      </c>
      <c r="AJ1055">
        <v>10997144032</v>
      </c>
      <c r="AK1055">
        <v>20619645.059999999</v>
      </c>
    </row>
    <row r="1056" spans="1:37" x14ac:dyDescent="0.35">
      <c r="A1056" t="s">
        <v>11300</v>
      </c>
      <c r="B1056">
        <v>31.78</v>
      </c>
      <c r="C1056" t="s">
        <v>4081</v>
      </c>
      <c r="D1056" t="s">
        <v>11301</v>
      </c>
      <c r="E1056" t="s">
        <v>11302</v>
      </c>
      <c r="F1056">
        <v>0.06</v>
      </c>
      <c r="G1056" t="s">
        <v>11303</v>
      </c>
      <c r="H1056">
        <v>0.2</v>
      </c>
      <c r="I1056">
        <v>0.15</v>
      </c>
      <c r="J1056" t="s">
        <v>11304</v>
      </c>
      <c r="K1056" t="s">
        <v>11305</v>
      </c>
      <c r="L1056" t="s">
        <v>11306</v>
      </c>
      <c r="M1056" t="s">
        <v>11307</v>
      </c>
      <c r="N1056">
        <v>447.71026175538009</v>
      </c>
      <c r="O1056">
        <v>453.08278489644471</v>
      </c>
      <c r="P1056">
        <v>474.37767578657753</v>
      </c>
      <c r="Q1056">
        <v>512.32788984950378</v>
      </c>
      <c r="R1056">
        <v>533.33333333333337</v>
      </c>
      <c r="S1056" t="s">
        <v>11308</v>
      </c>
      <c r="T1056" t="s">
        <v>11309</v>
      </c>
      <c r="U1056" t="s">
        <v>11310</v>
      </c>
      <c r="V1056" t="s">
        <v>49</v>
      </c>
      <c r="W1056">
        <v>338996155</v>
      </c>
      <c r="X1056">
        <v>339500751</v>
      </c>
      <c r="Y1056">
        <v>340560751</v>
      </c>
      <c r="Z1056">
        <v>341660751</v>
      </c>
      <c r="AA1056">
        <v>343660751</v>
      </c>
      <c r="AB1056">
        <v>9106323437.347044</v>
      </c>
      <c r="AC1056">
        <v>20339769.300000001</v>
      </c>
      <c r="AD1056">
        <v>9229316744.250864</v>
      </c>
      <c r="AE1056">
        <v>20370045.059999999</v>
      </c>
      <c r="AF1056">
        <v>9693265051.4106808</v>
      </c>
      <c r="AG1056">
        <v>20433645.059999999</v>
      </c>
      <c r="AH1056">
        <v>10502539896.253599</v>
      </c>
      <c r="AI1056">
        <v>20499645.059999999</v>
      </c>
      <c r="AJ1056">
        <v>10997144032</v>
      </c>
      <c r="AK1056">
        <v>20619645.059999999</v>
      </c>
    </row>
    <row r="1057" spans="1:37" x14ac:dyDescent="0.35">
      <c r="A1057" t="s">
        <v>11311</v>
      </c>
      <c r="B1057">
        <v>39.36</v>
      </c>
      <c r="C1057" t="s">
        <v>4081</v>
      </c>
      <c r="D1057" t="s">
        <v>11312</v>
      </c>
      <c r="E1057" t="s">
        <v>11313</v>
      </c>
      <c r="F1057">
        <v>0.06</v>
      </c>
      <c r="G1057" t="s">
        <v>11314</v>
      </c>
      <c r="H1057">
        <v>0.15</v>
      </c>
      <c r="I1057">
        <v>0.13</v>
      </c>
      <c r="J1057" t="s">
        <v>11315</v>
      </c>
      <c r="K1057" t="s">
        <v>11316</v>
      </c>
      <c r="L1057" t="s">
        <v>11317</v>
      </c>
      <c r="M1057" t="s">
        <v>11318</v>
      </c>
      <c r="N1057">
        <v>447.71026175538009</v>
      </c>
      <c r="O1057">
        <v>453.08278489644471</v>
      </c>
      <c r="P1057">
        <v>474.37767578657753</v>
      </c>
      <c r="Q1057">
        <v>512.32788984950378</v>
      </c>
      <c r="R1057">
        <v>533.33333333333337</v>
      </c>
      <c r="S1057" t="s">
        <v>11319</v>
      </c>
      <c r="T1057" t="s">
        <v>11320</v>
      </c>
      <c r="U1057" t="s">
        <v>11321</v>
      </c>
      <c r="V1057" t="s">
        <v>49</v>
      </c>
      <c r="W1057">
        <v>338996155</v>
      </c>
      <c r="X1057">
        <v>339500751</v>
      </c>
      <c r="Y1057">
        <v>340560751</v>
      </c>
      <c r="Z1057">
        <v>341660751</v>
      </c>
      <c r="AA1057">
        <v>343660751</v>
      </c>
      <c r="AB1057">
        <v>9106323437.347044</v>
      </c>
      <c r="AC1057">
        <v>20339769.300000001</v>
      </c>
      <c r="AD1057">
        <v>9229316744.250864</v>
      </c>
      <c r="AE1057">
        <v>20370045.059999999</v>
      </c>
      <c r="AF1057">
        <v>9693265051.4106808</v>
      </c>
      <c r="AG1057">
        <v>20433645.059999999</v>
      </c>
      <c r="AH1057">
        <v>10502539896.253599</v>
      </c>
      <c r="AI1057">
        <v>20499645.059999999</v>
      </c>
      <c r="AJ1057">
        <v>10997144032</v>
      </c>
      <c r="AK1057">
        <v>20619645.059999999</v>
      </c>
    </row>
    <row r="1058" spans="1:37" x14ac:dyDescent="0.35">
      <c r="A1058" t="s">
        <v>11322</v>
      </c>
      <c r="B1058">
        <v>39.36</v>
      </c>
      <c r="C1058" t="s">
        <v>4081</v>
      </c>
      <c r="D1058" t="s">
        <v>11323</v>
      </c>
      <c r="E1058" t="s">
        <v>11324</v>
      </c>
      <c r="F1058">
        <v>0.06</v>
      </c>
      <c r="G1058" t="s">
        <v>11325</v>
      </c>
      <c r="H1058">
        <v>0.2</v>
      </c>
      <c r="I1058">
        <v>0.19</v>
      </c>
      <c r="J1058" t="s">
        <v>11326</v>
      </c>
      <c r="K1058" t="s">
        <v>11327</v>
      </c>
      <c r="L1058" t="s">
        <v>11328</v>
      </c>
      <c r="M1058" t="s">
        <v>11329</v>
      </c>
      <c r="N1058">
        <v>447.71026175538009</v>
      </c>
      <c r="O1058">
        <v>453.08278489644471</v>
      </c>
      <c r="P1058">
        <v>474.37767578657753</v>
      </c>
      <c r="Q1058">
        <v>512.32788984950378</v>
      </c>
      <c r="R1058">
        <v>533.33333333333337</v>
      </c>
      <c r="S1058" t="s">
        <v>11330</v>
      </c>
      <c r="T1058" t="s">
        <v>11331</v>
      </c>
      <c r="U1058" t="s">
        <v>11332</v>
      </c>
      <c r="V1058" t="s">
        <v>49</v>
      </c>
      <c r="W1058">
        <v>338996155</v>
      </c>
      <c r="X1058">
        <v>339500751</v>
      </c>
      <c r="Y1058">
        <v>340560751</v>
      </c>
      <c r="Z1058">
        <v>341660751</v>
      </c>
      <c r="AA1058">
        <v>343660751</v>
      </c>
      <c r="AB1058">
        <v>9106323437.347044</v>
      </c>
      <c r="AC1058">
        <v>20339769.300000001</v>
      </c>
      <c r="AD1058">
        <v>9229316744.250864</v>
      </c>
      <c r="AE1058">
        <v>20370045.059999999</v>
      </c>
      <c r="AF1058">
        <v>9693265051.4106808</v>
      </c>
      <c r="AG1058">
        <v>20433645.059999999</v>
      </c>
      <c r="AH1058">
        <v>10502539896.253599</v>
      </c>
      <c r="AI1058">
        <v>20499645.059999999</v>
      </c>
      <c r="AJ1058">
        <v>10997144032</v>
      </c>
      <c r="AK1058">
        <v>20619645.059999999</v>
      </c>
    </row>
    <row r="1059" spans="1:37" x14ac:dyDescent="0.35">
      <c r="A1059" t="s">
        <v>11333</v>
      </c>
      <c r="B1059">
        <v>24.5</v>
      </c>
      <c r="C1059" t="s">
        <v>4081</v>
      </c>
      <c r="D1059" t="s">
        <v>11334</v>
      </c>
      <c r="E1059" t="s">
        <v>11335</v>
      </c>
      <c r="F1059">
        <v>0.06</v>
      </c>
      <c r="G1059" t="s">
        <v>11336</v>
      </c>
      <c r="H1059">
        <v>10.199999999999999</v>
      </c>
      <c r="I1059">
        <v>0.05</v>
      </c>
      <c r="J1059" t="s">
        <v>11337</v>
      </c>
      <c r="K1059" t="s">
        <v>11338</v>
      </c>
      <c r="L1059" t="s">
        <v>11339</v>
      </c>
      <c r="M1059" t="s">
        <v>11340</v>
      </c>
      <c r="N1059">
        <v>447.71026175538009</v>
      </c>
      <c r="O1059">
        <v>453.08278489644471</v>
      </c>
      <c r="P1059">
        <v>474.37767578657753</v>
      </c>
      <c r="Q1059">
        <v>512.32788984950378</v>
      </c>
      <c r="R1059">
        <v>533.33333333333337</v>
      </c>
      <c r="S1059" t="s">
        <v>11341</v>
      </c>
      <c r="T1059" t="s">
        <v>299</v>
      </c>
      <c r="U1059" t="s">
        <v>11342</v>
      </c>
      <c r="V1059" t="s">
        <v>49</v>
      </c>
      <c r="W1059">
        <v>338996155</v>
      </c>
      <c r="X1059">
        <v>339500751</v>
      </c>
      <c r="Y1059">
        <v>340560751</v>
      </c>
      <c r="Z1059">
        <v>341660751</v>
      </c>
      <c r="AA1059">
        <v>343660751</v>
      </c>
      <c r="AB1059">
        <v>9106323437.347044</v>
      </c>
      <c r="AC1059">
        <v>20339769.300000001</v>
      </c>
      <c r="AD1059">
        <v>9229316744.250864</v>
      </c>
      <c r="AE1059">
        <v>20370045.059999999</v>
      </c>
      <c r="AF1059">
        <v>9693265051.4106808</v>
      </c>
      <c r="AG1059">
        <v>20433645.059999999</v>
      </c>
      <c r="AH1059">
        <v>10502539896.253599</v>
      </c>
      <c r="AI1059">
        <v>20499645.059999999</v>
      </c>
      <c r="AJ1059">
        <v>10997144032</v>
      </c>
      <c r="AK1059">
        <v>20619645.059999999</v>
      </c>
    </row>
    <row r="1060" spans="1:37" x14ac:dyDescent="0.35">
      <c r="A1060" t="s">
        <v>11343</v>
      </c>
      <c r="B1060">
        <v>50.4</v>
      </c>
      <c r="C1060" t="s">
        <v>4081</v>
      </c>
      <c r="D1060" t="s">
        <v>11344</v>
      </c>
      <c r="E1060" t="s">
        <v>11345</v>
      </c>
      <c r="F1060">
        <v>0.06</v>
      </c>
      <c r="G1060" t="s">
        <v>11346</v>
      </c>
      <c r="H1060">
        <v>0.05</v>
      </c>
      <c r="I1060">
        <v>0.25</v>
      </c>
      <c r="J1060" t="s">
        <v>11347</v>
      </c>
      <c r="K1060" t="s">
        <v>11348</v>
      </c>
      <c r="L1060" t="s">
        <v>11349</v>
      </c>
      <c r="M1060" t="s">
        <v>11350</v>
      </c>
      <c r="N1060">
        <v>447.71026175538009</v>
      </c>
      <c r="O1060">
        <v>453.08278489644471</v>
      </c>
      <c r="P1060">
        <v>474.37767578657753</v>
      </c>
      <c r="Q1060">
        <v>512.32788984950378</v>
      </c>
      <c r="R1060">
        <v>533.33333333333337</v>
      </c>
      <c r="S1060" t="s">
        <v>11351</v>
      </c>
      <c r="T1060" t="s">
        <v>11352</v>
      </c>
      <c r="U1060" t="s">
        <v>11353</v>
      </c>
      <c r="V1060" t="s">
        <v>49</v>
      </c>
      <c r="W1060">
        <v>338996155</v>
      </c>
      <c r="X1060">
        <v>339500751</v>
      </c>
      <c r="Y1060">
        <v>340560751</v>
      </c>
      <c r="Z1060">
        <v>341660751</v>
      </c>
      <c r="AA1060">
        <v>343660751</v>
      </c>
      <c r="AB1060">
        <v>9106323437.347044</v>
      </c>
      <c r="AC1060">
        <v>20339769.300000001</v>
      </c>
      <c r="AD1060">
        <v>9229316744.250864</v>
      </c>
      <c r="AE1060">
        <v>20370045.059999999</v>
      </c>
      <c r="AF1060">
        <v>9693265051.4106808</v>
      </c>
      <c r="AG1060">
        <v>20433645.059999999</v>
      </c>
      <c r="AH1060">
        <v>10502539896.253599</v>
      </c>
      <c r="AI1060">
        <v>20499645.059999999</v>
      </c>
      <c r="AJ1060">
        <v>10997144032</v>
      </c>
      <c r="AK1060">
        <v>20619645.059999999</v>
      </c>
    </row>
    <row r="1061" spans="1:37" x14ac:dyDescent="0.35">
      <c r="A1061" t="s">
        <v>11354</v>
      </c>
      <c r="B1061">
        <v>36.96</v>
      </c>
      <c r="C1061" t="s">
        <v>4081</v>
      </c>
      <c r="D1061" t="s">
        <v>11355</v>
      </c>
      <c r="E1061" t="s">
        <v>11356</v>
      </c>
      <c r="F1061">
        <v>0.06</v>
      </c>
      <c r="G1061" t="s">
        <v>11357</v>
      </c>
      <c r="H1061">
        <v>0.1</v>
      </c>
      <c r="I1061">
        <v>15.2</v>
      </c>
      <c r="J1061" t="s">
        <v>11358</v>
      </c>
      <c r="K1061" t="s">
        <v>11359</v>
      </c>
      <c r="L1061" t="s">
        <v>11360</v>
      </c>
      <c r="M1061" t="s">
        <v>11361</v>
      </c>
      <c r="N1061">
        <v>447.71026175538009</v>
      </c>
      <c r="O1061">
        <v>453.08278489644471</v>
      </c>
      <c r="P1061">
        <v>474.37767578657753</v>
      </c>
      <c r="Q1061">
        <v>512.32788984950378</v>
      </c>
      <c r="R1061">
        <v>533.33333333333337</v>
      </c>
      <c r="S1061" t="s">
        <v>11362</v>
      </c>
      <c r="T1061" t="s">
        <v>11363</v>
      </c>
      <c r="U1061" t="s">
        <v>11364</v>
      </c>
      <c r="V1061" t="s">
        <v>49</v>
      </c>
      <c r="W1061">
        <v>338996155</v>
      </c>
      <c r="X1061">
        <v>339500751</v>
      </c>
      <c r="Y1061">
        <v>340560751</v>
      </c>
      <c r="Z1061">
        <v>341660751</v>
      </c>
      <c r="AA1061">
        <v>343660751</v>
      </c>
      <c r="AB1061">
        <v>9106323437.347044</v>
      </c>
      <c r="AC1061">
        <v>20339769.300000001</v>
      </c>
      <c r="AD1061">
        <v>9229316744.250864</v>
      </c>
      <c r="AE1061">
        <v>20370045.059999999</v>
      </c>
      <c r="AF1061">
        <v>9693265051.4106808</v>
      </c>
      <c r="AG1061">
        <v>20433645.059999999</v>
      </c>
      <c r="AH1061">
        <v>10502539896.253599</v>
      </c>
      <c r="AI1061">
        <v>20499645.059999999</v>
      </c>
      <c r="AJ1061">
        <v>10997144032</v>
      </c>
      <c r="AK1061">
        <v>20619645.059999999</v>
      </c>
    </row>
    <row r="1062" spans="1:37" x14ac:dyDescent="0.35">
      <c r="A1062" t="s">
        <v>11365</v>
      </c>
      <c r="B1062">
        <v>24.64</v>
      </c>
      <c r="C1062" t="s">
        <v>4081</v>
      </c>
      <c r="D1062" t="s">
        <v>11366</v>
      </c>
      <c r="E1062" t="s">
        <v>11367</v>
      </c>
      <c r="F1062">
        <v>0.06</v>
      </c>
      <c r="G1062" t="s">
        <v>11368</v>
      </c>
      <c r="H1062">
        <v>10.15</v>
      </c>
      <c r="I1062">
        <v>0.15</v>
      </c>
      <c r="J1062" t="s">
        <v>11369</v>
      </c>
      <c r="K1062" t="s">
        <v>11370</v>
      </c>
      <c r="L1062" t="s">
        <v>11371</v>
      </c>
      <c r="M1062" t="s">
        <v>11372</v>
      </c>
      <c r="N1062">
        <v>447.71026175538009</v>
      </c>
      <c r="O1062">
        <v>453.08278489644471</v>
      </c>
      <c r="P1062">
        <v>474.37767578657753</v>
      </c>
      <c r="Q1062">
        <v>512.32788984950378</v>
      </c>
      <c r="R1062">
        <v>533.33333333333337</v>
      </c>
      <c r="S1062" t="s">
        <v>11373</v>
      </c>
      <c r="T1062" t="s">
        <v>11374</v>
      </c>
      <c r="U1062" t="s">
        <v>11375</v>
      </c>
      <c r="V1062" t="s">
        <v>49</v>
      </c>
      <c r="W1062">
        <v>338996155</v>
      </c>
      <c r="X1062">
        <v>339500751</v>
      </c>
      <c r="Y1062">
        <v>340560751</v>
      </c>
      <c r="Z1062">
        <v>341660751</v>
      </c>
      <c r="AA1062">
        <v>343660751</v>
      </c>
      <c r="AB1062">
        <v>9106323437.347044</v>
      </c>
      <c r="AC1062">
        <v>20339769.300000001</v>
      </c>
      <c r="AD1062">
        <v>9229316744.250864</v>
      </c>
      <c r="AE1062">
        <v>20370045.059999999</v>
      </c>
      <c r="AF1062">
        <v>9693265051.4106808</v>
      </c>
      <c r="AG1062">
        <v>20433645.059999999</v>
      </c>
      <c r="AH1062">
        <v>10502539896.253599</v>
      </c>
      <c r="AI1062">
        <v>20499645.059999999</v>
      </c>
      <c r="AJ1062">
        <v>10997144032</v>
      </c>
      <c r="AK1062">
        <v>20619645.059999999</v>
      </c>
    </row>
    <row r="1063" spans="1:37" x14ac:dyDescent="0.35">
      <c r="A1063" t="s">
        <v>11376</v>
      </c>
      <c r="B1063">
        <v>41.16</v>
      </c>
      <c r="C1063" t="s">
        <v>4081</v>
      </c>
      <c r="D1063" t="s">
        <v>11377</v>
      </c>
      <c r="E1063" t="s">
        <v>11378</v>
      </c>
      <c r="F1063">
        <v>0.06</v>
      </c>
      <c r="G1063" t="s">
        <v>11379</v>
      </c>
      <c r="H1063">
        <v>0.15</v>
      </c>
      <c r="I1063">
        <v>0.05</v>
      </c>
      <c r="J1063" t="s">
        <v>11380</v>
      </c>
      <c r="K1063" t="s">
        <v>11381</v>
      </c>
      <c r="L1063" t="s">
        <v>11382</v>
      </c>
      <c r="M1063" t="s">
        <v>11383</v>
      </c>
      <c r="N1063">
        <v>447.71026175538009</v>
      </c>
      <c r="O1063">
        <v>453.08278489644471</v>
      </c>
      <c r="P1063">
        <v>474.37767578657753</v>
      </c>
      <c r="Q1063">
        <v>512.32788984950378</v>
      </c>
      <c r="R1063">
        <v>533.33333333333337</v>
      </c>
      <c r="S1063" t="s">
        <v>11384</v>
      </c>
      <c r="T1063" t="s">
        <v>11385</v>
      </c>
      <c r="U1063" t="s">
        <v>11386</v>
      </c>
      <c r="V1063" t="s">
        <v>49</v>
      </c>
      <c r="W1063">
        <v>338996155</v>
      </c>
      <c r="X1063">
        <v>339500751</v>
      </c>
      <c r="Y1063">
        <v>340560751</v>
      </c>
      <c r="Z1063">
        <v>341660751</v>
      </c>
      <c r="AA1063">
        <v>343660751</v>
      </c>
      <c r="AB1063">
        <v>9106323437.347044</v>
      </c>
      <c r="AC1063">
        <v>20339769.300000001</v>
      </c>
      <c r="AD1063">
        <v>9229316744.250864</v>
      </c>
      <c r="AE1063">
        <v>20370045.059999999</v>
      </c>
      <c r="AF1063">
        <v>9693265051.4106808</v>
      </c>
      <c r="AG1063">
        <v>20433645.059999999</v>
      </c>
      <c r="AH1063">
        <v>10502539896.253599</v>
      </c>
      <c r="AI1063">
        <v>20499645.059999999</v>
      </c>
      <c r="AJ1063">
        <v>10997144032</v>
      </c>
      <c r="AK1063">
        <v>20619645.059999999</v>
      </c>
    </row>
    <row r="1064" spans="1:37" x14ac:dyDescent="0.35">
      <c r="A1064" t="s">
        <v>11387</v>
      </c>
      <c r="B1064">
        <v>591.41999999999996</v>
      </c>
      <c r="C1064" t="s">
        <v>2939</v>
      </c>
      <c r="D1064" t="s">
        <v>11388</v>
      </c>
      <c r="E1064" t="s">
        <v>11389</v>
      </c>
      <c r="F1064">
        <v>1.4999999999999999E-2</v>
      </c>
      <c r="G1064" t="s">
        <v>11390</v>
      </c>
      <c r="H1064">
        <v>15.2</v>
      </c>
      <c r="I1064">
        <v>5.0999999999999996</v>
      </c>
      <c r="J1064" t="s">
        <v>11391</v>
      </c>
      <c r="K1064" t="s">
        <v>11392</v>
      </c>
      <c r="L1064" t="s">
        <v>11393</v>
      </c>
      <c r="M1064" t="s">
        <v>11394</v>
      </c>
      <c r="N1064">
        <v>4775.5761253907194</v>
      </c>
      <c r="O1064">
        <v>4832.8830388954084</v>
      </c>
      <c r="P1064">
        <v>5060.0285417234927</v>
      </c>
      <c r="Q1064">
        <v>5464.8308250613727</v>
      </c>
      <c r="R1064">
        <v>5688.8888888888887</v>
      </c>
      <c r="S1064" t="s">
        <v>11395</v>
      </c>
      <c r="T1064" t="s">
        <v>11396</v>
      </c>
      <c r="U1064" t="s">
        <v>11397</v>
      </c>
      <c r="V1064" t="s">
        <v>49</v>
      </c>
      <c r="W1064">
        <v>338996155</v>
      </c>
      <c r="X1064">
        <v>339500751</v>
      </c>
      <c r="Y1064">
        <v>340560751</v>
      </c>
      <c r="Z1064">
        <v>341660751</v>
      </c>
      <c r="AA1064">
        <v>343660751</v>
      </c>
      <c r="AB1064">
        <v>24283529166.258781</v>
      </c>
      <c r="AC1064">
        <v>5084942.3250000002</v>
      </c>
      <c r="AD1064">
        <v>24611511318.0023</v>
      </c>
      <c r="AE1064">
        <v>5092511.2649999997</v>
      </c>
      <c r="AF1064">
        <v>25848706803.76181</v>
      </c>
      <c r="AG1064">
        <v>5108411.2649999997</v>
      </c>
      <c r="AH1064">
        <v>28006773056.67627</v>
      </c>
      <c r="AI1064">
        <v>5124911.2649999997</v>
      </c>
      <c r="AJ1064">
        <v>29325717418.66666</v>
      </c>
      <c r="AK1064">
        <v>5154911.2649999997</v>
      </c>
    </row>
    <row r="1065" spans="1:37" x14ac:dyDescent="0.35">
      <c r="A1065" t="s">
        <v>11398</v>
      </c>
      <c r="B1065">
        <v>253.6</v>
      </c>
      <c r="C1065" t="s">
        <v>4081</v>
      </c>
      <c r="D1065" t="s">
        <v>11399</v>
      </c>
      <c r="E1065" t="s">
        <v>11400</v>
      </c>
      <c r="F1065">
        <v>0.06</v>
      </c>
      <c r="G1065" t="s">
        <v>11401</v>
      </c>
      <c r="H1065">
        <v>0.3</v>
      </c>
      <c r="I1065">
        <v>0.01</v>
      </c>
      <c r="J1065" t="s">
        <v>11402</v>
      </c>
      <c r="K1065" t="s">
        <v>11403</v>
      </c>
      <c r="L1065" t="s">
        <v>11404</v>
      </c>
      <c r="M1065" t="s">
        <v>11405</v>
      </c>
      <c r="N1065">
        <v>447.71026175538009</v>
      </c>
      <c r="O1065">
        <v>453.08278489644471</v>
      </c>
      <c r="P1065">
        <v>474.37767578657753</v>
      </c>
      <c r="Q1065">
        <v>512.32788984950378</v>
      </c>
      <c r="R1065">
        <v>533.33333333333337</v>
      </c>
      <c r="S1065" t="s">
        <v>11406</v>
      </c>
      <c r="T1065" t="s">
        <v>11407</v>
      </c>
      <c r="U1065" t="s">
        <v>11408</v>
      </c>
      <c r="V1065" t="s">
        <v>49</v>
      </c>
      <c r="W1065">
        <v>338996155</v>
      </c>
      <c r="X1065">
        <v>339500751</v>
      </c>
      <c r="Y1065">
        <v>340560751</v>
      </c>
      <c r="Z1065">
        <v>341660751</v>
      </c>
      <c r="AA1065">
        <v>343660751</v>
      </c>
      <c r="AB1065">
        <v>9106323437.347044</v>
      </c>
      <c r="AC1065">
        <v>20339769.300000001</v>
      </c>
      <c r="AD1065">
        <v>9229316744.250864</v>
      </c>
      <c r="AE1065">
        <v>20370045.059999999</v>
      </c>
      <c r="AF1065">
        <v>9693265051.4106808</v>
      </c>
      <c r="AG1065">
        <v>20433645.059999999</v>
      </c>
      <c r="AH1065">
        <v>10502539896.253599</v>
      </c>
      <c r="AI1065">
        <v>20499645.059999999</v>
      </c>
      <c r="AJ1065">
        <v>10997144032</v>
      </c>
      <c r="AK1065">
        <v>20619645.059999999</v>
      </c>
    </row>
    <row r="1066" spans="1:37" x14ac:dyDescent="0.35">
      <c r="A1066" t="s">
        <v>11409</v>
      </c>
      <c r="B1066">
        <v>253.6</v>
      </c>
      <c r="C1066" t="s">
        <v>4081</v>
      </c>
      <c r="D1066" t="s">
        <v>11410</v>
      </c>
      <c r="E1066" t="s">
        <v>11411</v>
      </c>
      <c r="F1066">
        <v>0.06</v>
      </c>
      <c r="G1066" t="s">
        <v>11412</v>
      </c>
      <c r="H1066">
        <v>0.2</v>
      </c>
      <c r="I1066">
        <v>0.12</v>
      </c>
      <c r="J1066" t="s">
        <v>11413</v>
      </c>
      <c r="K1066" t="s">
        <v>11414</v>
      </c>
      <c r="L1066" t="s">
        <v>11415</v>
      </c>
      <c r="M1066" t="s">
        <v>11416</v>
      </c>
      <c r="N1066">
        <v>447.71026175538009</v>
      </c>
      <c r="O1066">
        <v>453.08278489644471</v>
      </c>
      <c r="P1066">
        <v>474.37767578657753</v>
      </c>
      <c r="Q1066">
        <v>512.32788984950378</v>
      </c>
      <c r="R1066">
        <v>533.33333333333337</v>
      </c>
      <c r="S1066" t="s">
        <v>11417</v>
      </c>
      <c r="T1066" t="s">
        <v>11418</v>
      </c>
      <c r="U1066" t="s">
        <v>11419</v>
      </c>
      <c r="V1066" t="s">
        <v>49</v>
      </c>
      <c r="W1066">
        <v>338996155</v>
      </c>
      <c r="X1066">
        <v>339500751</v>
      </c>
      <c r="Y1066">
        <v>340560751</v>
      </c>
      <c r="Z1066">
        <v>341660751</v>
      </c>
      <c r="AA1066">
        <v>343660751</v>
      </c>
      <c r="AB1066">
        <v>9106323437.347044</v>
      </c>
      <c r="AC1066">
        <v>20339769.300000001</v>
      </c>
      <c r="AD1066">
        <v>9229316744.250864</v>
      </c>
      <c r="AE1066">
        <v>20370045.059999999</v>
      </c>
      <c r="AF1066">
        <v>9693265051.4106808</v>
      </c>
      <c r="AG1066">
        <v>20433645.059999999</v>
      </c>
      <c r="AH1066">
        <v>10502539896.253599</v>
      </c>
      <c r="AI1066">
        <v>20499645.059999999</v>
      </c>
      <c r="AJ1066">
        <v>10997144032</v>
      </c>
      <c r="AK1066">
        <v>20619645.059999999</v>
      </c>
    </row>
    <row r="1067" spans="1:37" x14ac:dyDescent="0.35">
      <c r="A1067" t="s">
        <v>11420</v>
      </c>
      <c r="B1067">
        <v>253.6</v>
      </c>
      <c r="C1067" t="s">
        <v>4081</v>
      </c>
      <c r="D1067" t="s">
        <v>11421</v>
      </c>
      <c r="E1067" t="s">
        <v>11422</v>
      </c>
      <c r="F1067">
        <v>0.06</v>
      </c>
      <c r="G1067" t="s">
        <v>11423</v>
      </c>
      <c r="H1067">
        <v>0.15</v>
      </c>
      <c r="I1067">
        <v>0.03</v>
      </c>
      <c r="J1067" t="s">
        <v>11424</v>
      </c>
      <c r="K1067" t="s">
        <v>11425</v>
      </c>
      <c r="L1067" t="s">
        <v>11426</v>
      </c>
      <c r="M1067" t="s">
        <v>11427</v>
      </c>
      <c r="N1067">
        <v>447.71026175538009</v>
      </c>
      <c r="O1067">
        <v>453.08278489644471</v>
      </c>
      <c r="P1067">
        <v>474.37767578657753</v>
      </c>
      <c r="Q1067">
        <v>512.32788984950378</v>
      </c>
      <c r="R1067">
        <v>533.33333333333337</v>
      </c>
      <c r="S1067" t="s">
        <v>11428</v>
      </c>
      <c r="T1067" t="s">
        <v>1867</v>
      </c>
      <c r="U1067" t="s">
        <v>11429</v>
      </c>
      <c r="V1067" t="s">
        <v>49</v>
      </c>
      <c r="W1067">
        <v>338996155</v>
      </c>
      <c r="X1067">
        <v>339500751</v>
      </c>
      <c r="Y1067">
        <v>340560751</v>
      </c>
      <c r="Z1067">
        <v>341660751</v>
      </c>
      <c r="AA1067">
        <v>343660751</v>
      </c>
      <c r="AB1067">
        <v>9106323437.347044</v>
      </c>
      <c r="AC1067">
        <v>20339769.300000001</v>
      </c>
      <c r="AD1067">
        <v>9229316744.250864</v>
      </c>
      <c r="AE1067">
        <v>20370045.059999999</v>
      </c>
      <c r="AF1067">
        <v>9693265051.4106808</v>
      </c>
      <c r="AG1067">
        <v>20433645.059999999</v>
      </c>
      <c r="AH1067">
        <v>10502539896.253599</v>
      </c>
      <c r="AI1067">
        <v>20499645.059999999</v>
      </c>
      <c r="AJ1067">
        <v>10997144032</v>
      </c>
      <c r="AK1067">
        <v>20619645.059999999</v>
      </c>
    </row>
    <row r="1068" spans="1:37" x14ac:dyDescent="0.35">
      <c r="A1068" t="s">
        <v>11430</v>
      </c>
      <c r="B1068">
        <v>136.56</v>
      </c>
      <c r="C1068" t="s">
        <v>313</v>
      </c>
      <c r="D1068" t="s">
        <v>11431</v>
      </c>
      <c r="E1068" t="s">
        <v>11432</v>
      </c>
      <c r="F1068">
        <v>0.05</v>
      </c>
      <c r="G1068" t="s">
        <v>11433</v>
      </c>
      <c r="H1068">
        <v>0.3</v>
      </c>
      <c r="I1068">
        <v>20.5</v>
      </c>
      <c r="J1068" t="s">
        <v>11434</v>
      </c>
      <c r="K1068" t="s">
        <v>11435</v>
      </c>
      <c r="L1068" t="s">
        <v>11436</v>
      </c>
      <c r="M1068" t="s">
        <v>11437</v>
      </c>
      <c r="N1068">
        <v>2615.6406066244381</v>
      </c>
      <c r="O1068">
        <v>2647.0282939039312</v>
      </c>
      <c r="P1068">
        <v>2771.4386237174158</v>
      </c>
      <c r="Q1068">
        <v>2993.153713614809</v>
      </c>
      <c r="R1068">
        <v>3115.8730158730159</v>
      </c>
      <c r="S1068" t="s">
        <v>11438</v>
      </c>
      <c r="T1068" t="s">
        <v>11439</v>
      </c>
      <c r="U1068" t="s">
        <v>11440</v>
      </c>
      <c r="V1068" t="s">
        <v>49</v>
      </c>
      <c r="W1068">
        <v>338996155</v>
      </c>
      <c r="X1068">
        <v>339500751</v>
      </c>
      <c r="Y1068">
        <v>340560751</v>
      </c>
      <c r="Z1068">
        <v>341660751</v>
      </c>
      <c r="AA1068">
        <v>343660751</v>
      </c>
      <c r="AB1068">
        <v>44334605425.377602</v>
      </c>
      <c r="AC1068">
        <v>16949807.75</v>
      </c>
      <c r="AD1068">
        <v>44933404684.931664</v>
      </c>
      <c r="AE1068">
        <v>16975037.550000001</v>
      </c>
      <c r="AF1068">
        <v>47192160952.180481</v>
      </c>
      <c r="AG1068">
        <v>17028037.550000001</v>
      </c>
      <c r="AH1068">
        <v>51132157282.603729</v>
      </c>
      <c r="AI1068">
        <v>17083037.550000001</v>
      </c>
      <c r="AJ1068">
        <v>53540163032.777786</v>
      </c>
      <c r="AK1068">
        <v>17183037.550000001</v>
      </c>
    </row>
    <row r="1069" spans="1:37" x14ac:dyDescent="0.35">
      <c r="A1069" t="s">
        <v>11441</v>
      </c>
      <c r="B1069">
        <v>142.56</v>
      </c>
      <c r="C1069" t="s">
        <v>313</v>
      </c>
      <c r="D1069" t="s">
        <v>11442</v>
      </c>
      <c r="E1069" t="s">
        <v>11443</v>
      </c>
      <c r="F1069">
        <v>0.05</v>
      </c>
      <c r="G1069" t="s">
        <v>11444</v>
      </c>
      <c r="H1069">
        <v>0.3</v>
      </c>
      <c r="I1069">
        <v>10.199999999999999</v>
      </c>
      <c r="J1069" t="s">
        <v>11445</v>
      </c>
      <c r="K1069" t="s">
        <v>11446</v>
      </c>
      <c r="L1069" t="s">
        <v>11447</v>
      </c>
      <c r="M1069" t="s">
        <v>11448</v>
      </c>
      <c r="N1069">
        <v>2615.6406066244381</v>
      </c>
      <c r="O1069">
        <v>2647.0282939039312</v>
      </c>
      <c r="P1069">
        <v>2771.4386237174158</v>
      </c>
      <c r="Q1069">
        <v>2993.153713614809</v>
      </c>
      <c r="R1069">
        <v>3115.8730158730159</v>
      </c>
      <c r="S1069" t="s">
        <v>11449</v>
      </c>
      <c r="T1069" t="s">
        <v>11450</v>
      </c>
      <c r="U1069" t="s">
        <v>11451</v>
      </c>
      <c r="V1069" t="s">
        <v>49</v>
      </c>
      <c r="W1069">
        <v>338996155</v>
      </c>
      <c r="X1069">
        <v>339500751</v>
      </c>
      <c r="Y1069">
        <v>340560751</v>
      </c>
      <c r="Z1069">
        <v>341660751</v>
      </c>
      <c r="AA1069">
        <v>343660751</v>
      </c>
      <c r="AB1069">
        <v>44334605425.377602</v>
      </c>
      <c r="AC1069">
        <v>16949807.75</v>
      </c>
      <c r="AD1069">
        <v>44933404684.931664</v>
      </c>
      <c r="AE1069">
        <v>16975037.550000001</v>
      </c>
      <c r="AF1069">
        <v>47192160952.180481</v>
      </c>
      <c r="AG1069">
        <v>17028037.550000001</v>
      </c>
      <c r="AH1069">
        <v>51132157282.603729</v>
      </c>
      <c r="AI1069">
        <v>17083037.550000001</v>
      </c>
      <c r="AJ1069">
        <v>53540163032.777786</v>
      </c>
      <c r="AK1069">
        <v>17183037.550000001</v>
      </c>
    </row>
    <row r="1070" spans="1:37" x14ac:dyDescent="0.35">
      <c r="A1070" t="s">
        <v>11452</v>
      </c>
      <c r="B1070">
        <v>165.44</v>
      </c>
      <c r="C1070" t="s">
        <v>313</v>
      </c>
      <c r="D1070" t="s">
        <v>11453</v>
      </c>
      <c r="E1070" t="s">
        <v>11454</v>
      </c>
      <c r="F1070">
        <v>0.05</v>
      </c>
      <c r="G1070" t="s">
        <v>11455</v>
      </c>
      <c r="H1070">
        <v>0.3</v>
      </c>
      <c r="I1070">
        <v>10.199999999999999</v>
      </c>
      <c r="J1070" t="s">
        <v>11456</v>
      </c>
      <c r="K1070" t="s">
        <v>11457</v>
      </c>
      <c r="L1070" t="s">
        <v>11458</v>
      </c>
      <c r="M1070" t="s">
        <v>11459</v>
      </c>
      <c r="N1070">
        <v>2615.6406066244381</v>
      </c>
      <c r="O1070">
        <v>2647.0282939039312</v>
      </c>
      <c r="P1070">
        <v>2771.4386237174158</v>
      </c>
      <c r="Q1070">
        <v>2993.153713614809</v>
      </c>
      <c r="R1070">
        <v>3115.8730158730159</v>
      </c>
      <c r="S1070" t="s">
        <v>11460</v>
      </c>
      <c r="T1070" t="s">
        <v>11461</v>
      </c>
      <c r="U1070" t="s">
        <v>11462</v>
      </c>
      <c r="V1070" t="s">
        <v>49</v>
      </c>
      <c r="W1070">
        <v>338996155</v>
      </c>
      <c r="X1070">
        <v>339500751</v>
      </c>
      <c r="Y1070">
        <v>340560751</v>
      </c>
      <c r="Z1070">
        <v>341660751</v>
      </c>
      <c r="AA1070">
        <v>343660751</v>
      </c>
      <c r="AB1070">
        <v>44334605425.377602</v>
      </c>
      <c r="AC1070">
        <v>16949807.75</v>
      </c>
      <c r="AD1070">
        <v>44933404684.931664</v>
      </c>
      <c r="AE1070">
        <v>16975037.550000001</v>
      </c>
      <c r="AF1070">
        <v>47192160952.180481</v>
      </c>
      <c r="AG1070">
        <v>17028037.550000001</v>
      </c>
      <c r="AH1070">
        <v>51132157282.603729</v>
      </c>
      <c r="AI1070">
        <v>17083037.550000001</v>
      </c>
      <c r="AJ1070">
        <v>53540163032.777786</v>
      </c>
      <c r="AK1070">
        <v>17183037.550000001</v>
      </c>
    </row>
    <row r="1071" spans="1:37" x14ac:dyDescent="0.35">
      <c r="A1071" t="s">
        <v>11463</v>
      </c>
      <c r="B1071">
        <v>102.9</v>
      </c>
      <c r="C1071" t="s">
        <v>4081</v>
      </c>
      <c r="D1071" t="s">
        <v>11464</v>
      </c>
      <c r="E1071" t="s">
        <v>11465</v>
      </c>
      <c r="F1071">
        <v>0.06</v>
      </c>
      <c r="G1071" t="s">
        <v>11466</v>
      </c>
      <c r="H1071">
        <v>0.2</v>
      </c>
      <c r="I1071">
        <v>5.0999999999999996</v>
      </c>
      <c r="J1071" t="s">
        <v>11467</v>
      </c>
      <c r="K1071" t="s">
        <v>11468</v>
      </c>
      <c r="L1071" t="s">
        <v>11469</v>
      </c>
      <c r="M1071" t="s">
        <v>11470</v>
      </c>
      <c r="N1071">
        <v>447.71026175538009</v>
      </c>
      <c r="O1071">
        <v>453.08278489644471</v>
      </c>
      <c r="P1071">
        <v>474.37767578657753</v>
      </c>
      <c r="Q1071">
        <v>512.32788984950378</v>
      </c>
      <c r="R1071">
        <v>533.33333333333337</v>
      </c>
      <c r="S1071" t="s">
        <v>11471</v>
      </c>
      <c r="T1071" t="s">
        <v>11472</v>
      </c>
      <c r="U1071" t="s">
        <v>11473</v>
      </c>
      <c r="V1071" t="s">
        <v>49</v>
      </c>
      <c r="W1071">
        <v>338996155</v>
      </c>
      <c r="X1071">
        <v>339500751</v>
      </c>
      <c r="Y1071">
        <v>340560751</v>
      </c>
      <c r="Z1071">
        <v>341660751</v>
      </c>
      <c r="AA1071">
        <v>343660751</v>
      </c>
      <c r="AB1071">
        <v>9106323437.347044</v>
      </c>
      <c r="AC1071">
        <v>20339769.300000001</v>
      </c>
      <c r="AD1071">
        <v>9229316744.250864</v>
      </c>
      <c r="AE1071">
        <v>20370045.059999999</v>
      </c>
      <c r="AF1071">
        <v>9693265051.4106808</v>
      </c>
      <c r="AG1071">
        <v>20433645.059999999</v>
      </c>
      <c r="AH1071">
        <v>10502539896.253599</v>
      </c>
      <c r="AI1071">
        <v>20499645.059999999</v>
      </c>
      <c r="AJ1071">
        <v>10997144032</v>
      </c>
      <c r="AK1071">
        <v>20619645.059999999</v>
      </c>
    </row>
    <row r="1072" spans="1:37" x14ac:dyDescent="0.35">
      <c r="A1072" t="s">
        <v>11474</v>
      </c>
      <c r="B1072">
        <v>245.3</v>
      </c>
      <c r="C1072" t="s">
        <v>2436</v>
      </c>
      <c r="D1072" t="s">
        <v>11475</v>
      </c>
      <c r="E1072" t="s">
        <v>11476</v>
      </c>
      <c r="F1072">
        <v>1.4999999999999999E-2</v>
      </c>
      <c r="G1072" t="s">
        <v>11477</v>
      </c>
      <c r="H1072">
        <v>0.2</v>
      </c>
      <c r="I1072">
        <v>10.15</v>
      </c>
      <c r="J1072" t="s">
        <v>11478</v>
      </c>
      <c r="K1072" t="s">
        <v>11479</v>
      </c>
      <c r="L1072" t="s">
        <v>11480</v>
      </c>
      <c r="M1072" t="s">
        <v>11481</v>
      </c>
      <c r="N1072">
        <v>2999.6587537610458</v>
      </c>
      <c r="O1072">
        <v>3035.6546588061792</v>
      </c>
      <c r="P1072">
        <v>3178.330427770069</v>
      </c>
      <c r="Q1072">
        <v>3432.5968619916748</v>
      </c>
      <c r="R1072">
        <v>3573.333333333333</v>
      </c>
      <c r="S1072" t="s">
        <v>11482</v>
      </c>
      <c r="T1072" t="s">
        <v>11483</v>
      </c>
      <c r="U1072" t="s">
        <v>11484</v>
      </c>
      <c r="V1072" t="s">
        <v>49</v>
      </c>
      <c r="W1072">
        <v>338996155</v>
      </c>
      <c r="X1072">
        <v>339500751</v>
      </c>
      <c r="Y1072">
        <v>340560751</v>
      </c>
      <c r="Z1072">
        <v>341660751</v>
      </c>
      <c r="AA1072">
        <v>343660751</v>
      </c>
      <c r="AB1072">
        <v>15253091757.556299</v>
      </c>
      <c r="AC1072">
        <v>5084942.3250000002</v>
      </c>
      <c r="AD1072">
        <v>15459105546.620199</v>
      </c>
      <c r="AE1072">
        <v>5092511.2649999997</v>
      </c>
      <c r="AF1072">
        <v>16236218961.11289</v>
      </c>
      <c r="AG1072">
        <v>5108411.2649999997</v>
      </c>
      <c r="AH1072">
        <v>17591754326.224781</v>
      </c>
      <c r="AI1072">
        <v>5124911.2649999997</v>
      </c>
      <c r="AJ1072">
        <v>18420216253.599998</v>
      </c>
      <c r="AK1072">
        <v>5154911.2649999997</v>
      </c>
    </row>
    <row r="1073" spans="1:37" x14ac:dyDescent="0.35">
      <c r="A1073" t="s">
        <v>11485</v>
      </c>
      <c r="B1073">
        <v>105</v>
      </c>
      <c r="C1073" t="s">
        <v>590</v>
      </c>
      <c r="D1073" t="s">
        <v>11486</v>
      </c>
      <c r="E1073" t="s">
        <v>11487</v>
      </c>
      <c r="F1073">
        <v>2.0000000000000001E-4</v>
      </c>
      <c r="G1073" t="s">
        <v>11488</v>
      </c>
      <c r="H1073">
        <v>30.25</v>
      </c>
      <c r="I1073">
        <v>5.77</v>
      </c>
      <c r="J1073" t="s">
        <v>11489</v>
      </c>
      <c r="K1073" t="s">
        <v>11490</v>
      </c>
      <c r="L1073" t="s">
        <v>11491</v>
      </c>
      <c r="M1073" t="s">
        <v>11492</v>
      </c>
      <c r="N1073">
        <v>57083.058373810964</v>
      </c>
      <c r="O1073">
        <v>57768.055074296688</v>
      </c>
      <c r="P1073">
        <v>60483.153662788631</v>
      </c>
      <c r="Q1073">
        <v>65321.805955811717</v>
      </c>
      <c r="R1073">
        <v>68000</v>
      </c>
      <c r="S1073" t="s">
        <v>11493</v>
      </c>
      <c r="T1073" t="s">
        <v>11494</v>
      </c>
      <c r="U1073" t="s">
        <v>11495</v>
      </c>
      <c r="V1073" t="s">
        <v>49</v>
      </c>
      <c r="W1073">
        <v>338996155</v>
      </c>
      <c r="X1073">
        <v>339500751</v>
      </c>
      <c r="Y1073">
        <v>340560751</v>
      </c>
      <c r="Z1073">
        <v>341660751</v>
      </c>
      <c r="AA1073">
        <v>343660751</v>
      </c>
      <c r="AB1073">
        <v>3870187460.8724942</v>
      </c>
      <c r="AC1073">
        <v>67799.231</v>
      </c>
      <c r="AD1073">
        <v>3922459616.3066182</v>
      </c>
      <c r="AE1073">
        <v>67900.150200000004</v>
      </c>
      <c r="AF1073">
        <v>4119637646.8495402</v>
      </c>
      <c r="AG1073">
        <v>68112.150200000004</v>
      </c>
      <c r="AH1073">
        <v>4463579455.9077816</v>
      </c>
      <c r="AI1073">
        <v>68332.150200000004</v>
      </c>
      <c r="AJ1073">
        <v>4673786213.6000004</v>
      </c>
      <c r="AK1073">
        <v>68732.150200000004</v>
      </c>
    </row>
    <row r="1074" spans="1:37" x14ac:dyDescent="0.35">
      <c r="A1074" t="s">
        <v>11496</v>
      </c>
      <c r="B1074">
        <v>105</v>
      </c>
      <c r="C1074" t="s">
        <v>590</v>
      </c>
      <c r="D1074" t="s">
        <v>11497</v>
      </c>
      <c r="E1074" t="s">
        <v>11498</v>
      </c>
      <c r="F1074">
        <v>2.0000000000000001E-4</v>
      </c>
      <c r="G1074" t="s">
        <v>11499</v>
      </c>
      <c r="H1074">
        <v>0.5</v>
      </c>
      <c r="I1074">
        <v>15.77</v>
      </c>
      <c r="J1074" t="s">
        <v>11500</v>
      </c>
      <c r="K1074" t="s">
        <v>11501</v>
      </c>
      <c r="L1074" t="s">
        <v>11502</v>
      </c>
      <c r="M1074" t="s">
        <v>11503</v>
      </c>
      <c r="N1074">
        <v>57083.058373810964</v>
      </c>
      <c r="O1074">
        <v>57768.055074296688</v>
      </c>
      <c r="P1074">
        <v>60483.153662788631</v>
      </c>
      <c r="Q1074">
        <v>65321.805955811717</v>
      </c>
      <c r="R1074">
        <v>68000</v>
      </c>
      <c r="S1074" t="s">
        <v>11504</v>
      </c>
      <c r="T1074" t="s">
        <v>11505</v>
      </c>
      <c r="U1074" t="s">
        <v>11506</v>
      </c>
      <c r="V1074" t="s">
        <v>49</v>
      </c>
      <c r="W1074">
        <v>338996155</v>
      </c>
      <c r="X1074">
        <v>339500751</v>
      </c>
      <c r="Y1074">
        <v>340560751</v>
      </c>
      <c r="Z1074">
        <v>341660751</v>
      </c>
      <c r="AA1074">
        <v>343660751</v>
      </c>
      <c r="AB1074">
        <v>3870187460.8724942</v>
      </c>
      <c r="AC1074">
        <v>67799.231</v>
      </c>
      <c r="AD1074">
        <v>3922459616.3066182</v>
      </c>
      <c r="AE1074">
        <v>67900.150200000004</v>
      </c>
      <c r="AF1074">
        <v>4119637646.8495402</v>
      </c>
      <c r="AG1074">
        <v>68112.150200000004</v>
      </c>
      <c r="AH1074">
        <v>4463579455.9077816</v>
      </c>
      <c r="AI1074">
        <v>68332.150200000004</v>
      </c>
      <c r="AJ1074">
        <v>4673786213.6000004</v>
      </c>
      <c r="AK1074">
        <v>68732.150200000004</v>
      </c>
    </row>
    <row r="1075" spans="1:37" x14ac:dyDescent="0.35">
      <c r="A1075" t="s">
        <v>11507</v>
      </c>
      <c r="B1075">
        <v>198.15</v>
      </c>
      <c r="C1075" t="s">
        <v>5253</v>
      </c>
      <c r="D1075" t="s">
        <v>11508</v>
      </c>
      <c r="E1075" t="s">
        <v>11509</v>
      </c>
      <c r="F1075">
        <v>0.65</v>
      </c>
      <c r="G1075" t="s">
        <v>11510</v>
      </c>
      <c r="H1075">
        <v>20.399999999999999</v>
      </c>
      <c r="I1075">
        <v>0.15</v>
      </c>
      <c r="J1075" t="s">
        <v>11511</v>
      </c>
      <c r="K1075" t="s">
        <v>11512</v>
      </c>
      <c r="L1075" t="s">
        <v>11513</v>
      </c>
      <c r="M1075" t="s">
        <v>11514</v>
      </c>
      <c r="N1075">
        <v>30220.442668488151</v>
      </c>
      <c r="O1075">
        <v>30583.087980510008</v>
      </c>
      <c r="P1075">
        <v>32020.493115593981</v>
      </c>
      <c r="Q1075">
        <v>34582.1325648415</v>
      </c>
      <c r="R1075">
        <v>36000</v>
      </c>
      <c r="S1075" t="s">
        <v>11515</v>
      </c>
      <c r="T1075" t="s">
        <v>11516</v>
      </c>
      <c r="U1075" t="s">
        <v>11517</v>
      </c>
      <c r="V1075" t="s">
        <v>49</v>
      </c>
      <c r="W1075">
        <v>338996155</v>
      </c>
      <c r="X1075">
        <v>339500751</v>
      </c>
      <c r="Y1075">
        <v>340560751</v>
      </c>
      <c r="Z1075">
        <v>341660751</v>
      </c>
      <c r="AA1075">
        <v>343660751</v>
      </c>
      <c r="AB1075">
        <v>6658999013560.0254</v>
      </c>
      <c r="AC1075">
        <v>220347500.75</v>
      </c>
      <c r="AD1075">
        <v>6748937869233.4453</v>
      </c>
      <c r="AE1075">
        <v>220675488.15000001</v>
      </c>
      <c r="AF1075">
        <v>7088200068844.0605</v>
      </c>
      <c r="AG1075">
        <v>221364488.15000001</v>
      </c>
      <c r="AH1075">
        <v>7679982299135.4473</v>
      </c>
      <c r="AI1075">
        <v>222079488.15000001</v>
      </c>
      <c r="AJ1075">
        <v>8041661573400</v>
      </c>
      <c r="AK1075">
        <v>223379488.15000001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Life  Sciences 2</cp:lastModifiedBy>
  <dcterms:created xsi:type="dcterms:W3CDTF">2024-11-19T17:36:17Z</dcterms:created>
  <dcterms:modified xsi:type="dcterms:W3CDTF">2024-11-20T05:59:46Z</dcterms:modified>
</cp:coreProperties>
</file>